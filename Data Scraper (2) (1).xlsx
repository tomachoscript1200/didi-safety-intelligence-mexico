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AW" sheetId="1" r:id="rId4"/>
    <sheet state="visible" name="DATA_CALC" sheetId="2" r:id="rId5"/>
  </sheets>
  <definedNames>
    <definedName hidden="1" localSheetId="1" name="_xlnm._FilterDatabase">DATA_CALC!$A$1:$AH$801</definedName>
  </definedNames>
  <calcPr/>
  <extLst>
    <ext uri="GoogleSheetsCustomDataVersion2">
      <go:sheetsCustomData xmlns:go="http://customooxmlschemas.google.com/" r:id="rId6" roundtripDataChecksum="H08Gjg1oMeaWvGE7MMMnuytSTG+xl4wC8k/rAq/vm4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
      <text>
        <t xml:space="preserve">======
ID#AAAB2JvX8nA
    (2026-03-18 02:31:31)
Nombre del mes para análisis de estacionalidad.</t>
      </text>
    </comment>
    <comment authorId="0" ref="E1">
      <text>
        <t xml:space="preserve">======
ID#AAAB2JvX8m8
    (2026-03-18 02:31:31)
Valor numérico entre -1 y 1 que indica la dirección y fuerza del sentimiento.</t>
      </text>
    </comment>
    <comment authorId="0" ref="P1">
      <text>
        <t xml:space="preserve">======
ID#AAAB2JvX8m0
    (2026-03-18 02:31:31)
Lista de plataformas de movilidad (DiDi, Uber, etc.) mencionadas en el texto.</t>
      </text>
    </comment>
    <comment authorId="0" ref="Y1">
      <text>
        <t xml:space="preserve">======
ID#AAAB2JvX8mw
    (2026-03-18 02:31:31)
Fecha limpia y formateada, optimizada para filtros de calendario y series de tiempo.</t>
      </text>
    </comment>
    <comment authorId="0" ref="C1">
      <text>
        <t xml:space="preserve">======
ID#AAAB2JvX8m4
    (2026-03-18 02:31:31)
Fecha y hora original de publicación extraída del sitio web.</t>
      </text>
    </comment>
    <comment authorId="0" ref="U1">
      <text>
        <t xml:space="preserve">======
ID#AAAB2JvX8ms
    (2026-03-18 02:31:31)
Nivel de importancia y alcance del medio (1: Local/Nicho, 3: Nacional/Gran impacto).</t>
      </text>
    </comment>
    <comment authorId="0" ref="AA1">
      <text>
        <t xml:space="preserve">======
ID#AAAB2JvX8mk
    (2026-03-18 02:31:31)
Marca 1 si la noticia menciona directamente a Uber.</t>
      </text>
    </comment>
    <comment authorId="0" ref="J1">
      <text>
        <t xml:space="preserve">======
ID#AAAB2JvX8mo
    (2026-03-18 02:31:31)
Sugerencia estratégica de comunicación basada en el análisis de la noticia.</t>
      </text>
    </comment>
    <comment authorId="0" ref="H1">
      <text>
        <t xml:space="preserve">======
ID#AAAB2JvX8mc
    (2026-03-18 02:31:31)
Categoría temática detectada (ej. Delito violento, Accidente vial, Clima).</t>
      </text>
    </comment>
    <comment authorId="0" ref="N1">
      <text>
        <t xml:space="preserve">======
ID#AAAB2JvX8mg
    (2026-03-18 02:31:31)
Contenido completo del cuerpo de la noticia procesado por el scraper.</t>
      </text>
    </comment>
    <comment authorId="0" ref="AE1">
      <text>
        <t xml:space="preserve">======
ID#AAAB2JvX8mY
    (2026-03-18 02:31:31)
Indicador binario (1/0) para identificar noticias de severidad alta (&gt;=4).</t>
      </text>
    </comment>
    <comment authorId="0" ref="I1">
      <text>
        <t xml:space="preserve">======
ID#AAAB2JvX8mU
    (2026-03-18 02:31:31)
Términos clave detectados que dispararon las reglas de severidad y tópicos.</t>
      </text>
    </comment>
    <comment authorId="0" ref="AC1">
      <text>
        <t xml:space="preserve">======
ID#AAAB2JvX8mM
    (2026-03-18 02:31:31)
Marca 1 si la noticia menciona directamente a Cabify.</t>
      </text>
    </comment>
    <comment authorId="0" ref="S1">
      <text>
        <t xml:space="preserve">======
ID#AAAB2JvX8mQ
    (2026-03-18 02:31:31)
Margen de diferencia entre la ubicación principal detectada y la segunda opción.</t>
      </text>
    </comment>
    <comment authorId="0" ref="X1">
      <text>
        <t xml:space="preserve">======
ID#AAAB2JvX8mI
    (2026-03-18 02:31:31)
Día de la semana en que se publicó la noticia.</t>
      </text>
    </comment>
    <comment authorId="0" ref="L1">
      <text>
        <t xml:space="preserve">======
ID#AAAB2JvX8mA
    (2026-03-18 02:31:31)
Estado de la República Mexicana donde ocurrió la noticia.</t>
      </text>
    </comment>
    <comment authorId="0" ref="V1">
      <text>
        <t xml:space="preserve">======
ID#AAAB2JvX8mE
    (2026-03-18 02:31:31)
Año de publicación extraído para análisis anuales.</t>
      </text>
    </comment>
    <comment authorId="0" ref="AD1">
      <text>
        <t xml:space="preserve">======
ID#AAAB2JvX8l8
    (2026-03-18 02:31:31)
KPI que calcula el impacto real: Sentiment x Focus x Media Tier.</t>
      </text>
    </comment>
    <comment authorId="0" ref="Z1">
      <text>
        <t xml:space="preserve">======
ID#AAAB2JvX8l0
    (2026-03-18 02:31:31)
Marca 1 si la noticia menciona directamente a DiDi.</t>
      </text>
    </comment>
    <comment authorId="0" ref="M1">
      <text>
        <t xml:space="preserve">======
ID#AAAB2JvX8l4
    (2026-03-18 02:31:31)
Enlace directo a la fuente original de la noticia.</t>
      </text>
    </comment>
    <comment authorId="0" ref="AG1">
      <text>
        <t xml:space="preserve">======
ID#AAAB2AbHKkA
    (2026-03-18 02:31:30)
Concatenación de Ciudad, Estado y País para georreferenciación precisa en mapas.</t>
      </text>
    </comment>
    <comment authorId="0" ref="B1">
      <text>
        <t xml:space="preserve">======
ID#AAAB2AbHKj4
    (2026-03-18 02:31:30)
Titular principal de la noticia analizada.</t>
      </text>
    </comment>
    <comment authorId="0" ref="T1">
      <text>
        <t xml:space="preserve">======
ID#AAAB2AbHKj0
    (2026-03-18 02:31:30)
Índice (0-1) que mide qué tan protagonista es la marca DiDi en la noticia.</t>
      </text>
    </comment>
    <comment authorId="0" ref="Q1">
      <text>
        <t xml:space="preserve">======
ID#AAAB2AbHKj8
    (2026-03-18 02:31:30)
Puntaje interno que valida la relevancia de la ubicación detectada.</t>
      </text>
    </comment>
    <comment authorId="0" ref="G1">
      <text>
        <t xml:space="preserve">======
ID#AAAB2AbHKjw
    (2026-03-18 02:31:30)
Nivel de confianza del modelo de NLP sobre la etiqueta de sentimiento asignada.</t>
      </text>
    </comment>
    <comment authorId="0" ref="AB1">
      <text>
        <t xml:space="preserve">======
ID#AAAB1_lxb0Q
    (2026-03-18 02:31:30)
Marca 1 si la noticia menciona directamente a InDrive.</t>
      </text>
    </comment>
    <comment authorId="0" ref="K1">
      <text>
        <t xml:space="preserve">======
ID#AAAB1_lxb0E
    (2026-03-18 02:31:30)
Ciudad o municipio identificado como lugar del evento.</t>
      </text>
    </comment>
    <comment authorId="0" ref="D1">
      <text>
        <t xml:space="preserve">======
ID#AAAB1_lxb0M
    (2026-03-18 02:31:30)
Escala del 1 al 5 que califica la gravedad del evento (1: Bajo riesgo, 5: Crítico/Fatalidad).</t>
      </text>
    </comment>
    <comment authorId="0" ref="AF1">
      <text>
        <t xml:space="preserve">======
ID#AAAB1_lxb0I
    (2026-03-18 02:31:30)
Valor numérico del mes (1-12) para ordenamiento cronológico en gráficos.</t>
      </text>
    </comment>
    <comment authorId="0" ref="A1">
      <text>
        <t xml:space="preserve">======
ID#AAAB1_lxb0A
    (2026-03-18 02:31:30)
Nombre del medio de comunicación donde se publicó la noticia.</t>
      </text>
    </comment>
    <comment authorId="0" ref="O1">
      <text>
        <t xml:space="preserve">======
ID#AAAB1_lxbz8
    (2026-03-18 02:31:30)
Porcentaje de certeza del modelo sobre la clasificación del tema.</t>
      </text>
    </comment>
    <comment authorId="0" ref="F1">
      <text>
        <t xml:space="preserve">======
ID#AAAB1_lxbz4
    (2026-03-18 02:31:30)
Clasificación categórica del sentimiento (Positivo, Neutral, Negativo).</t>
      </text>
    </comment>
    <comment authorId="0" ref="R1">
      <text>
        <t xml:space="preserve">======
ID#AAAB1_lxbz0
    (2026-03-18 02:31:30)
Nivel de fiabilidad de la geolocalización (Alta, Media, Baja).</t>
      </text>
    </comment>
    <comment authorId="0" ref="AH1">
      <text>
        <t xml:space="preserve">======
ID#AAAB1_lxbzw
    (2026-03-18 02:31:30)
Indicador binario (1/0) que detecta si se menciona a cualquier competidor (Uber, etc.).</t>
      </text>
    </comment>
  </commentList>
  <extLst>
    <ext uri="GoogleSheetsCustomDataVersion2">
      <go:sheetsCustomData xmlns:go="http://customooxmlschemas.google.com/" r:id="rId1" roundtripDataSignature="AMtx7mh4bEMuUxo/KchLxiROdPWsr4k++A=="/>
    </ext>
  </extLst>
</comments>
</file>

<file path=xl/sharedStrings.xml><?xml version="1.0" encoding="utf-8"?>
<sst xmlns="http://schemas.openxmlformats.org/spreadsheetml/2006/main" count="7362" uniqueCount="1234">
  <si>
    <t>source</t>
  </si>
  <si>
    <t>title</t>
  </si>
  <si>
    <t>date</t>
  </si>
  <si>
    <t>severity_level</t>
  </si>
  <si>
    <t>sentiment_polarity</t>
  </si>
  <si>
    <t>sentiment_label</t>
  </si>
  <si>
    <t>sentiment_score</t>
  </si>
  <si>
    <t>topic</t>
  </si>
  <si>
    <t>keywords</t>
  </si>
  <si>
    <t>recommendation_for_comms</t>
  </si>
  <si>
    <t>city_detected</t>
  </si>
  <si>
    <t>state_detected</t>
  </si>
  <si>
    <t>url</t>
  </si>
  <si>
    <t>text</t>
  </si>
  <si>
    <t>topic_confidence</t>
  </si>
  <si>
    <t>apps_detected</t>
  </si>
  <si>
    <t>geo_score</t>
  </si>
  <si>
    <t>geo_confidence</t>
  </si>
  <si>
    <t>geo_gap</t>
  </si>
  <si>
    <t>didi_focus_score</t>
  </si>
  <si>
    <t>media_tier</t>
  </si>
  <si>
    <t>El Universal</t>
  </si>
  <si>
    <t>Hallan cuerpos de seis personas "levantadas" en bares de Villaflores, Chiapas; operativo deja cuatro detenidos</t>
  </si>
  <si>
    <t>2025-12-29</t>
  </si>
  <si>
    <t>Neutral</t>
  </si>
  <si>
    <t>Operativo policial o detención</t>
  </si>
  <si>
    <t>N/A</t>
  </si>
  <si>
    <t>Monitoreo general.</t>
  </si>
  <si>
    <t>Tuxtla Gutiérrez</t>
  </si>
  <si>
    <t>Chiapas</t>
  </si>
  <si>
    <t>https://www.eluniversal.com.mx/estados/hallan-cuerpos-de-seis-personas-levantadas-en-bares-de-villaflores-chiapas-operativo-deja-cuatro-detenidos/</t>
  </si>
  <si>
    <t>TUXTLA GUTIÉRREZ. CHIS.- Los cuerpos de los seis "levantados" en bares deVillaflores, fueronhalladoseste lunes, informó el fiscal general del estado, Jorge Luis Llaven Abarca. El fiscal informó que los cuerpos de los hombres fueron hallados en la comunidad Santa Julia, municipio de Cintalapa, jurisdicción que limita con Oaxaca. Durante el operativo fuerondetenidos cuatro hombres, y aseguradas diversas armas de fuego, cargadores, ropa táctica y vehículos. Los cuerpos de las seis víctimas son trasladados al servicio médico forense para realizar las diligencias periciales correspondientes para suidentificación. Fueron localizados después de "un intensooperativo" de búsquedadesplegado en coordinación con la Secretaría de la Defensa Nacional y la Secretaría de Seguridad del Pueblo, indicó el fiscal general. La madrugada del pasado miércoles,hombres armadosplagiaron a ocho personas durante la que quema de dos bares y de tres vehículos en la cabecera municipal de Villaflores.[Publicidad] La Fiscalía General de Chiapas informó el jueves sobre el hallazgo del cuerpo de Sergio Enrique Pereda Tamayo, y del rescate con vida de otra persona.[Publicidad] Ese día fueron detenidos también siete personas, presuntamente involucradas en los hechos violentos, y aseguradas dosarmascortas, un arma larga y ocho vehículos. Jorge Luis Llaven Abarca informó que se recibieron ocho denuncias en total depersonas desaparecidas, identificadas como Sergio Enrique Pereda Tamayo, quien fue localizado muerto a causa de un balazo en la pierna izquierda; José Armando Coutiño Ruíz; Luis Rubiel Constantino Rodríguez. Así como José Ángel Martínez Marina, Fernando Daniel García Pérez, Juan Ovani Camilo Girón, Mauricio Camilo Girón y Luis Fernando Fernández Ramírez . En el ataque fueron lesionadas tres mujeres que trabajaban en los bares, identificadas como Nayeli, Citlaly y Yazmín, reportadas como estables en los hospitales donde son atendidas. Fuerzas de seguridad estatales refuerzan sus operativos en los límites de Chiapas con Oaxaca, como parte del despliegue para localizar a seispersonas "levantadas"por hombres armados que la madrugada del miércoles quemaron dos bares y tres vehículos en la cabecera municipal de Villaflores. Oscar Alberto Aparicio Avendaño, secretario de Seguridad del Pueblo, informó que se reforzó la presencia operativa en aquella región con despliegue de grupos especiales, labores de inteligencia táctica y capacidades estratégicas, con el objetivo de fortalecer las tareas de localización, vigilancia y control territorial. Las acciones, indicó el mando policíaco, se desarrollan de manera coordinada entre la Fiscalía General del Estado, la federal Secretaría de Seguridad y Protección Ciudadana, la Secretaría de la Defensa Nacional y la Guardia Nacional. Se suman además, autoridades oaxaqueñas. Los trabajos de seguridad se centran principalmente en Cintalapa de Figueroa y zona de Los Chimalapas, ubicado en la línea divisoria de Chiapas y el vecino estado. Se tiene presencia institucional permanente y control operativo, enfatizó Aparicio Avendaño. El gobierno estatal mantiene su responsabilidad de garantizar el orden y la seguridad en esa región estratégica, agregó. El objetivo principal es localizar a las personas desaparecidas, y a cada momento proteger la vida de la población y contribuir a la recuperación de la tranquilidad social. Esas acciones continuarán hasta cumplir con los objetivos establecidos, destacó el titular de Seguridad.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</si>
  <si>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Medium</t>
  </si>
  <si>
    <t>Investigan a Juez de Control por presunta agresión a su pareja en Cancún; solicitan su separación temporal del cargo</t>
  </si>
  <si>
    <t>Cancún</t>
  </si>
  <si>
    <t>Quintana Roo</t>
  </si>
  <si>
    <t>https://www.eluniversal.com.mx/estados/investigan-a-juez-de-control-por-presunta-agresion-a-su-pareja-en-cancun-solicitan-su-separacion-temporal-del-cargo/</t>
  </si>
  <si>
    <t>El Poder Judicial de Quintana Roo inició una investigación administrativa contra el juez de Control en materia penal,Jonathan Yong Mendoza, y solicitó al Tribunal de Disciplina Judicial (TDJ), seasuspendido temporalmente de sus funcionescomo medida cautelar, en tanto se esclarece lo ocurrido la noche del pasado 24 de diciembre, cuando presuntamenteagredió a su parejay portaba un arma de fuego, al encontrarse ambos en el fraccionamiento Palmaris, en la ciudad de Cancún. Los hechos quedaron plasmados en imágenes difundidas a través de redes sociales y motivaron quecolectivas feministasexigieran la destitución del juzgador. Dos días después, la agresión fuedenunciada de forma anónimaa través del sistema electrónico institucional del Poder Judicial estatal y fue sustentada con las imágenes correspondientes. Con base en dicha denuncia, el Órgano de Investigación de Responsabilidades Administrativas del Poder Judicial inició las diligencias correspondientes para el análisis del caso. Además, como parte del procedimiento, solicitó al Tribunal de Disciplina Judicial –figura de reciente creación a partir de la reforma al Poder Judicial– la aplicación de una medida cautelar consistente en la suspensión temporal de funciones de Yong Mendoza, con el objetivo de proteger el interés público ygarantizar que la investigaciónse desarrolle con responsabilidad, transparencia y apego a la ley. El Poder Judicial precisó que la medida solicitada no constituye una sanción definitiva, sino una acción preventiva mientras se recaban los elementos necesarios para determinar si existen responsabilidades administrativas conforme a la normatividad vigente y, en su caso, presentar la acusación correspondiente.[Publicidad] La institución subrayó que la conducta de quienes imparten justicia “debe ser intachable, dentro y fuera de los tribunales, sin limitarse a horarios de trabajo y en coherencia con el compromiso permanente con la sociedad”.[Publicidad] Por separado, el colectivo Femenil Xtabay pidió públicamente al Poder Judicial y a la gobernadora de Quintana Roo, “Mara” Lezama, que se aplique al juzgador la Ley 3 de 3, y que se inicie una investigación paradeterminar la responsabilidadadministrativa del funcionario que suspende los derechos para ocupar cargos. La demanda incluye un exhorto a la mujer víctima del presunto ataque, para que interponga la denuncia correspondiente. Al respecto, vale aclarar que la aplicación de la Ley 3 de 3 –resultado de la homologación de reformas aprobadas por la Legislatura de Quintana Roo– depende de que se tenga una sentencia firme dictada sobre aquel funcionario que haya cometido algunaagresión sexualy acto de violencia o seadeudor alimentario. Lo anterior implica que no es posible aún aplicar dicha disposición al juzgador, pues apenas se inició la investigación del caso. Dicho Tribunal sesionará mañana y tendrá que determinar si separa o no del cargo –temporalmente– al funcionario, sin que ello implique una sentencia firme.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</si>
  <si>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High</t>
  </si>
  <si>
    <t>Accidente del Tren Interoceánico deja a Doña Jovita sin dos hijas y un yerno; "querían ir a conocer y pasear", menciona</t>
  </si>
  <si>
    <t>Negativo</t>
  </si>
  <si>
    <t>Accidente de tránsito o choque vial</t>
  </si>
  <si>
    <t>Seguridad Vial: Monitoreo de zona.</t>
  </si>
  <si>
    <t>Sinaloa</t>
  </si>
  <si>
    <t>https://www.eluniversal.com.mx/estados/accidente-del-tren-interoceanico-deja-a-dona-jovita-sin-dos-hijas-y-un-yerno-querian-ir-a-conocer-y-pasear-menciona/</t>
  </si>
  <si>
    <t>Doña Jovitaestá destrozada emocionalmente y muchos a su alrededor no se explican de dónde saca fuerzas para mantenerse en pie. Entre pequeñas frases y con voz entrecortada, cuenta la tragedia y muestra la imagen de susdos hijas y su yerno, quienesmurieronen el accidente delTren Interoceánicoocurrido el fin de semana en Oaxaca. “Querían ir a conocer y pasear…”, dice desde una humilde vivienda de la ciudad petrolera de Minatitlán, en el sur deVeracruz, uno de los grandes bastiones electorales del morenismo. La mujer de la tercera edad, enfrenta el drama rememorando la alegría que los ocho integrantes de su familia tenían porviajar hacía Oaxacay cómo -cuando ya habían cumplido su sueño-, la tragedia le arrebató a sus hijas Patricia y Honoria Medina Pérez y a su yerno Rogelio Luna. Los integrantes de su familia, quienes vivieron en carne propia elaccidente, pensaron que nada más se había salido el tren de las vías y cuando mucho volteado. “Pero este tren se fueochenta metros hacia el vacío”, lamenta dolida Doña Jovita Pérez Martínez, quien con el infortunio encima recibió a reporteros de esa región.[Publicidad] Patricia trabajaba en elAyuntamiento de Coatzacoalcosy Honoria y su esposo Rogelio vivían en Mexicali y habían llegado a vacacionar a esta tierra petrolera, con la ilusión de conocer el tren emblema de la Cuarta Transformación.[Publicidad] “Me decían que fuéramos a mí. Me invitaban también, nada más que a la mera hora dije: a qué voy a ir, no puedo caminar”, recuerda y en su memoria evoca cuando se fueron medio enojados con ella porque decidió no unirse a la aventura familiar. -Vayan ustedes yo aquí los espero-, fue la frase con la que los despidió. “Como que se molestaron porque yo no fui”, dice a la distancia, sentada en una mesa, conteniendo las lágrimas y el dolor de madre. Se le ve cansada. Y aun así cuenta que fue en las redes sociales como se enteraron del accidente. “Por el face”, precisa. “Como a las once nos enteramos porque mi yerno le mando mensaje a mi nieto de que eltren se había descarrilado”. Y desde un tobogán de emociones, con información escasa y contradictoria, hasta que les confirmaron la muerte de tres integrantes de su familia. Luego empezar a recibir a losheridos. Una de ellas su nieta. “Llegó muy golpeada de la cabeza, de la mano, de la rodilla, de distintas partes…”, cuenta con el rostro compungido. Difícil procesar todo, pero fuerzas no le faltan para pedir al gobierno que se hagan responsables: “que se hicieran responsables de lo que se perdió, aunque la familia nunca volvería, cuando menos que se haganresponsablesde lo económico porque somos pobres”. Con el tiempo se enteró de la verdadera tragedia: 13 personas fallecidas en el descarrilamiento y 109 más en hospitales. “Quien va a querer viajar en ese tren con todo lo que pasó, ya vio que hasta niños se murieron y señores grandes”.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</si>
  <si>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Así quedó el Lamborghini tras el tiroteo en Zapopan; peritos recogen decenas de casquillos</t>
  </si>
  <si>
    <t>Delito violento, robo o asalto</t>
  </si>
  <si>
    <t>balacera</t>
  </si>
  <si>
    <t>Prevención Nocturna: Alerta de zona de riesgo.</t>
  </si>
  <si>
    <t>Zapopan</t>
  </si>
  <si>
    <t>Jalisco</t>
  </si>
  <si>
    <t>https://www.eluniversal.com.mx/estados/asi-quedo-el-lamborghini-tras-el-tiroteo-en-zapopan-peritos-recogen-decenas-de-casquillos/</t>
  </si>
  <si>
    <t>Este lunes se reportó un ataque armado entre civiles armados que duró más de 10 minutos enZapopan, Jalisco. Una de las víctimas de los hechos fue elconductor de un Lamborghini, el cual fue interceptado por camionetas con hombres que le dispararon en repetidas ocasiones, a lo que escoltas del conductor respondieron al ataque. Tras los hechos, la Fiscalía de Jalisco informó que de manera preliminarfallecieron tres personas, entre las que se encuentran el conductor de vehículo del lujo, identificado comoAlberto Prieto Valencia, un comerciante del Mercado de Abastos de Guadalajara, su hija y uno de sus escoltas. Los hechos ocurrieron cerca de las 10:20 horas de este lunes, sobre la avenida Topacio, y luego de la balacera, en la zona quedaron una de las camionetas de los agresores, elvehículo de lujoy la camioneta de los escoltas. En imágenes del momento, se observa la zona acordonada por elementos de seguridad, además del Lamborghini con diversos disparos, y elementos del equipo de peritos recabando información de los sucesos.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</si>
  <si>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Grecia Quiroz confirma detención de otro implicado en asesinato de Carlos Manzo; participó en grupo de WhatsApp donde se coordinó el ataque</t>
  </si>
  <si>
    <t>Michoacán</t>
  </si>
  <si>
    <t>https://www.eluniversal.com.mx/estados/grecia-quiroz-confirma-detencion-de-otro-implicado-en-asesinato-de-carlos-manzo-participo-en-grupo-de-whatsapp-donde-se-coordino-el-ataque/</t>
  </si>
  <si>
    <t>Uruapan.- La alcaldesa de Uruapan,Grecia Quiroz, informó que otra persona implicada en elasesinatode su esposo,Carlos Manzo, fue detenida. “Lo único que me han reportado es que detuvieron a una persona más que estuvo implicada dentro del grupo de WhatsApp. “Yo no he tenido, hasta este momento, unacercamiento con el fiscal, y espero en los próximos días tener una conversación con él”, expresó la alcaldesa en declaraciones a medios locales. No precisó cuándo ocurrió la detención ni el papel que jugó esta persona en elasesinato del alcalde de Uruapan, ocurrido la noche del 1 de noviembre en la plaza principal del municipio. La Fiscalía de Michoacán ha explicado que el crimen contra el alcalde fue coordinado a través de ungrupo de WhatsAppen el cual participaban dos jóvenes identificados como Fernando Josué “N” y Ramiro “N”, quienes realizaron labores de seguimiento y logística y fueron encontrados sin vida el 10 de noviembre. También participaba Jorge Armando “N”, aliasEl Licenciado, quien ejercía funciones de liderazgo y fue detenido el pasado 20 de noviembre, actualmente se encuentra en un penal federal. Por este caso también están detenidos siete agentes municipales que se desempeñaban como escoltas de Carlos Manzo.[Publicidad]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</si>
  <si>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Muere Juan Pedro Franco, el hombre más obeso del mundo; infección renal complicó su salud</t>
  </si>
  <si>
    <t>Ciudad de México</t>
  </si>
  <si>
    <t>https://www.eluniversal.com.mx/estados/muere-juan-pedro-franco-el-hombre-mas-obeso-del-mundo-infeccion-renal-complico-su-salud/</t>
  </si>
  <si>
    <t>Ciudad de México.- El mexicanoJuan Pedro Franco, conocido por haber sido elhombre más obeso del mundo, murió este lunes en el central estado deAguascalientes, de donde era originario, a los 41 años de edad, debido a una infección renal. En un comunicado,José Antonio Castañeda, el doctor que lo atendía, informó sobre el deceso del hombre que en 2017 obtuvo elrécord Guinnesspor ser el ser humano con más peso del mundo en ese entonces, alpesar casi 600 kilosen la báscula. “En los últimos días, su estado de salud se vio comprometido a causa de una infección renal que evolucionó con complicaciones sistémicas, lo que derivó en su fallecimiento mientras se encontraba hospitalizado”, señaló el especialista. En 2017, el joven de entonces 32 años pesaba cerca de 595 kilos cuando se puso en manos deCastañeda, quien le sometió a una dieta mediterránea que hace énfasis en las verduras y en las frutas para luego hacerle dos operaciones: una de manga gástrica y otra debypassgástrico. Tras ello, Franco logró una disminución de 49% de su peso inicial. En 2020, incluso logró superar uncontagio de Covid-19, un evento que representaba un alto riesgo dada su condición de salud previa y que reflejó el impacto de lamejoríaalcanzada en los años anteriores y el haber concluido de manera exitosa su proceso bariátrico.[Publicidad] Castañeda recordó que el caso deJuan Pedrofue un proceso médico “complejo y desafiante”, el cual ayudó a visibilizar la obesidad como una enfermedad “que requiere empatía, ciencia y trabajo coordinado, más allá del estigma que aún la rodea”.[Publicidad] El galeno expresó sus “más sinceras condolencias” a la familia y seres queridos deFrancoy reconoció la huella que dejó la historia deJuan Pedrogracias a su “perseverancia, resiliencia y honestidad para compartir su vida, lo cual generó empatía en muchas personas y motivó a otros a enfrentar sus propios retos de salud”.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</si>
  <si>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Inicia entrega de cuerpos tras tragedia del Tren Interoceánico; familia recibe restos de niña de 9 años</t>
  </si>
  <si>
    <t>Oaxaca</t>
  </si>
  <si>
    <t>https://www.eluniversal.com.mx/estados/inicia-entrega-de-cuerpos-tras-accidente-del-tren-interoceanico-menor-de-nueve-anos-ya-fue-devuelta-a-su-familia/</t>
  </si>
  <si>
    <t>El secretario de Gobierno de Oaxaca, Jesús Romero López, informó que el retraso en laentrega de los cuerposde las personas que fallecieron en el descarrilamiento delTren Interoceánicoa sus familiares se debe a que deben seguirse un protocolo necesario para las investigaciones. Hasta ahora, dijo, ya se entregó elcuerpo de la niña de nueve añosde edad y que era originaria de Comitancillo, población de la región del Istmo de Tehuantepec. "En el caso de los cuerpos, yo quisiera ser muy puntual. Hay un protocolo de ley. Nosotros qué más quisiéramos que pudiera que las familias estén con sus seres queridos; pero hay planteamientos de orden jurídico, de investigaciones que requieren también un protocolo por parte de laFiscalía General de la República, quien trasladó peritos, y de la Fiscalía del Estado, quien realizó los levantamientos". Romero López adelantó que en las próximas horas se estaránentregando otros cuerposa sus familiares y algunos de ellos a Mexicali, Baja California, y a los estados de Veracruz, Guanajuato y Zacatecas. "Vamos a avanzar y con el protocolo considero que, si está lista la funeraria... Se ha acompañado por parte del gobierno del estado también con los gastos funerarios y en cuidar a las familias sobrevivientes, apoyarlas y darles todo el respaldo que requieren en este momento tan triste para el pueblo", dijo. El funcionario también mencionó que laspersonas lesionadasfueron trasladadas a más de 11 hospitales del estado.[Publicidad]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</si>
  <si>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Familia misionera de Chihuahua, entre los heridos por descarrilamiento del Tren Interoceánico; el hijo continúa hospitalizado</t>
  </si>
  <si>
    <t>Soporte DRV: Seguros/Guía post-siniestro.</t>
  </si>
  <si>
    <t>Chihuahua</t>
  </si>
  <si>
    <t>https://www.eluniversal.com.mx/estados/familia-misionera-de-chihuahua-entre-los-heridos-por-descarrilamiento-del-tren-interoceanico-el-hijo-continua-hospitalizado/</t>
  </si>
  <si>
    <t>Ciudad Juárez.- Una familia misionera de Ciudad Juárez, Chihuahua, conformada pordos adultos y un menor, resultaron lesionados en el accidente ocurrido el domingo pasado en elTren Interoceánicoen Oaxaca. Fue por medio de las redes sociales que activistas y misioneros de esta frontera, dieron a conocer, que el pasado 20 de diciembre losmisionerosidentificados como Flor del Carmen Temich Sinta, su esposo Juan Manuel Iglesias López y uno de sus 2 hijos, Alexis Iglesias Temich salieron de Juárez a las comunidades rurales de Salinas Cruz, Oaxaca para llevar, regalos, dulces y comida a familias humildes de esa zona del país. El domingo que ocurrió el accidente del descarrilamiento del tren que dejó a13 personas sin vida, la familia juarense resultó lesionada y hasta ayer aún aparecían en las listas oficiales de afectados publicada por la Secretaría de Gobernación (Segob). En Ciudad Juárez, el pastor Carlos Mayorga, dio a conocer, que los misioneros Flor y su esposo Juan, habían sidodados de altadurante las últimas horas, mientras que su hijo, quien también es misionero continuaba en el hospital militar de la capital de Oaxaca. Según detalló, el menor fue trasladado en helicóptero junto a su madre para hacerle estudios en la cabeza, ya que presentólesiones externas. La familia juarense se reportaba como fuera de peligro, sin embargo, se proporcionó una cuenta bancaria paraapoyar económicamentea los afectados que se dirigían a Veracruz, para pasar el fin de año con su familia.[Publicidad] El presidente municipal de Ciudad Juárez, Cruz Pérez Cuéllar, comentó en conferencia de prensa durante el lunes, que por parte del Gobierno local se estaría buscando a la familia misionera, para apoyarles en lo que fuera necesario.[Publicidad] Pérez Cuéllar afirmó que se buscará hacer contacto con elGobierno de México, para buscar apoyar a la familia afectada. Hasta al cierre de esta nota, no se tenía mayor información sobre el estado de salud de la familia juarense afectada.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</si>
  <si>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Low</t>
  </si>
  <si>
    <t>Identifican al conductor de Lamborghini muerto tras tiroteo en Zapopan; era comerciante del Mercado de Abastos de Guadalajara</t>
  </si>
  <si>
    <t>https://www.eluniversal.com.mx/estados/identifican-al-conductor-de-lamborghini-muerto-tras-tiroteo-en-zapopan-era-comerciante-del-mercado-de-abastos-de-guadalajara/</t>
  </si>
  <si>
    <t>La Fiscalía de Jalisco confirmó que ya sontres personas fallecidastras eltiroteode esta mañana en Zapopan; se forma preliminar se ha informado que las víctimas son uncomerciante del Mercado de Abastos de Guadalajara, su hija menor de edad y uno de los escoltas que los resguardaba. Además, se informó que los otros cuatro heridos también son escoltas del comerciante y uno de ellos se encuentra encondición grave; aunque las autoridades siguen verificando la identidad de las víctimas, de forma extraoficial se ha dicho que el conductor del vehículo eraAlberto Prieto Valencia, un empresario dedicado a la comercialización de semillas, cereales y abarrotes, y con participación en empresas de trasporte de carga. Mientras la Fiscalía de Jalisco se encuentra realizando las investigaciones en el sitio donde ocurrieron los hechos, los responsables del ataque han filtrado un par de videos que circulan en redes sociales en los que se puede ver queintervinieron al menos 10 personascon armas largas que viajaban en cinco vehículos. En uno de los videos se observa que al menos cinco sujetos disparan contra el Lamborghini anaranjado desde la calle Brillante, en tanto que otro grupo lo ataca de frente sobre la avenida Topacio; de pronto alguien grita una clave (“85”) y todos suben a los vehículos paraescapar. En el otro video la persona que graba con un teléfono celular está sobre la avenida Topacio y registra el paso de las dos camionetas en que viajaban los escoltas tras elvehículo del empresario, que al llegar a la esquina de la calle Brillante es atacado de frente y por el flanco izquierdo; al verse superados los escoltas intentan escapar en reversa para resguardarse. Las autoridades no han brindado mayor información sobre lo ocurrido ni alguna posible línea de investigación.[Publicidad]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</si>
  <si>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Autoridades de Sinaloa pide reportar detonaciones al aire en fin de año; lanza campaña “Celebra sin Disparar”</t>
  </si>
  <si>
    <t>Otros temas generales</t>
  </si>
  <si>
    <t>Descartar / Baja prioridad.</t>
  </si>
  <si>
    <t>https://www.eluniversal.com.mx/estados/autoridades-de-sinaloa-piden-denunciar-disparos-al-aire-en-ano-nuevo-piden-sumarse-a-la-campana-celebra-sin-disparar/</t>
  </si>
  <si>
    <t>Culiacán, Sin.- La Secretaría de Seguridad Pública del Estado instó a los ciudadanos evitar la vieja tradición de festejar el fin de Año y el inicio del Nuevo Año condetonaciones de armasde fuego al aire, por lo que puso a disposición las líneas de emergencia para que se realicendenuncias anónimassobre esta práctica y la autoridad pueda actuar de inmediato. A través de un breve comunicado hizo un llamado a laconcienciaciudadana sobre el riesgo que implica el uso de las armas de fuego, en estos festejos por lo que las diversas autoridades van actuar contra los queviolenten la leycon este tipo de festejos. Convocó a la población a sumarse a la campaña “Celebra sin Disparar”, por lo que puso en marcha a través de redes sociales sobre los riegos que implican continuar con esta práctica que en muchos casos dejan daños irreparables en las familias. Se menciona que la portación de armas de fuego y su empleo, constituyen un delito del fueron federal, por lo que se atenderán todas las llamadas anónimas que realice la población para atender denuncias sobre detonaciones de armas de fuego durante los festejos de Fin de Año y el Inicio del Nuevo. Como parte deloperativo Guadalupe-Reyes, se tiene un despliegue de elementos del ejército, la Guardia Nacional, personal Naval, de las Policías federal, estatal y municipal en todo el estado para intervenir con rapidez.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</si>
  <si>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Explotan dos camionetas en San Agustín Tlaxiaca, Hidalgo; eran presuntamente usadas para el robo de combustible</t>
  </si>
  <si>
    <t>Hidalgo</t>
  </si>
  <si>
    <t>https://www.eluniversal.com.mx/estados/explotan-dos-camionetas-en-san-agustin-tlaxiaca-hidalgo-eran-presuntamente-usadas-para-el-robo-de-combustible/</t>
  </si>
  <si>
    <t>Pachuca.- Al menos dos camionetas, presuntamente utilizadas para elrobo de combustible, explotaron la mañana de este día en el municipio de San Agustín Tlaxiaca, en el estado de Hidalgo, junto alpoliducto Tuxpan–Tula, a la altura del kilómetro 262. De acuerdo con reportes policiales, vecinos de la zona alertaron a las autoridades tras escuchar un fuerte estruendo y observar llamas, por lo que solicitaron el apoyo de Protección Civil y corporaciones de seguridad. Al acudir al sitio, los cuerpos de emergencia localizaron dos unidades completamentecalcinadas. Se indicó que la explosión ocurrió en las inmediaciones deinfraestructura energética; sin embargo, tras una inspección en la zona se descartaron daños a las instalaciones. No obstante, el área fue asegurada por las autoridades como medida preventiva. Asimismo, se informó que junto a las unidades fue localizada una toma clandestina, la cual ya había sido sellada con anterioridad. Elementos de Protección Civil y Bomberos procedieron a acordonar la zona paradescartar riesgosa la población. Cabe señalar que el municipio de San Agustín Tlaxiaca se encuentra dentro del ranking de los 100 municipios con mayor número detomas clandestinas, de acuerdo con datos del Observatorio Ciudadano, Igavim. En lo que va del año, en esta demarcación se han detectado80 tomas clandestinas.[Publicidad] A nivel estatal, Hidalgo acumuló mil 918 tomas clandestinas de enero a septiembre, lo que representa un incremento del 0.37 por ciento en comparación con el mismo periodo del año anterior.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</si>
  <si>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Arrancones en la carretera Mérida-Progreso provocan accidente; hay un motociclista con heridas graves</t>
  </si>
  <si>
    <t>Mérida</t>
  </si>
  <si>
    <t>Yucatán</t>
  </si>
  <si>
    <t>https://www.eluniversal.com.mx/estados/arrancones-en-la-carretera-merida-progreso-provocan-accidente-hay-un-motociclista-con-heridas-graves/</t>
  </si>
  <si>
    <t>Progreso, Yucatán.- Sobre lacarretera Mérida-Progreso, a pocos metros de la entrada a la comisaría de Flamboyanes, se registró un fuerteaccidente, luego de que dos motociclistas realizaban “arrancones” lo que habría derivado en una colisión con un automóvil. El percance ocurrió cerca de la medianoche de ayer domingo, cuando un vehículo Chevrolet terminóimpactando contra una de las motocicletas. Tras el golpe, el automóvil perdió el control del volante y salió de la carpeta asfáltica para terminar volcando entre la maleza, mientras que la motocicleta quedó prácticamentedestrozada. El motociclista involucrado resultó con múltipleslesionesy, de acuerdo con testigos, el otro joven que participaba en los “arrancones” huyó del lugar abandonando a su compañero. Conductores y vecinos auxiliaron al motociclista herido y al conductor del automóvil. Minutos más tarde arribaron paramédicos de la Secretaría de Seguridad Pública, quienes trasladaron a los dos lesionados alhospital.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</si>
  <si>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Ataques armados en Culiacán dejan dos muertos; hay cinco heridos, entre ellos una mujer y su hijo</t>
  </si>
  <si>
    <t>Culiacán</t>
  </si>
  <si>
    <t>https://www.eluniversal.com.mx/estados/ataques-armados-en-culiacan-dejan-dos-muertos-hay-cinco-heridos-entre-ellos-una-mujer-y-su-hijo/</t>
  </si>
  <si>
    <t>Culiacán, Sin.- En ataques distintos registrados en colonias ubicadas en la parte sur-poniente de la capital del estado, dos hombres identificados comoAntonio Felipe “N” y Joelresultaronmuertos, mientras otras cinco personas, entre ellas una mujer y su hijo resultaron conheridasde bala por lo que fueron trasladados a hospitales. Las autoridades de seguridad, en forma inicial fueron notificadas de fuertesdetonaciones de armasde fuego por la avenida Ernesto Damy, a un costado del antiguo mercado de abastos, de la colonia Pemex. En ese sector, se encontró los cuerpos de dos personas del sexo masculino conimpactos de balaen el cuerpo y la cabeza, una calle adelante los socorristas de la Cruz Roja, brindaron Asistencia a una mujer de nombre paulina y a un joven, presuntamente su hijo, los cuales presentaban impactos de bala, por lo que fueron trasladados a un hospital. Las autoridades fueron notificadas que tres vecinos de la colonia Libertad que colinda con la de Pemex, habían sido trasladados heridos a un hospital, lo que hace presumir que estos hechos están relacionados, por lo que la Fiscalía General del Estado inició las primerasindagaciones. Personal del ejército, la Guardia Nacional y de la Policía Estatal Preventiva que fueron desplazados a ambos sectores para iniciar labúsqueda de los presuntos agresores, no lograron localizarlos, por lo que se amplió el perímetro.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</si>
  <si>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Desmantelan tienda de sustancias ilícitas en Maxcanú, Yucatán; reportan diversos detenidos</t>
  </si>
  <si>
    <t>https://www.eluniversal.com.mx/estados/desmantelan-tienda-de-sustancias-ilicitas-en-maxcanu-yucatan-reportan-diversos-detenidos/</t>
  </si>
  <si>
    <t>Maxcanú, Yucatán.- Elementos de fuerzas federales y estatales cumplieron unaorden de cateoen un predio de la colonia San Román, en el municipio de Maxcanú, donde sedetuvo a varios sujetos. Agentes de la Fiscalía General de la República (FGR), con apoyo de uniformados de la Secretaría de la Defensa Nacional (Defensa), Secretaría de la Marina (Marina), llegaron al citado predio ubicado en la calle 20 entre 13 y 11. Los elementos sitiaron un inmueble que funciona como “tiendita” donde, según vecinos, habíamovimientos inusualesde personas a toda hora. Al ingresar al domicilio, los agentes sorprendieron no sólo a los presuntos distribuidores, sino también a varios individuos que adquiríansustancias ilícitas, los cuales fueron detenidos para evitar intentos de fuga a través de los patios colindantes. Durante la inspección del inmueble, las autoridades aseguraron diversasdosis de sustanciascon características propias de enervantes, listas para su comercialización, así como objetos utilizados para el pesaje y empaquetado. En el lugar también fueron detenidos clientes que se encontraban en flagrancia. El predio fue finalmente sellado con cintas de seguridad y quedó bajoresguardofederal.[Publicidad]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</si>
  <si>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Se descarrila vagón de tren Ferromex en Sonora; reportan pérdidas materiales</t>
  </si>
  <si>
    <t>Sonora</t>
  </si>
  <si>
    <t>https://www.eluniversal.com.mx/estados/se-descarrila-vagon-de-tren-ferromex-en-sonora-reportan-perdidas-materiales/</t>
  </si>
  <si>
    <t>Nogales, Sonora.- Momentos de tensión se vivieron la noche del domingo, luego de que unvagón de ferrocarrilde la empresaFerromex, se desprendiera de la locomotora principal y recorriera sin control varios kilómetros a través de la ciudad, hasta descarrilarse a escasos metros de la línea fronteriza con Estados Unidos. Sin personal a bordo ni frenos activos la unidad se desprendió durante el armado rutinario en los patios de maniobras de Ferromex. De acuerdo con los primeros reportes, el incidente ocurrió alrededor de las 23.15 horas, cuando el vagón salió de los patios ubicados en Lomas de Nogales y avanzó de sur a norte por lamancha urbana. La unidad recorrió cuatro kilómetros, según estimaciones oficiales, generando alarma entre ciudadanos y autoridades aldesplazarse sin operadorni supervisión. El vagón finalmente se detuvo en las inmediaciones de la garita Dennis DeConcini, cerca de la conexión ferroviaria internacional. A unos 100 metros del punto fronterizo, trabajadores ferroviarios activaron un protocolo de seguridad que incluyó la construcción de un terraplén y el uso de un desviador, mecanismo diseñado para provocar un descarrilamiento controlado y evitar que el vagón ingresara a territorio estadounidense.[Publicidad] Autoridades confirmaron que eldescarrilamiento fue controladoy que no se registraron personas lesionadas.[Publicidad] Los daños se limitaron apérdidas materialesde consideración en la infraestructura ferroviaria y zonas aledañas al punto del impacto. El vagón circuló a alta velocidad hasta llegar al punto de descarrilamiento, donde finalmente se detuvo a escasos metros del portón metálico que divide a ambas ciudades fronterizas. Bomberos y cuerpos de emergencia acudieron al sitio para atender la situación, sin que se reportaranincidencias mayores. Del lado estadounidense, se informó que un tren con destino a México pudo salir sin contratiempos, ya que las vías se encontraban libres, evitando así un incidente de mayores proporciones. Hasta el momento, Ferromex realiza lasinvestigacionescorrespondientes para determinar las causas del desprendimiento del vagón, mientras que ciudadanos han manifestado su preocupación y esperan que la empresa refuerce las medidas de seguridad para prevenir hechos similares en el futuro. De acuerdo a la Coordinación Municipal de Protección Civil y de la Comisaría de Seguridad Pública de la frontera de Nogales, se activó unoperativo especialpara prevenir riesgos de accidente, luego de que el vagón del ferrocarril se desplazara sin control por las vías ubicadas en el centro de la ciudad, hasta descarrilar a unos metros de la Línea Internacional con Estados Unidos. El furgón cargado con aproximadamente120 toneladas de chícharodeshidratado se desplazó de manera autónoma y sin control desde los patios de maniobras y talleres de la empresa Ferrocarriles de México (Ferromex), avanzando por las vías con dirección al norte. Ante esta situación, de manera inmediata se implementó el operativo para elcierre preventivode los cruceros ferroviarios, desde la calle Plutarco Elías Calles hasta Ruiz Cortines, lo que permitió evitar accidentes y que ninguna persona resultara lesionada. Elementos de la empresa ferroviaria, en coordinación con corporaciones de seguridad pública y protección civil, mantuvieron un trabajo conjunto durante todo el trayecto del vagón, el cual circuló aalta velocidadhasta llegar al punto de descarrilamiento. Gracias a la intervención oportuna del personal de la Unidad Municipal de Protección Civil y de la Jefatura de Policía y Tránsito Municipal, la situación fue controlada sin mayores consecuencias, evidenciando la efectividad de los procesos de capacitación y profesionalización del personal operativo. Asimismo, ingenieros y técnicos de Ferromex, en conjunto con la Fiscalía General de la República (FGR), iniciaron las investigaciones correspondientes para determinar las causas que originaron el desplazamiento del vagón sin control. Este día dieron inicio los trabajos para el retiro del vagón descarrilado, el cual quedó detenido justo antes de alcanzar los límites con Estados Unidos.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</si>
  <si>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Fallecen tres veracruzanos en accidente del Tren Interoceánico; confirman víctimas de Minatitlán</t>
  </si>
  <si>
    <t>https://www.eluniversal.com.mx/estados/fallecen-tres-veracruzanos-en-accidente-del-tren-interoceanico-confirman-victimas-de-minatitlan/</t>
  </si>
  <si>
    <t>Tres personas originarias de Veracruzfallecieron durante elaccidente delTren Interoceánicoocurrido el fin de semanaen Oaxaca. La gobernadoraRocío Nahle García(Morena) confirmó elfallecimiento de dos mujeres y un hombre, originarios delmunicipio petrolero de Minatitlán, ubicado en el sur de la entidad. Se trata de lashermanas Patricia y Onoria Medina Pérez, así como deRogelio Luna, quienes forman parte de lalista de13 decesosregistrados tras elaccidente ferroviario. “Externó mis más sentidas condolencias (…) activamos protocolo de emergencia entre los dos estados para servicios de salud y atención necesaria”, expresó la mandataria estatal durante conferencia de prensa. Asimismo, reportó quetres mujeres veracruzanas resultaron heridasy permaneceninternadasen elHospital delIMSS Bienestarde Ixtepec, en Oaxaca. Las lesionadas sondos jóvenes de 22 y 21 años, y unamujer de 48 años, todasoriginarias del municipio de Coatzacoalcos, también en el sur de Veracruz.[Publicidad] LaSecretaría de Marina (Semar)mantiene en13 el número de personas fallecidaspor eldescarrilamiento del Tren Interoceánico. Durante un enlace con la conferencia mañanera de la presidentaClaudia Sheinbaum Pardo, el secretario de Marina informó que de las250 personas a bordo,nueve fueron atendidas en el sitio,109 en hospitalesy34 permanecen hospitalizadas.[Publicidad]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</si>
  <si>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Tiroteo en Zapopan deja tres muertos y cinco heridos; ataque contra ocupantes de un Lamborghini se prolonga por 10 minutos</t>
  </si>
  <si>
    <t>Protestas o bloqueos viales</t>
  </si>
  <si>
    <t>Operaciones: Notificar zonas a evitar (Waze/Maps).</t>
  </si>
  <si>
    <t>https://www.eluniversal.com.mx/estados/tiroteo-en-zapopan-deja-dos-muertos-ataque-armado-duro-mas-de-10-minutos/</t>
  </si>
  <si>
    <t>Dos personas murieronycinco más resultaron lesionadastras unenfrentamientoentre civiles armados en la colonia Residencial Victoria, enZapopan; de acuerdo con las primeras versiones, eltiroteo duró más de 10 minutose involucró a los ocupantes de cuatro vehículos. Los hechos ocurrieron cerca de las 10:20 horas de este lunes, sobre la avenida Topacio, cuando los ocupantes de unvehículo Lamborghini Ursusfueron interceptados por dos camionetas, cuyos tripulantes comenzaron a dispararles; sin embargo, los escoltas que viajaban en otra camioneta respondieron alataque. Tras las llamadas al número de emergencia, arribaron al sitio policías municipales deZapopan y Guadalajara, así como policías estatales, agentes de laFiscalía de Jalisco, laGuardia Nacional, laDefensayparamédicos. Elpersonal de saludconfirmó lamuerte de dos hombresen el lugar y trasladó de emergencia a cinco personas a distintos hospitales, entre ellas una mujer. En el sitio quedaron una de las camionetas de losagresores, elvehículo de lujode las víctimas y la camioneta de los escoltas; aunque no se ha revelado la identidad de los muertos y heridos, trascendió que los fallecidos serían el conductor del vehículo de lujo y uno de sus escoltas. La zona fue cerrada para la recolección de indicios, entre los que se hallaron más de 100 casquillos percutidos de diferentes armas; pese a la amplia movilización de fuerzas de seguridad para buscar a los responsables,no se reportan detenciones.[Publicidad] Hasta el momento, ninguna autoridad ha proporcionado información oficial, y en redes sociales circulan videos donde se observa parte del ataque.[Publicidad] La Fiscalía de Jalisco confirmó que ya sontres personas fallecidastras el tiroteo de esta mañana en Zapopan; se forma preliminar se ha informado que las víctimas son uncomerciantedel Mercado de Abastos de Guadalajara, su hija menor de edad y uno de los escoltas que los resguardaba. Además se informó que los otroscuatro heridostambién sonescoltasdel comerciante y uno de ellos se encuentra en condicióngrave; aunque las autoridades siguen verificando la identidad de las víctimas, de forma extraoficial se ha dicho que el conductor del vehículo eraAlberto Prieto Valencia, un empresario dedicado a la comercialización de semillas, cereales y abarrotes, y con participación en empresas de trasporte de carga. Mientras la Fiscalía de Jalisco se encuentra realizando las investigaciones en el sitio donde ocurrieron los hechos, los responsables del ataque han filtrado un par devideosque circulan en redes sociales en los que se puede ver que intervinieron al menos 10 personas con armas largas que viajaban en cinco vehículos. En uno de los videos se observa que al menos cinco sujetos disparan contra el Lamborghini anaranjado desde la calle Brillante, en tanto que otro grupo lo ataca de frente sobre la avenida Topacio; de pronto alguien grita una clave (“85”) y todos suben a los vehículos para escapar. En el otro video la persona que graba con un teléfono celular está sobre la avenida Topacio y registra el paso de las dos camionetas en que viajaban los escoltas tras el vehículo delempresario, que al llegar a la esquina de la calle Brillante es atacado de frente y por el flanco izquierdo; al verse superados los escoltas intentan escapar en reversa para resguardarse. Las autoridades no han brindado mayor información sobre lo ocurrido ni alguna posible línea de investigación.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</si>
  <si>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Ellos son los fallecidos en el descarrilamiento del Tren Interoceánico de Oaxaca</t>
  </si>
  <si>
    <t>https://www.eluniversal.com.mx/estados/ellos-son-los-fallecidos-en-el-descarrilamiento-del-tren-interoceanico-de-oaxaca/</t>
  </si>
  <si>
    <t>El 28 de diciembre se reportó eldescarrilamiento del Tren Interoceánico, que conecta el océano Pacífico con el golfo de México, dejó un saldo de13 personas fallecidas y 98 lesionadas, informó la Secretaría de Marina (Semar). De acuerdo con la dependencia, a bordo de la unidadviajaban 250 personas, entre pasajeros y tripulación, de las cuales 139 resultaron ilesas. Del total de heridos,36 permanecen hospitalizados, mientras que el resto presentó lesiones no graves. La presidentaClaudia Sheinbaumdetalló que los lesionados reciben atención médica en hospitales delIMSS en Matías Romero y Salina Cruz, así como en unidades delIMSS-Bienestar en Juchitán e Ixtepec. Entre lasvíctimas fatales del descarrilamiento del Tren Interoceánicoen el Istmo de Tehuantepec, se encuentran menores de edad, jóvenes estudiantes, un profesor e integrantes de familias originarias del estado de Veracruz. Una de las menores fallecidas esElena Solorza Cruzdeseis años de edad, quien viajaba con sus padres para vacacionar en Coatzacoalcos, Veracruz. Luisa Camila Serrano Morenode 15 años de edad, originaria de Salina Cruz, Oaxaca, quien viajaba con su madre y hermana para pasar el fin de año en Coatzacoalcos. Elprofesor jubiladodel Centro de Estudios Tecnológicos del Mar 05 con sede en Salina Cruz,Berzaín Cruz López, y su esposa María Concepción Acevedo.[Publicidad] Falleció el periodistaIsrael Enrique Gallegos Soto, quien será velado esta noche en Matías Romero Avendaño, y se está a la espera de la llegada de sus familiares; la esposa del periodista aún se encuentra hospitalizada.[Publicidad] Rogelio Luna, Patricia Medina Pérez, Honoria Medina Pérez, los tres integrantes de una misma familia originaria de Minatitlán, Veracruz. María Antonia Rosales Mendoza, originaria de Acayucan, Veracruz, viajaba acompañada de su esposo Rolando Domínguez Ramírez y de su hija Libertad Domínguez Rosales, quienes resultaron heridos. Habían viajado a Salina Cruz para visitar a una hermana de ella, y para vivir la experiencia, decidieron regresar en el Tren Interoceánico.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</si>
  <si>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Tribunal Electoral revisará 35 impugnaciones en Veracruz; podrían cambiar resultados municipales</t>
  </si>
  <si>
    <t>Veracruz</t>
  </si>
  <si>
    <t>https://www.eluniversal.com.mx/estados/tribunal-electoral-revisara-35-impugnaciones-en-veracruz-podrian-cambiar-resultados-municipales/</t>
  </si>
  <si>
    <t>Horas antes de latoma de protestade los212 nuevos alcaldes y alcaldesas de Veracruz, la Sala Superior del Tribunal Electoral del Poder Judicial de la Federación(TEPJF)resolverá 35 recursos de inconformidad relacionados con laelección municipal. Durante lasesión públicaprogramada para estemartes 30 de diciembre, elórgano jurisdiccionalanalizará los recursos derivados de la elección del 1 de junio, lo que podría provocarmodificaciones en el mapa electoral. Será elmiércoles 31 de diciembrecuando las 212 nuevas autoridades municipales rindan protesta de ley, para entrar en funciones a partir del primer minuto del 1 de enero. Las resoluciones de los casos en losmunicipios de Tamiahua y Jáltipanconcentran la atención política y social, ya que enambos podría anularse la elección. En el caso deTamiahua, el magistrado electoral Reyes Rodríguez Mondragón propone laanulación de la eleccióny larevocación del triunfode la alcaldesa electa del PVEM,Citlali Medellín, porpresuntamente rebasar el tope de gastos de campaña. En tanto, se revisará la elección enJáltipan, donde el Tribunal Electoral de Veracruz, avalado por la Sala Regional del TEPJF, determinó laanulaciónporviolencia política de género.[Publicidad] Dicha resoluciónretiró el triunfoalalcalde electo de Movimiento Ciudadano, Gildardo Maldonado Guzmán, quien obtuvo6 mil 125 votos, seguido por la candidata de lacoalición PVEM-Morena, Mildred Marlene May. En este caso, lamagistrada presidenta de la Sala Regional Xalapa, Roselia Bustillo Marín, propusorestituir el triunfo a MC, al considerar que laviolencia política de génerono influyó de manera determinante en la intención del voto.[Publicidad] Bustillo Marín reconoció la existencia de violencia política de género, pero sostuvo que la nulidad de la elección debe analizar si las violaciones fueron determinantes en el resultado electoral. De acuerdo con losresultados electorales preliminaresy a la espera de las resoluciones finales de la Sala Superior, Morena y el PVEM gobernarán en conjunto 72 municipios (12 de Morena y 60 en alianza). Movimiento Ciudadano encabezará 39 alcaldías; el PAN, 34; el Partido del Trabajo (PT), 30 presidencias municipales; y el PRI, 24 alcaldías. El Partido Verde Ecologista de México (PVEM) gobernará 12 alcaldías en solitario, y se contempla la presencia deun alcalde independiente.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</si>
  <si>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Mueren dos trabajadores al quedar prensados por maquinaria; investigan accidente laboral en Nuevo León</t>
  </si>
  <si>
    <t>Nuevo León</t>
  </si>
  <si>
    <t>https://www.eluniversal.com.mx/estados/mueren-dos-trabajadores-al-quedar-prensados-por-maquinaria-investigan-accidente-laboral-en-nuevo-leon/</t>
  </si>
  <si>
    <t>Mientras realizaban suslabores,dos empleados murieronal quedarprensados bajo una máquinadentro de unaempresaubicada enSanta Catarina, Nuevo León. Loshechosse reportaron en lacompañía Carrier, localizada en el cruce de las callesGaleanayEl Lechugal, en lacolonia El Lechugal. Al lugar acudiópersonal de Protección Civil del Estado, donde seconfirmó el decesode losdos trabajadores, luego de que lamáquina les cayera encima. Posteriormente, arribaronperitos de la Agencia Estatal de Investigaciones, quienes realizaron ellevantamiento de evidenciase iniciaron lacarpeta de investigacióncorrespondiente. Hasta el momento,no se ha informado cómo ocurrió el accidente laboralni lascausasque lo provocaron.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</si>
  <si>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Elemento de la AEI de Oaxaca manipula su arma en presunto estado de ebriedad; lo separan de su cargo</t>
  </si>
  <si>
    <t>https://www.eluniversal.com.mx/estados/elemento-de-la-aei-de-oaxaca-manipula-su-arma-en-presunto-estado-de-ebriedad-lo-separan-de-su-cargo/</t>
  </si>
  <si>
    <t>Unelemento de la Agencia Estatal de Investigaciones (AEI)de la Fiscalía General de Oaxaca fue captado en unvideomientrasmanipulaba su armaenpresunto estado de ebriedad, lo que generó temor entre personas que se encontraban cerca del lugar. El hecho ocurrió en elmunicipio de San Pedro y San Pablo Teposcolula, en la región Mixteca de Oaxaca. LaFiscalía General del Estadoinformó queseparó del cargoalelemento de la AEIcomo acción inicial dentro de unproceso sancionatorio, para evaluar su conducta, luego de que fuera captado en un video en el que se observa que manipula de manera riesgosa su arma de cargo. La institución detalló que lasacciones sancionatoriasderivan de un video difundido en diversos canales digitales, donde se aprecia que el agente no atiende los protocolos de uso que rigen la actuación institucional. Asimismo, seinició una investigación internaa través de la Visitaduría General y la Contraloría Interna de la FGEO, con el objetivo de determinar el tipo de responsabilidad en la que pudo incurrir el elemento. Finalmente, las instancias correspondientes dentro de la Fiscalía de Oaxaca determinaron suspender del cargo al agente, mientras continúan los procesos de investigación para definir laposible penalizaciónpor estos hechos.[Publicidad]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</si>
  <si>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Aumentan quejas en hospitales del ISSSTE en Veracruz; denuncian negligencias y carencias de insumos</t>
  </si>
  <si>
    <t>https://www.eluniversal.com.mx/estados/aumentan-quejas-en-hospitales-del-issste-en-veracruz-denuncian-negligencias-y-carencias-de-insumos/</t>
  </si>
  <si>
    <t>Lasquejas y denunciaspordeficiencias en hospitales y clínicasdel Instituto de Seguridad y Servicios Sociales de los Trabajadores del Estado(ISSSTE)enVeracruzhan aumentado en las últimas semanas. En ciudades comoPoza Rica,XalapayVeracruz, usuarios han presentado denuncias porpresuntas negligencias médicas,omisionesydescuidos, además deinstalaciones en mal estado. En el municipio de Poza Rica, al norte de Veracruz, ciudadanos exhibieronimágenesdebaños en condiciones deplorables, así comosaturación de servicios, concamillas en los pasillosy fallas en los aires acondicionados. Desde elpuerto de Veracruz, usuarios denunciaron lafalta de personal médico y especialistas, situación que ha provocado que pacientes permanezcan más tiempo del necesario en los hospitales del Issste. Una de lasquejasfue presentada por el luchador social y activista Francisco Castro, quien aseguró no recibir atención debido a la falta de especialistas, por lo que solicitó la intervención del director general del Issste,Martí Batres. En laciudad de Xalapa, han sidoconstanteslas quejas porcancelación de cirugías programadas,negativas para asignar camas hospitalarias,falta de personal médicoyretraso en estudios especializados.[Publicidad] En laClínica Hospital Xalapa, también se denunció unadeficiente organizaciónen laasignación de citas con médicos especialistas, lo que generólargas filas de usuariosynuevas inconformidades.[Publicidad]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</si>
  <si>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Hallan sin vida a menor reportada como desaparecida tras descarrilamiento del Tren Interoceánico; continúa recuento de víctimas</t>
  </si>
  <si>
    <t>https://www.eluniversal.com.mx/estados/hallan-sin-vida-a-menor-reportada-como-desaparecida-tras-descarrilamiento-del-tren-interoceanico-continua-recuento-de-victimas/</t>
  </si>
  <si>
    <t>Lamenor de 15 años,Luisa Camila S. M., quien viajaba a bordo delTren Interoceánicoque sedescarrilóla mañana de ayer, fueencontrada sin vida. La adolescente viajaba con su familia y había sido reportada como desaparecida tras el accidente. Estelunesseconfirmó el hallazgo de su cuerpo; sin embargo, las autoridades aún no han precisado si con ella aumenta el número de víctimas mortales o si ya se encontraba incluida en el reporte previo de laSecretaría de Marina, que contabiliza13 personas fallecidashasta el momento. Elalmirante Raymundo Pedro Morales Ángeles, titular de la Secretaría de Marina (Semar), informó que de las 13 personas fallecidas en el descarrilamiento del Tren Interoceánico,12 ya habían sido localizadasyuna más permanecía en labores de búsqueda, por lo que es probable que Luisa Camila corresponda a esta última. La menor viajaba acompañada de su madre y su hermana, quienes fueron localizadas con vida poco después del descarrilamiento y mantenían la esperanza de encontrarla con vida. Laniña de 15 añoseraoriginaria de Salina Cruzy, de acuerdo con sus familiares, el viaje en el tren tenía como propósito pasar lasvacaciones de fin de año.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</si>
  <si>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Muere periodista oaxaqueño en descarrilamiento del Tren Interoceánico; gremio lamenta su fallecimiento</t>
  </si>
  <si>
    <t>https://www.eluniversal.com.mx/estados/muere-periodista-oaxaqueno-en-descarrilamiento-del-tren-interoceanico-gremio-lamenta-su-fallecimiento/</t>
  </si>
  <si>
    <t>Elperiodista Israel Enrique Gallegos Sotomurió en eldescarrilamiento del Tren Interoceánico, ocurrido en elIstmo de Tehuantepec; viajaba a bordo con supareja, quien se encuentrahospitalizada, de acuerdo con reportes decolegas. Israel Gallegos eradirector del canal de noticias Oaxaca Mundo Newsy formaba parte delSindicato Nacional de Medios de Comunicación (SINMCO). “Despedimos con profundo dolora nuestro querido compañero y amigo, elperiodista Israel Gallegos Soto. Hoy nos duele su ausencia, pero nos queda el recuerdo de una personacomprometida con su trabajo,apasionada por la comunicacióny, sobre todo, de ungran amigo”, expresó elSINMCOen un mensaje. El sindicato destacó que el periodista oaxaqueño fue solidario y una de las personas que ayudó a construir la constitución de esta asociación gremial. “Israel fue un compañero siempre dispuesto a apoyar, a escuchar y a tender la mano. Su voz, su entrega y su compañerismo seguirán vivos en cada recuerdo compartido y en el camino que ayudó a construir dentro de nuestro gremio”, agregó. Hasta el momento, se informó que supareja permanece hospitalizada, aunquese desconoce su estado de salud.[Publicidad]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</si>
  <si>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El 31 de diciembre rendirán protesta 212 ayuntamientos en Veracruz; entrarán en funciones el 1 de enero</t>
  </si>
  <si>
    <t>https://www.eluniversal.com.mx/estados/el-31-de-diciembre-rendiran-protesta-212-ayuntamientos-en-veracruz-entraran-en-funciones-el-1-de-enero/</t>
  </si>
  <si>
    <t>El próximo miércoles31 de diciembre, tomaránprotesta de leylas212 nuevas autoridades municipales de Veracruz, quienesentrarán en funcionesa partir delprimer minuto del 1 de enero. Tras la elección del 1 de junio,presidentas y presidentes municipales,síndicosyregidoresdeberán rendirprotesta de leyante elCabildode sus respectivosAyuntamientos, en medio de una nueva composición política, conmayoría morenistayMovimiento Ciudadanocomosegunda fuerza electoral. LagobernadoraRocío Nahle García(Morena) y los principales liderazgos partidistas anunciaron que acompañarán a los nuevos alcaldes y alcaldesas durante sus tomas de protesta, programadas para miércoles y jueves de esta semana. De acuerdo con losresultados electoralesy con la mayoría de los recursos de inconformidad ya resueltos por tribunales electorales, Morena y el PVEM gobernarán en conjunto 72 municipios (12 de Morena y 60 en alianza Morena-PVEM). Lamandataria estatalinformó que estará presente en las tomas de protesta de los nuevos presidentes municipales deCoatzacoalcos, así como de lacapital Xalapa, elpuerto de Veracruzy laciudad petrolera de Poza Rica. Comosegunda fuerza político-electoral,Movimiento Ciudadanoencabezará39 alcaldías, por lo que su dirigente nacional,Jorge Álvarez Máynez, acudirá a la toma de protesta de varios de sus nuevos gobiernos municipales, entre ellosMisantlayPuente Nacional.[Publicidad] ElPartido Acción Nacional (PAN)gobernará34 presidencias municipales; se prevé que su dirigente nacional,Jorge Romero Herrera, acompañe al menos a la alcaldesa electa de Boca del Río, MaryJose Gamboa, quien encabezará una de las regiones turísticas y económicas más importantes del estado.[Publicidad] ElPartido del Trabajo (PT), que en esta elección no fue en alianza con Morena ni con el PVEM,gobernará 30 alcaldías, mientras que elPartido Revolucionario Institucional (PRI)encabezará24 presidencias municipales, en uno de sus peores resultados electorales en la historia política de Veracruz. ElPartido Verde Ecologista de México (PVEM)gobernará12 alcaldías en solitario, sin alianza con Morena, y durante este periodo operará un alcalde independiente. No obstante, el número de alcaldías por partido aún podría modificarse, ya que horas antes de las tomas de protesta, la Sala Superior del Tribunal Electoral del Poder Judicial de la Federación resolverá diversos recursos de inconformidad relacionados con laelección municipal.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</si>
  <si>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Controlan incendio en basurero clandestino de Culiacán; bomberos logran extinción total</t>
  </si>
  <si>
    <t>https://www.eluniversal.com.mx/estados/controlan-incendio-en-basurero-clandestino-de-culiacan-bomberos-logran-extincion-total/</t>
  </si>
  <si>
    <t>Tras36 horasde combate contra elfuegoque se extendió en unbasurero clandestino, cercano a la zona de Piggy Back, en la salida sur deCuliacán, elcuerpo de bomberosyProtección Civillograron el enfriamiento y la extinción total del incendio, sin que se reportaran personas afectadas. Las autoridades de Protección Civil de Culiacán informaron queaún se desconocen las causasque originaron elsiniestro, por lo que fue necesario retirar a lospepenadoresy establecer un perímetro de seguridad para permitir que los cuerpos de auxilio trabajaran en lacontención del fuego. En un comunicado, laSecretaría de Seguridad Pública del Estadoconfirmó que, tras un día y medio de intenso trabajo con cañones de agua y equipo pesado, con el que se abrieron brechas para frenar la propagación, se logró sofocar el incendio en su totalidad. La dependencia exhortó a la ciudadanía ano utilizar juegos pirotécnicos, debido a que pueden provocarincendios en maleza,viviendas, terrenos u otras edificaciones, y pidió utilizar las líneas de emergencia para realizardenuncias anónimas. Este fue uno de los siniestros más grandes registrados en los últimos cinco días en la capital del estado, luego de que previamente un incendio en elrelleno sanitario, ubicado al norte de Culiacán, movilizara a más de 100 elementos de bomberos y Protección Civil para lograr su control. En ese caso, tras más de 90 horas de labores, se consiguió sofocar totalmente el incendio en el relleno sanitario, donde se emplearoncañones de agua, pipas, góndolas y maquinaria pesadapara abrir brechas y evitar la propagación del fuego.[Publicidad]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</si>
  <si>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Detienen a presunto feminicida en Culiacán; crimen ocurrió en Nochebuena</t>
  </si>
  <si>
    <t>Acoso o agresión sexual</t>
  </si>
  <si>
    <t>feminicidio</t>
  </si>
  <si>
    <t>INTEGRIDAD / GÉNERO: Cero Tolerancia.</t>
  </si>
  <si>
    <t>https://www.eluniversal.com.mx/estados/detienen-a-presunto-feminicida-en-culiacan-crimen-ocurrio-en-nochebuena/</t>
  </si>
  <si>
    <t>En la capital del estado, agentes de la Fiscalía General del Estado detuvieron aMiguel “N”, de 28 años de edad, comopresunto responsable del delito de feminicidio agravadode la jovenGuadalupe “N”, de24 años, quien fueprivada de la vidadurante losfestejos de Nochebuena. De acuerdo con las investigaciones, los hechos se registraron la madrugada del 25 de diciembre, en lasindicatura de Sanalona, en la parte oriente de la capital del estado, cuando el presunto agresor atacó a suvíctima con un arma de fuego, causándole la muerte. Elementos de laUnidad Especializada en Aprehensionesdetuvieron enCuliacána Miguel “N”, quien fue puesto a disposición delJuzgado de Primera Instancia de Control y Enjuiciamiento Penal de la Región Centro y posteriormente recluido en elpenal de Culiacán. Según los datos recabados, en plenos festejos de Nochebuena, en la sindicatura de Sanalona, la joven Guadalupe “N” fueasesinada de varios disparospor suexpareja, convirtiéndose en lasegunda mujer privada de la vidaen hechos de esta naturaleza. Las autoridades fueron notificadas por detonaciones de arma de fuego en la zona y, al acudir a verificar, se informó que familiares de lavíctimala trasladarongravemente heridaa unhospital privado. Durante el traslado al hospital,Guadalupe “N”falleció en el caminoa causa de los disparos, por lo que peritos de la Fiscalía General del Estado acudieron para dar fe del deceso.[Publicidad] De acuerdo con la información oficial, el presunto responsable, identificado como su expareja sentimental, se presentó en los festejos de Nochebuena y sin mediar palabra le disparó en varias ocasiones.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</si>
  <si>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Aseguran arsenal y explosivos en dos fraccionamientos de Culiacán; tres detenidos tras operativos especiales</t>
  </si>
  <si>
    <t>https://www.eluniversal.com.mx/estados/aseguran-arsenal-y-explosivos-en-dos-fraccionamientos-de-culiacan-tres-detenidos-tras-operativos-especiales/</t>
  </si>
  <si>
    <t>Endos operativos distintos, ejecutados en los fraccionamientosLos ÁngelesyMonte Real, el Grupo deFuerzas Especialesdetuvo a tres hombres, les aseguró unarsenal,ocho chalecos tácticos,vehículos con blindajey una residencia en cuyo interior se localizaronartefactos explosivosyequipo táctico. En unaprimera acción, elementos del equipo especial y corporaciones estatales detectaron atres personas armadasa bordo de tres vehículos, por lo que procedieron a su detención en el fraccionamiento Monte Real. Losvehículos aseguradosfueron una camioneta Ram Laramie con blindaje artesanal, un Jetta y un Suzuki Baleno. Durante estas acciones se aseguró el siguiente armamento y equipo: una ametralladora Browning calibre .50, tres fusiles AK-47, un fusil tipo M4, 32 cargadores abastecidos, una cinta eslabonada con 77 cartuchos útiles, ocho chalecos tácticos y tres cascos balísticos. En unsegundo operativo, durante un patrullaje en el fraccionamiento Los Ángeles, elementos del Grupo de Fuerzas Especiales del Estado detectaron cartuchos útiles esparcidos al exterior de una residencia, y desde el interior se observaronartefactos explosivosyequipo táctico. Dentro del inmueble se localizaron34 artefactos explosivos improvisados para drones, una ametralladora Browning, un cargador abastecido, dos cintas eslabonadas con cartuchos útiles y dos chalecos tácticos, de acuerdo con la Secretaría de Seguridad Pública del Estado. Elpersonal del grupo especialmontó unoperativo de resguardode la vivienda, en espera de que la Fiscalía General de la República solicite a un juez una Orden Técnica de Investigación para ingresar y documentar el contenido del inmueble.[Publicidad] Lasautoridades de seguridad públicano informaron si en el operativo en Los Ángeles se logró la detención de personas sospechosas vinculadas con el hallazgo en la residencia.[Publicidad]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</si>
  <si>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VIDEO Tren Interoceánico: ¡Ayúdennos, por favor!; pasajeros graban desde el vagón momento del descarrilamiento</t>
  </si>
  <si>
    <t>https://www.eluniversal.com.mx/estados/video-tren-interoceanico-ayudennos-por-favor-pasajeros-graban-desde-el-vagon-momento-del-descarrilamiento/</t>
  </si>
  <si>
    <t>A través de lasredes socialesse han difundido imágenes y videos de las personas que viajaban en elTren Interoceánicoen el momento posterior al descarrilamiento en la localidad deNizandaen Oaxaca, donde hasta el momento hay 13 muertos. En un video de apenas 14 segundos se puede ver a los pasajeros desconcertados, llorando, con miedo ypidiendo ayuda. En el video se puede ver que haymenores de edady hay personas en el suelo o en posiciones fuera de sus asientos. En los últimos segundos del video se puede escuchar a una persona explicándoles que ayudarán a los pasajeros aevacuar el carro. Hasta el momento se desconoce si alguno de lospasajerosque se muestra en el video resultó con alguna lesión. El Tren Interoceánico une al Océano Pacífico con elGolfo de México, que tiene como origen destinoCoatzacoalcosen Veracruz ySalina Cruzen Oaxaca. La mañana del 28 de diciembre, un tren del Corredor Interoceánico descarriló en Nizanda, Oaxaca, provocando la muerte de 13 personas y 98 heridos; algunas personas lesionadas de gravedad fueron trasladadas a hospitales de la región delIstmo de Tehuantepec.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</si>
  <si>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Riña entre aficionados de la Trinca Fresera y Chivas deja cuatro lesionados; dos son policías</t>
  </si>
  <si>
    <t>León</t>
  </si>
  <si>
    <t>Guanajuato</t>
  </si>
  <si>
    <t>https://www.eluniversal.com.mx/estados/rina-entre-aficionados-de-la-trinca-fresera-y-chivas-deja-cuatro-lesionados-dos-son-policias/</t>
  </si>
  <si>
    <t>Irapuato, Gto.- Aficionados de los equiposGuadalajaraeIrapuatoprotagonizaron unariñaal término del encuentro defutbolen elestadio Sergio León Chávez, la cual dejó un saldo de cuatro personaslesionadas, entre ellas dospolicíasque intervinieron para controlar el conflicto. La tarde de este domingo lasChivasvencieron a laTrinca Fresera4-0 en unpartido amistoso, pero los seguidores del equipo local reaccionaron furiosos por la derrota. En esta contienda se lanzaron botellas ypiedas, además de atacarse agolpesen las inmediaciones de dicho complejo deportivo. LaSecretaría de Seguridad Ciudadanamunicipal informó que dos grupos de aficionados de ambos equipos, en la calle Grillito Cantor, comenzaron con provocaciones verbales, las cuales escalaron a agresiones físicas, causando una situación de riesgo para los propios involucrados y terceros. “Ante estos hechos, en medio de las agresiones con piedras y botellas, elementos de la Policía Municipal intervinieron de manera oportuna y coordinada, logrando controlar la situación, restablecer elorden públicoy replegar a las personas participantes, evitando que los hechos derivaran en situaciones de mayorviolencia". Dos oficiales presentan lesiones por impactos de botellas y piedras, mientras dos civiles tienen heridas policontundidas; en ninguno de los casos fue necesario eltrasladoa algúnhospital.[Publicidad] La corporación precisó que con motivo del encuentro deportivo desplegó unoperativoy logística de seguridad, dentro y fuera de este estadio, lo que permitió contener oportunamente el suceso. Aseveró que continuará trabajando para garantizar la seguridad y para fomentar que los eventos deportivos se vivan con respeto, civilidad y responsabilidad, en espacios seguros para todas las personas.[Publicidad]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</si>
  <si>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Empresa compró seguro para el Tren Interoceánico; es por 10 millones de pesos</t>
  </si>
  <si>
    <t>Noticia corporativa o regulación de transporte</t>
  </si>
  <si>
    <t>https://www.eluniversal.com.mx/estados/empresa-compro-seguro-para-el-tren-interoceanico-es-por-10-millones-de-pesos/</t>
  </si>
  <si>
    <t>La empresaFerrocarril del Istmo de Tehuantepec(FIT), de laSecretaría de Marinay encargada de operar elTren Interoceánico, pagó casi 10 millones de pesos por unseguropara pasajeros que cubrefallecimientos,incapacidadpermanente por la pérdida de alguno de los miembros, así como extravío deequipaje. En elcontratoFIT-GAR-MOP-ADQ-5-25, al cual tuvo accesoEL UNIVERSAL, se indica que el 17 de enero pasado se le entregó poradjudicación directaa la empresaSeguro Ve por MásS.A. de C.V. para la prestación de Servicio de Seguro de Pasajeros para el Tren del Istmo de Tehuantepec por un monto total de 9 millones 190 mil 769 pesos. En la página tres de la licitación se indica que este seguro cubrirá muerte accidental, incapacidad permanente total,gastos funerarios,asistencia médicay en equipaje. Por muerte en accidente, indica que se tendrá un límite máximo de 3,414.259Unidad de Medida y Actualización(UMA), es decir, casi 400 mil pesos. “Riegos cubiertos: por muerte accidental: límite máximo de 3,414.259UMA; en este riesgo se incluye la muerte del pasajero dentro de los 90 días siguientes a la fecha del accidente en términos de lo dispuesto en el artículo 90 de laLey Federal del Trabajo. Por incapacidad accidental permanente total: límite máximo de 3,684.259 UMA; en este riesgo se incluye la pérdida de miembros; por gastos funerarios: límite máximo de 270 UMA”, señala el contrato.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</si>
  <si>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None</t>
  </si>
  <si>
    <t>Tren Interoceánico se descarrila; hay 13 muertos</t>
  </si>
  <si>
    <t>https://www.eluniversal.com.mx/estados/tren-interoceanico-se-descarrila-hay-13-muertos/</t>
  </si>
  <si>
    <t>Juchitán de Zaragoza.— ElTren Interoceánico, que une elPacíficocon elgolfo de México, se descarriló ayer provocando la muerte a 13 personas y heridas a otras 98, informó laSecretaría de Marina(Semar). Precisó que en el tren viajaban 250 personas —nuevetripulantesy 241pasajeros— y de ellos 139 se encuentran fuera de peligro. De los 98 lesionados, 36 recibían ayeratención médicahospitalaria y el resto se reportaban “sin lesiones de gravedad, y lamentablemente 13 personas perdieron la vida”. La presidentaClaudia Sheinbauminformó que los heridos reciben atención en hospitales delIMSSenMatías RomeroySalina Cruz, así como en elIMSS-BienestarenJuchitáneIxtepec. Cinco de ellos se reportaban graves. “He dado instrucciones para que el secretario de Marina y el subsecretario de Derechos Humanos de laSecretaría de Gobernaciónse trasladen al lugar y atiendan a las familias de manera personal; también los delegados de IMSS e IMSS-Bienestar”, indicó. Agregó que la Secretaría de Gobernación coordinará las labores. Por la noche, el IMSS informó que 41 personas reciben atención médica: 11 en el Hospital IMSS-Bienestar de Ixtepec; 22 en el Hospital IMSS-Bienestar de Juchitán; dos en Salina Cruz, y 6 en Tehuantepec.[Publicidad] El Tren Interoceánico se descarriló sobre el kilómetro 230+300 de lalínea Z, entre las poblaciones deNizandayChivela, en el municipio deAsunción Ixtaltepec; llevaba cuatro vagones y dos locomotoras. De acuerdo con la tabla de salidas, llegadas y horarios difundidos por parte delFerrocarril del Istmo de Tehuantepec(FIT), para la venta de boletos el ferrocarril salió a las 08:00 de la mañana del domingo de Salina Cruz, Oaxaca, y tenía previsto llegar a las 14:30 horas aCoatzacoalcos,Veracruz. Sin embargo, poco después de las 09:00 de la mañana comenzaron a difundirse mensajes en diversos medios solicitando grupos de rescate, ambulancias y personal deProtección Civilpara rescatar a las personas lesionadas por el descarrilamiento del tren en Nizanda. El accidente ocurrió en una zona despoblada, cubierta de maleza y matorrales en el sitio conocido comoLa Curva de la Herradura. “Sólo sentimos un jalón y [escuchamos] el ruido de los vagones que arrastraban tierra”, dijo una señora tras comunicarse con su esposo para informarle del percance. La locomotora guía del convoy se salió de sus rieles, se recostó con fuerza sobre la tierra y jaló al resto de las unidades. Uno de los vagones se desprendió y fue a parar al fondo de unbarranco, como de 50 metros de profundidad, informaron lasautoridades estatales. Debido a las condiciones inhóspitas del lugar del accidente, las labores de rescate se complicaron. Los pobladores de Nizanda se organizaron, unos para auxiliar a las personas atrapadas en el barranco y otras para buscar señal de telefonía y pedir ayuda. Hasta el cruce con la comunidad de Chivela llegaron decenas de ambulancias de diversas corporaciones de los tres niveles de gobierno; sin embargo, no pudieron ingresar al punto del accidente. Según rescatistas, sólo se podía llegar caminando y no había señal de telefonía. Casi cuatro horas después del accidente, la administración delFITmovilizó una locomotora, con un vagón que salió de Matías Romero, para recoger a los 20 lesionados que esperaban en Mazahua y llevarlos al crucero de Chivela. Ahí fueron subidos a las ambulancias que se incorporaron a la carretera Transístmica para llevarlos a los hospitales de Matías Romero y Juchitán, donde ayer recibían atención médica. Pasadas las 16:30 horas continuaban los rescates. El gobernadorSalomón Jarainformó que se instaló “un módulo operativo de atención a la emergencia, en un trabajo coordinado entre el gobierno del estado, el gobierno municipal e instituciones federales, con el objetivo de atender de manera oportuna la emergencia y salvaguardar la integridad de la población”. La titular de laFiscalía General de la República(FGR),Ernestina Godoy, informó que se inició unacarpeta de investigaciónpara conocer las causas de lo sucedido. El Tren Interoceánico requirió unainversiónde unos 4 mil millones de pesos para la rehabilitación de sus 260 kilómetros de vías. Esta obra causó molestias entre los pobladores de lascomunidades indígenasde la zona norte del Istmo, quienes denunciaron que la consulta organizada por elgobiernono fue libre ni informada. A la fecha, hay localidades indígenas que reclaman el cumplimiento de las promesas del CIIT en materia de obras e infraestructura educativa y hospitalaria. Varios indígenas fueron vinculados a procesos penales por defender sus tierras. Fue inaugurado hace dos años, el 22 de diciembre de 2023, por el entonces presidenteAndrés Manuel López Obrador.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</si>
  <si>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El crematorio Plenitud, un duelo que no termina en Ciudad Juárez</t>
  </si>
  <si>
    <t>Ciudad Juárez</t>
  </si>
  <si>
    <t>https://www.eluniversal.com.mx/estados/el-crematorio-plenitud-un-duelo-que-no-termina-en-ciudad-juarez/</t>
  </si>
  <si>
    <t>Ciudad Juárez.— Lo más horroroso, triste y deshumanizado... así es como cientos defamiliascalifican elhallazgode 383cuerposabandonados y sin incinerar en elcrematorio PlenituddeCiudad Juárez,Chihuahua. A seis meses del hecho que conmocionó al país, las familias siguen en su lucha por lajusticiay laverdad, y aunque hasta la fecha suman 150 cuerpos identificados y 139 entregados, cientos siguen con la incertidumbre y el deseo de saber si su familiar forma parte de los restos que aún faltan por reconocer. El hallazgo de los cuerpos ocurrió el 27 de junio, cuando se hicieron públicas faltas administrativas en el crematorio que daba servicio afunerariaslocales, ubicado en lacolonia Granjas Polo Gamboa, a la salida de esta ciudad fronteriza. Para el 29 de junio se informó que había 383 cuerpos embalsamados, sin cremar, que estaban apilados en los cuartos del crematorio. El lugar quedó asegurado por la Fiscalía General del Estado de Chihuahua (FGE) y por la dirección deServicios Periciales, quienes comenzaron con el traslado de los cuerpos alServicio Médico Forense(Semefo). A la par del aseguramiento del lugar, se detuvo al dueñoJosé Luis A. C., de 39 años, y aFacundo M. R., de 64, este último era el cuidador y murió hace unos días por enfermedad durante su reclusión. Se supo que algunos de los cuerpos tendrían más de cinco años. Entonces comenzó el calvario para cientos de familias que habían contratado a las funerarias que trabajaban con el crematorio:Latinoamericana,Protecto-Deco,Del Carmen,Amor EternoyLuz Divina. Muchos, al abrir las urnas, se encontraron con tierra y arena. Los involucrados comenzaron a llegar a laFGEpara dejar sus datos e incluso sus cenizas y así determinar si coincidan con los restos que se habían encontrado. Con lo que las familias no contaban es que el proceso de identificación sería lento; muchos cuerpos estaban en avanzado estado dedescomposición, de otros no había registro, e incluso algunos ya eran osamenta. Verónica Gamboacuenta aEL UNIVERSALque desde hace seis meses la calma no llega, pues está en la búsqueda del cuerpo de su papá. “Él falleció el 9 de febrero del año 2022. Su nombre esDesiderio Gamboay pues estoy con la incertidumbre de si está entre esos cuerpos que se encontraron. Desafortunadamente coincidió todo, coincidió la fecha, la funeraria, que es la funeraria Latinoamericana, y pues también el crematorio Plenitud”. Dice que para ella han sido cinco meses muy difíciles, ya que, aunque se entregaron 150 cuerpos, aún no sabe si en los 232 restantes puede estar el de su padre. “Mucha gente tal vez piense que exageramos, pero no. Ha sido una pesadilla, así literal, ha sido una pesadilla, estos meses han sido muy difíciles. Al parecer ahorita han identificado 151 cuerpos, se entregaron ya 148, pero restan muchos, muchos cuerpos todavía por identificar, y pues obviamente seguimos con la incertidumbre. “No hay certeza, no nos han dado ni siquiera una pequeña esperanza de que esto llegue a su fin en un corto tiempo, al contrario, las cosas se siguen prolongando y pues vamos a tener que esperar más”, lamenta. Verónica se unió con otras familias que llevan la misma lucha y han realizado diversas actividades y manifestaciones para exigir a las autoridades que se agilice el proceso de identificación de los cuerpos del crematiorio Plenitud. La última acción fue colocar un árbol de Navidad con la fotografía de sus seres queridos en la explanada de la FGE para que el caso no quede en el olvido. “Hemos estado en constante comunicación con la fiscalía, nos reciben de vez en cuando, cada vez que nosotros lo solicitamos; afortunadamente han tenido esa apertura de recibirnos. Colocamos unárbol navideñodonde tenemos nuestra manta ymemorialpara los cuerpos en la FGE, pero todavía no dan indicios claros de que esto tenga (...) una resolución. “Nosotros estamos haciendo lo posible por no dejar que esto quede en el olvido, porque tememos que eso es lo que quieren —las autoridades—, como que nos cansemos y que ya dejemos esto”. Asegura que esta situación les ha afectado en todos los sentidos, desde lo sicológico hasta en lo económico: “Estamos en un estado, sinceramente, muy malo, muy lamentable y en mi caso particular, pues hubo una ausencia de mi padre en mi niñez. Afortunadamente, él y yo logramos recuperar ese vínculo que teníamos y prácticamente se reivindicó. Teníamos una relación tan bonita, tan hermosa, tan de tanto amor... y fallece mi papá, y para mí fue una segunda pérdida. Es tratar de asimilar el fallecimiento de mi padre, la segunda pérdida de mi padre y sucede esto, y para mí es como un tercer duelo”, detalla. Afirma que en 2026 se va a continuar con la exigencia y no se va a claudicar en la lucha por justicia y el esclarecimiento del hecho. A pocos días de concluir el año 2025, la FGE asegura que se avanza en la identificación de los cuerpos del crematorio Plenitud. Lo más reciente es que se enviaron más de 110 muestras alInstituto Nacional de Medicina Genómicay, a la fecha, suman 139 cuerpos entregados y van 150 plenamente identificados, 39.16% de avance. La Dirección de Servicios Periciales y Ciencias Forenses de la FGE informó que el pasado 26 de noviembre fueron entregadas 110 muestras de los cuerpos recuperados en el crematorio al Instituto Nacional de Medicina Genómica. Lo anterior, a través de una colaboración solicitada a laComisión Nacional de Búsquedapara la obtención de perfiles genéticos. Hasta el momento se cuenta con 300 perfiles genéticos, los cuales han sido debidamente procesados y, en cuanto se tengan los resultados, se harán los cotejos correspondientes. Según se detalló, por medio de esta colaboración se tendrá un avance importante en la identificación de los cuerpos. El resto de las muestras se están procesando en los laboratorios de Servicios Periciales de Ciudad Juárez y Chihuahua, como inicio de la segunda fase de identificación de los 383 cuerpos localizados. Seis de las identificaciones se lograron por ID web, a través del sitio web: https://fgewebapps.chihuahua.gob.mx/Crematorio. La fiscalía en Chihuahua ha recibido a las familias afectadas y asegura que se busca mantener de forma interrumpida, y empleando todos los recursos a su alcance, los trabajos para la identificación de la totalidad de los cuerpos localizados en el crematorio Plenitud, con la finalidad de brindarles certeza a sus deudos. Mientras tanto, se continúan las investigaciones en la integración de las carpetas para la judicialización de las 98 denuncias recibidas hasta el momento por el delito defraudeen contra de las funerarias, y se da seguimiento a las causas penales con personas detenidas por este hecho, donde hay empleados de funerarias, el dueño del crematorio; asimsimo, se investiga a personal de laComisión Estatal para Riesgos Sanitarios(Coespris) por posiblesomisiones.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</si>
  <si>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Descarrilamientos y choques; estos son los incidentes en el Tren Maya y el Tren Interoceánico entre 2024 y 2025</t>
  </si>
  <si>
    <t>choque</t>
  </si>
  <si>
    <t>https://www.eluniversal.com.mx/estados/descarrilamientos-y-choques-estos-son-los-incidentes-en-el-tren-maya-y-el-tren-interoceanico-entre-2024-y-2025/</t>
  </si>
  <si>
    <t>Entre marzo de 2024 y diciembre de 2025, distintos proyectos ferroviarios federales, principalmente el Tren Maya y el Tren Interoceánico, registraron una serie deincidentesque incluyen descarrilamientos ychoquescon vehículos de carga, algunos de ellos con personas lesionadas y otros con afectaciones únicamente materiales. El primer hecho ocurrió el25 de marzo de 2024, cuando un vagón delTren Mayase descarrilóen el tramo Mérida–Campeche, a la altura del municipio de Tixkokob, Yucatán. De acuerdo con los reportes oficiales, el incidente no dejó personas lesionadas, aunque obligó a suspender temporalmente la circulación. El secretario de la Defensa Nacional, general Luis Cresencio Sandoval informó que el descarrilamiento del Tren Maya en la estación de Tixkokob, Yucatán, pudo haberse ocasionado por la falla en un clamps, sistema para el cambio de vía. “Este sistema es automatizado, pero todavía no está completo y se hace de manera manual, personal de garroteros son los que hacen esta operación, estos aparatos se llaman clamps son fijadores del aparato de vía", explicó. Posteriormente, el30 de enero de 2025, unvagón de cargadel Tren Maya se descarriló y volcó en la estación Limones, enQuintana Roo, dejando como saldo una persona lesionada, además de daños en la infraestructura ferroviaria. De acuerdo con los hechos, el vagón salió parcialmente de la vía, pero pudo reanudar actividades tras labores del personal del tren y la ayuda de una grúa.[Publicidad] El incidente se difundió rápidamente en redes sociales, donde se observaron imágenes del vagón volcado, el cual transportaba alrededor deuna tonelada de balasto. Al lugar acudieron cuerpos de seguridad y habitantes de la zona para atender la emergencia.[Publicidad] Los incidentes también alcanzaron al Tren Interoceánico. El 10 de julio de 2025, una de sus unidades chocó contra un tráiler que presuntamente intentó ganarle el paso en un cruce a nivel cercano a la estación Pino Suárez, en lalínea FA. Ante este percance, arribaron al sitio autoridades de seguridad y protección civil, así como personal del mismo tren para valorar los daños y atender la situación. A pesar de lo aparatoso del percance, no se reportaron lesionados ni víctimas mortales. El 19 de agosto del 2025, un vagón del Tren Maya se descarriló en la estación deIzamaltras chocar con otra unidad, según relatan los usuarios que iban a bordo. Una de las pasajeras relató a EL UNIVERSAL que el impacto del choque se sintió contundente y fue provocado por una falla que hubo al momento decambiar las víasdel tren, según le informaron las autoridades. No se reportaron personas lesionadas del incidente El 20 de diciembre de 2025, se registró otro percance en el corredor interoceánico, cuando una unidad del Tren Interoceánicoseimpactó con una pipa de asfaltoque habría intentado ganarle el paso a la altura del kilómetro 174, en la Estación Cardona, sobre la rutaCoatzacoalcos–Pakal Ná. Autoridades federales reportaron que ninguno de los 148pasajerosque viajaban en el tren, que cubría laruta Coatzacoalcos-Pakal Ná, ni la tripulación resultaron lesionados; no se registran pérdidas humanas, destacaron. Por otro lado, el chofer del tráiler que impactó el Tren resultó lesionado al intentar ganarle el paso. Finalmente, el 28 de diciembre de 2025, una unidad de laLínea ZdelTren Interoceánicose descarriló cerca de la estaciónChivela, en la comunidad de Nizanda en Oaxaca, a unos 99 kilómetros de la terminal Salina Cruz. El tren, con241 pasajerosy 9 tripulantes, se volcó hacía el barranco, provocando 13 personas fallecidas y 98 están lesionadas, según lo informó la Secretaría de Marina. Las causas del incidente aun no han sido reveladas.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</si>
  <si>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Encuentran sin vida a Nataly Montserrat en área verde de Cancún; llevaba cuatro días desaparecida</t>
  </si>
  <si>
    <t>2025-12-28</t>
  </si>
  <si>
    <t>https://www.eluniversal.com.mx/estados/encuentran-sin-vida-a-nataly-montserrat-en-area-verde-de-cancun-llevaba-cuatro-dias-desaparecida/</t>
  </si>
  <si>
    <t>Cancún, Quintana Roo.- El cuerpo deNataly Montserrat González Barro, cuya ausencia había activado unaficha de búsquedabajo elProtocolo Alba, fue encontrado en unárea verdelocalizada frente alfraccionamiento Jardines del Sur 6, en la ciudad deCancún. Conforme a la versión de la Fiscalía General del Estado de Quintana Roo (FGE), al momento del hallazgo no se observaron signos deviolencia. La institución informó que las investigaciones se desarrollan conforme a los protocolos establecidos, con enfoque deperspectiva de género, a fin de esclarecer lo ocurrido. Añadió que se llevan a cabo las diligencias correspondientes con el fin de integrar lacarpeta de investigacióny analizar los indicios recabados en el lugar. Los familiares de la víctima reciben acompañamiento y atención integral durante el desarrollo del proceso ministerial, según lo manifestado por laFGE. Esta joven, familiar de la influencerItzel Barro, pareja del comedianteCarlos "El Capi" Pérez, había desaparecido el pasado 25 de diciembre, pero el reporte de no localización se inició el 27.[Publicidad] Este domingo autoridades de Cancún informaron que el Grupo de Búsqueda del municipio se había puesto en marcha para buscar a la joven, en coordinación con otras instituciones que forman parte delOperativo Enjambre. Barroconfirmó el hallazgo en sus redes sociales y señaló que por indicaciones de la familia no brindarían detalles del suceso.[Publicidad]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</si>
  <si>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"El tren venía muy fuerte, no sabemos si se quedó sin frenos"; pasajero narra momento del descarrilamiento del Tren Interoceánico</t>
  </si>
  <si>
    <t>https://www.eluniversal.com.mx/estados/el-tren-venia-muy-fuerte-no-sabemos-si-se-quedo-sin-frenos-pasajero-narra-momento-del-descarrilamiento-del-tren-interoceanico/</t>
  </si>
  <si>
    <t>Un testimonio del accidente delTren Interoceánicocompartió a través de un video difundido en redes sociales su experiencia tras los hechos. En las imágenes de observa como algunas vagones se encuentranvolcados. El testigo informó que viajaba en compañía de su familia en el último vagón. "Sentimos que el trenvenía muy fuertey no sabemos si se quedó sin frenos" mencionó el hombre durante la grabación. Finalizó mencionado que solo tienegolpes levesy que continuarán auxiliando a las personas que lo requieran. Otro video muestra cómo elementos deProtección Civilretiran en camilla a una mujer lesionada, quien porta collarín. Alrededor se observan más elementos de este servicio público, además de elementos de la Marina y otros ciudadanos.[Publicidad]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</si>
  <si>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Identifican a dos de los tres estudiantes desaparecidos en Acapulco; restos tenían señas de tortura</t>
  </si>
  <si>
    <t>Acapulco de Juárez</t>
  </si>
  <si>
    <t>Guerrero</t>
  </si>
  <si>
    <t>https://www.eluniversal.com.mx/estados/identifican-cadaveres-de-estudiantes-desaparecidos-en-acapulco-restos-tenian-senas-de-tortura/</t>
  </si>
  <si>
    <t>Chilpancingo.- Dos de los tresestudiantesdel Instituto Tecnológico de Acapulco (ITA),desaparecidosel 20 de diciembre, fueron identificados entre lostres cadávereshallados hace tres días en un paraje en la colonia Silvestre Castro, al poniente de Acapulco. Este domingo en sus redes sociales, el ITA publicó dos esquelas por elasesinatode los estudiantes Irving Antonio Cebrero y Víctor Mendoza García. Fuentes de la Fiscalía General del Estado (FGE) confirmaron la identificación de los dos jóvenes. Además informaron que están en espera de los resultados de ADN para confirmar si el tercer cadáver corresponde al estudiante,Raymundo Ramos Soto. El crimen de los estudiantes provocó indignación entre los acapulqueños. El 26 de diciembre, alrededor del mediodía, en un paraje de la colonia Silvestre Castro, en la parte alta de la zona poniente del puerto, fueron hallados tres cadáveres dentro debolsas negrasde plástico. Según el reporte los cadáveres estaban en estado dedescomposicióny tenía señas detortura.[Publicidad] Al lugar de los hechos arribaron peritos de la FGE y después fueron levantados por personal del Servicio Médico Forense (Semefo). Tras el hallazgo, comenzó a circular la versión de que los tres cadáveres correspondían a los tres estudiantes del Instituto Tecnológico de Acapulco (ITA) que fueron desaparecidos el20 de diciembreen la zona poniente del puerto, cerca del paraje donde fueron hallados los cadáveres. Los tres estudiantes fueron vistos por última vez la tarde del 20 de diciembre rumbo en la playa Mimosa cerca del poblado Pie de la Cuesta, al poniente de Acapulco. Fuentes de la fiscalía informaron que la tarde del jueves, en el poblado de San Isidro, también en la zona poniente del puerto, fueron detenidas tres personas presuntamente implicadas en ladesapariciónde los tres estudiantes. Tras la detención, choferes de la urvan en la zona poniente bloquearon la carretera Acapulco-Zihuatanejo para impedir el traslado de los detenidos. El miércoles, en la víspera de Navidad, los familiares, amigos y vecinos bloquearon un carril de la avenida Costera Miguel Alemán, a la altura de el Asta Bandera para exigir la presentación de los jóvenes. La protesta duró unas cuatro horas, de 2 de la tarde a 7 de la noche. Al final los familiares fueron atendidos por el subsecretario de Desarrollo Político de gobierno del estado,Francisco Rodríguez Cisnerosy personal de la FGE. De acuerdo a los familiares, las autoridades se comprometieron a intensificar la búsqueda de los tres estudiantes.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</si>
  <si>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¿Dónde descarriló el Tren Interoceánico? Mapa muestra ruta y zona donde ocurrió la tragedia</t>
  </si>
  <si>
    <t>https://www.eluniversal.com.mx/estados/donde-descarrilo-el-tren-interoceanico-mapa-muestra-ruta-y-zona-donde-ocurrio-la-tragedia/</t>
  </si>
  <si>
    <t>Este domingo se reportó el descarrilamiento delTren Interoceánicocon destino a Coatzacoalcos, Veracruz. El tren, con241 pasajeros y 9 tripulantes, se volcó hacía el barranco, provocando13 personas fallecidasy 98 están lesionadas, según lo informó la Secretaría de Marina. La presidentaClaudia Sheinbauminformó que la Semar acudió a la zona para apoyar a los usuarios que requirieran algún tipo de asistencia. La zona del incidente esta ubicada cerca de la estaciónChivela, en la comunidad de Nizanda en Oaxaca, a unos 99 kilómetros de la terminal Salina Cruz. La estación Chivela es la tercera en recorrerse en laLínea Zdirección a Coatzacoalcos, Veracruz. El tren provenía de la estación Ixtepec y pretendía atravesar la zona cerca aNizandacon normalidad, aunque en la zona de vías se observa una curva pronunciada.[Publicidad] Nizanda es un pequeño pueblo ubicado a 17 kilómetros de la carretera Transístmica.[Publicidad] El Corredor Interoceánico fue inaugurado por diversas etapas y actualmente cuenta contres líneas. La línea Z cuenta con diez estaciones, las cuales van desde Veracruz hasta Oaxaca: La línea FA conecta Coatzacoalcos con Pakal Ná en Chiapas, e incluye paradas en: Por último, la línea K recorre desde Salina Cruz hasta Tonalá, Chiapas, con un total de 11 paradas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</si>
  <si>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Reportan tres asesinatos en Sinaloa; una de las víctimas es un adolescente de 15 años</t>
  </si>
  <si>
    <t>asesinado</t>
  </si>
  <si>
    <t>https://www.eluniversal.com.mx/estados/reportan-tres-asesinatos-en-sinaloa-una-de-las-victimas-es-un-adolescente-de-15-anos/</t>
  </si>
  <si>
    <t>Culiacán, Sin.- Los actos deviolenciacontinúan en el estado contres nuevos asesinatos, una de las victimas es unadolescentede nombre Diego “N”, de 15 años de edad, el cual fue encontrado atado de pies y manos, con los ojos vendados e impactos de bala, en una de las calles de la colonia Cuatro de Marzo, en Culiacán. También, en la sindicatura de Villa Juárez, Navolato, donde en transcurso de esta semana se han suscitadoenfrentamientos entre grupos rivalesy asesinatos, elementos del ejército y la Policía Estatal en un patrullaje por campos agrícolas descubrió una caja de cartón abandonada con cinco explosivos artesanales. Ante este hallazgo, se notificó al Ministerio Público Federal y se solicitó la presencia de una de lascélulas militares especializadasen el manejo de explosivos, para que procedieran a inhabilitarlos en una zona despejada. Sobre los homicidios, las autoridades judiciales fueron notificados que el adolescente que fue encontradoasesinado a balazos, atado de pies y manos, con los ojos cubiertos, tenia su domicilio en la comunidad de Bellavista, en la sindicatura de Culiacancito. En la colonia Juntas de Humaya, en la capital del estado, el joven Kevin Omar “N”, de 21 años de edad, quien se encontraba sentado en una silla de plástico, en el patio de su casa fue asesinado de varios disparos, por personas queviajaban en una motocicleta. Los agresores, le dispararon desde el exterior del inmueble, ubicado por la calle Ajonjolí, para despuéshuirrápidamente del lugar, sin ser detenidos por la policía, pese al operativo que se puso en marcha.[Publicidad] En la comunidad del Ranchito de Castro, en el municipio de Guasave, una persona del sexo masculino de nombre, Antonio “N” de 46 años de edad, fueencontrado muerto, con varias heridas en su cuerpo producidas con machete.[Publicidad] Sus familiares al llegar a visitarlo, lo encontraron tirado dentro de su vivienda conrestos de sangre, por lo que notificaron a los cuerpos de auxilio y a la policía, sin embargo, al revisarlo, determinaron que no presentaba signos vitales.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</si>
  <si>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Descarrilamiento del Tren Interoceánico en Oaxaca deja 20 heridos</t>
  </si>
  <si>
    <t>Sin Fecha</t>
  </si>
  <si>
    <t>https://www.eluniversal.com.mx/estados/descarrilamiento-del-tren-interoceanico-en-oaxaca-deja-20-heridos-sigue-en-vivo-la-cobertura/</t>
  </si>
  <si>
    <t>Este domingo, 28 de diciembre, se reportó un accidente ferroviario en elCorredor Interoceánicodel Istmo de Tehuantepec, tras salir de laestación Salina Cruzcon destino aCoatzacoalcos, Veracruz. Tras los hechos, elementos de seguridad arribaron a la zona para atender alesionados. La presidentaClaudia Sheinbaum Pardoafirmó a través de su cuenta de X que la Secretaría de Marina (Semar) se encuentra apoyando a los usuarios del Corredor Interoceánico tras el accidente. La jefa de Gobierno, Clara Brugada, lamentó el descarrilamiento del Tren Interoceánico, que dejó 13 personas fallecidas y 98 lesionadas en el estado de Oaxaca.En su cuenta de X, la mandataria capitalina externó sus respeto y solidaridad a las familias afectadas por el accidente ocurrido este domingo 28 de diciembre.Asimismo, externó su respaldo y confianza a la Presidenta Claudia Sheinbaum, tras los sucedido. La presidenta del Senado, Laura Itzel Castillo, lamentó el fallecimiento de pasajeros a causa del descarrilamiento del Tren Interoceánico, en Oaxaca. En redes sociales, la legisladora envío un mensaje con motivo del accidente ocurrido este domingo.“Lamento profundamente la pérdida de vidas, así como la afectación a las personas que resultaron heridas tras el descarrilamiento del Tren Interoceánico, ocurrido en el tramo que atraviesa el estado de Oaxaca”, expresó.Laura Itzel Castillo confió en que la atención médica y el acompañamiento a las víctimas y a sus familiares se mantenga de manera permanente, y se realice una investigación exhaustiva que permita esclarecer lo ocurrido. La presidenta de Morena, Luisa María Alcalde, expresó su solidaridad con las familias que perdieron a un ser querido y aquellos que están en recuperación tras el descarrilamiento del Tren Interoceánico en Oaxaca.“Reconocemos la pronta atención de las autoridades y confiamos en que seguirán actuando con profesionalismo como ha sido el compromiso de la Presidenta”, señaló en sus redes sociales. A través de una publicación de X, José Ramón López Beltrán lamentó los hechos del Tren Transístmico. "Mi abrazo a las madres, padres, hijas, hijos, familiares y amigos de quienes fallecieron. Deseo pronta recuperación a todas las personas que resultaron heridas". Finalizó recalcando que lo más importantes es dar acompañamiento a las víctimas, demás de agradecer a los elementos de auxilio. La presidente Claudia Sheinbaum anunció a través de redes sociales que los heridos se encuentran en hospitales del IMSS en Matías Romero y Salina Cruz, así como de IMSS-Bienestar en Juchitán e Ixtepec.Informó que ha dado instrucciones para que el secretario de Marina y el subsecretario de Derechos Humanos de la Secretaría de Gobernación se trasladen al lugar y atiendan a las familias de manera personal; también los delegados de IMSS e IMSS-Bienestar. Ernestina Godoy Ramos, titular de la Fiscalía General de la República (FGR), informó que se inició una carpeta de investigación por el descarrilamiento del Tren Interoceánico en el estado de Oaxaca, para conocer las causas de lo sucedido.A través de mensaje difundido en una red social, la fiscal reportó que agentes ministeriales, peritos y agentes ministeriales de la Delegación de la FGR en la entidad, se coordinan con autoridades federales y estatales para realizar las indagatorias. La Secretaría de Marina informó que por los hechos se contabilizan20 personas lesionadasque ya se encuentras siendo trasladadas a hospitales Además, se mencionó que se mantiene en la zona un despliegue de apoyo de cinco ambulancias terrestres, una aérea y alrededor de 40 elementos de sanidad naval, así mismo, se encuentran en desarrollo maniobras de rescate.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</si>
  <si>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Intensifican búsqueda de adulta mayor desaparecida en Yucatán; participaron 51 cuadrillas de rastreo</t>
  </si>
  <si>
    <t>https://www.eluniversal.com.mx/estados/intensifican-busqueda-de-adulta-mayor-desaparecida-en-yucatan-participaron-51-cuadrillas-de-rastreo/</t>
  </si>
  <si>
    <t>Mérida, Yucatán.- Familiares, voluntarios a moto y en caballos y elementos de la Secretaría de Seguridad Pública (SSP) y la Policía Estatal de Investigación (PEI) se reunieron en dos puntos estratégicos de Mérida para intensificar labúsquedade la señoraMirna del Socorro Barrera Vera, quien lleva20 días desapareciday cuyo último avistamiento fue en la zona poniente del Anillo Periférico. En entrevista, Lizeth Arceo Barrera, hija de la señora Mirna, comentó que este domingo se realizó un segundo esfuerzocolectivo de búsquedaque cubrió una amplia zona que abarca desde Tixcacal hasta el municipio de Kanasín. “No perdemos la esperanza; la Policía y la Fiscalía también nos están apoyando". "Afortunadamente, hemos tenido respuesta por parte de personas de todo Mérida, quienes se han unido para ayudarnos en nuestra búsqueda”, comentó. Recordó que durante la noche de Navidad se la pasó en recorridos para localizarla y señaló que si alguien vio lo que le ocurrió a su madre que no tenga miedo de hablar, “pues no están buscandoculpables, solo pidiendo saber dónde está y encontrarla”. "Gracias y millones de gracias a todos los que se sumaron hoy a su búsqueda Muchas oraciones, abrazos y deseos de que ella pronto esté en casa. Me dan fuerza para continuar en este camino nada fácil, pero nada me detendrá hasta tenerla de nuevo conmigo", compartió Lizette.[Publicidad] Este domingo, en total se conformaron51 cuadrillasentre familiares, vecinos, voluntarios y agencias estatales de seguridad con el objetivo de dar con el paradero de la mujer.[Publicidad] Los participantes en el operativo de búsqueda se reunieron en el Parque del Ejército Mexicano en la zona sur poniente de la ciudad, así como en el Fraccionamiento Pensiones para llevar a cabo este segundo esfuerzo de localizar a la señora Mirna, de 86 años, quien desapareció el pasado 9 de diciembre mientras se dirigía al Issste de Lindavista.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</si>
  <si>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Hallan tres camionetas del Ejército clonadas en Chiapas; presuntamente pertenecen al CJNG</t>
  </si>
  <si>
    <t>sicarios</t>
  </si>
  <si>
    <t>https://www.eluniversal.com.mx/estados/hallan-tres-camionetas-del-ejercito-clonadas-en-chiapas-presuntamente-pertenecen-al-cjng/</t>
  </si>
  <si>
    <t>San Cristóbal de las Casas, Chis.- El Cártel Jalisco Nueva Generación (CJNG)-Cártel Chiapas y Guatemala (CCyG) usapatrullas clonadasdel Ejército, para movilizarse por varias regiones de Chiapas, donde opera desde hace más de cuatro años. Durante los operativos que realizan tropas de la VII Región Militar, Marina Armada de México, Guardia Nacional, Policía Federal Ministerial, Guardia Estatal y Fuerza de Reacción Inmediata Pakal (FRIP) fueron halladas trescamionetas clonadasdel 100 Batallón de Infantería, que se ubica en la comunidad Chiapas Nuevo, de Jiquipilas, uno de los cuatro municipios donde se han desplegado más de500 soldadosy policías en busca de sicarios del CJNG y CCyG que incendiaron dos bares y se llevaron ocho hombres. Una de las unidades halladas tiene la matrícula 8100146, pero las otras no contaban con números o tenían cintas para cubrir los números. También han sido localizados otros cuatro vehículos, otro conblindajey una motocicleta, pero se han asegurado dos armas cortas y un fusil. En una de las camionetas de color blanco, fue hallado el cuerpo deSergio Enrique Pereda Tamayo, de 30 años de edad, propietario de unos de los dos bares que fueron incendiados en la madrugada del sábado. Por lo que ha dicho el Fiscal de Chiapas, Jorge Luis Llaven Abarca, Pereda Tamayo, tenía undisparo en la pierna izquierday probablemente haya afectado una arteria importante y se desangró.[Publicidad] Hasta ahora, siete personas han sidodetenidas, cinco hombres y dos mujeres, que han quedado a disposición de un Juez.[Publicidad] El operativo se realiza en los municipios de Villaflores, Ocozocoautla, Cintalapa y Jiquipilas, un territorio de más de 7 mil 706 kilómetros, que limita con la costa, el centro y los estados de Oaxaca y Veracruz.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</si>
  <si>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Hallan sin vida a joven desaparecida en Hidalgo; sospechan atentado en su contra</t>
  </si>
  <si>
    <t>https://www.eluniversal.com.mx/estados/hallan-sin-vida-a-joven-desaparecida-en-hidalgo-sospechan-atentado-en-su-contra/</t>
  </si>
  <si>
    <t>Pachuca.-Localizan sin vidaa una joven que se encontraba reportada comodesaparecidadesde el pasado 23 de diciembre, en el municipio de Atitalaquia, en el estado de Hidalgo. La víctima, identificada comoFátima Ramírez Izquierdo,desapareció el 23 de diciembre de su domicilio, ubicado en dicho municipio, motivo por el cual se difundió unaficha de búsqueda. De acuerdo con la información proporcionada, la última vez fue vista en esa demarcación, por lo que sus familiares emprendieron diversasacciones de rastreotanto en la región como mediante una campaña de difusión en redes sociales. Este día se dio a conocer que la joven fue localizada sin vida en la localidad de Tlalminulpa. Según autoridades de la Procuraduría de Justicia, de manera preliminar se informó que Fátima Ramírez habríaatentado contra su vida; no obstante, se precisó que se llevan a cabo las investigaciones correspondientes bajo el protocolo de feminicidio. El hallazgo generó una fuerte conmoción entre los habitantes de la región, quienes exigieron el esclarecimiento total de los hechos.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</si>
  <si>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Sube a 20 la cifra de heridos tras descarrilamiento del Tren Interoceánico en Oaxaca; víctimas son trasladadas a hospitales cercanos</t>
  </si>
  <si>
    <t>https://www.eluniversal.com.mx/estados/autoridades-confirman-15-heridos-tras-descarrilamiento-del-tren-interoceanico-en-oaxaca-victimas-son-trasladadas-a-hospitales-cercanos/</t>
  </si>
  <si>
    <t>LaSecretaría de Marina (Semar)informó que hasta el momentose contabilizan 20 personas lesionadas, quienes están siendo trasladadas a hospitales locales para su oportuna atención médica, de igual forma, por parte de esta Institución, se mantiene un despliegue de apoyo de cinco ambulancias terrestres, una aérea yalrededor de 40 elementos de sanidad naval, así mismo, se encuentranen desarrollo maniobras de rescateen coordinación con autoridades de los tres órdenes de gobierno para auxiliar a quienes cayeron a un talud de aproximadamente siete metros de altura. Anteriormente el gobernador de Oaxaca,Salomón Jara Cruz, había confirmado que15 personas resultaron lesionadastras eldescarrilamiento del Tren Interoceánicoen la región del Istmo de Tehuantepec. De acuerdo con laSecretaría de Marina (Semar), en el tren viajaban nueve integrantes de la tripulación y241 personas pasajeras, a bordo dedos locomotorasycuatro vagones de pasajeros. El descarrilamiento ocurrió entre laspoblaciones de Chívela y Nizanda, en elkilómetro Z-230+290, con dirección almunicipio de Matías Romero Avendaño, sobre laLínea Z. Laspersonas lesionadasfuerontrasladadas en ambulancia a hospitales cercanosy, hasta el momento,se desconoce su estado de salud, informaron las autoridades. El mandatario estatal indicó que se instaló un módulo operativo de atención a la emergencia, en un trabajo coordinado entre el Gobierno del Estado, el Gobierno Municipal y dependencias federales, con el objetivo de atender de manera oportuna la emergencia y salvaguardar la integridad de la población.[Publicidad] En el operativo participan laSecretaría de Gobierno, laGuardia Nacional, laSecretaría de la Defensa Nacional (Sedena), la Secretaría de Marina (Semar), la Coordinación de Delegados de Paz,Capufe, elCuerpo de Bomberosde Matías Romero yparamédicos, entre otras instituciones de emergencia. “De manera preliminar, se reportan15 personas lesionadas, quienes fueronatendidas de forma inmediataconforme a los protocolos de emergencia y canalizadas para su valoración médica”, detalló Salomón Jara a través de sus redes sociales.[Publicidad]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</si>
  <si>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Despliegan megaoperativo en Chiapas tras quema de bares y secuestro de ocho personas; uno fue hallado sin vida</t>
  </si>
  <si>
    <t>https://www.eluniversal.com.mx/estados/despliegan-megaoperativo-en-chiapas-tras-quema-de-bares-y-secuestro-de-ocho-personas-uno-fue-hallado-sin-vida/</t>
  </si>
  <si>
    <t>Más de500 elementos del Ejército,Guardia Nacional,Marina Armada de México,Guardia Estatal,Policía Federal Ministerialy laFuerza de Reacción Inmediata Pakal(FRIP) mantienen unoperativo de seguridaden los municipios de Villaflores, Jiquipilas, Ocozocoautla y Cintalapa, tras laquema de dos baresy elrapto de ocho hombresocurrido durante la madrugada del sábado. Hasta este domingo,uno de los secuestrados fue localizado sin vida. El secretario de Seguridad Pública del Pueblo, Óscar Aparicio Avendaño, informó que fuehallado sin vida Sergio Enrique Pereda Tamayo, de30 años de edad,dueño del bar Kabala, quien formaba parte de los ocho hombres privados de la libertad porsujetos armadosque se desplazaban en tres camionetas. El funcionario recordó que Pereda Tamayo había sido detenido en agosto de 2025 pordelitos contra la saluden su modalidad denarcomenudeo, recluido en elpenal de Villaflores, pero fue liberado en noviembre de 2025 tras un cambio de medida cautelar. Como resultado del operativo, las autoridades han logrado ladetención de siete personas,cinco hombres y dos mujeres, además del aseguramiento de dos armas cortas y un arma larga, siete vehículos, entre ellos tres camionetas clonadas como patrullas del Ejército, una unidad blindada y una motocicleta. Eloperativo de seguridadseextendió hasta la frontera con Oaxaca, donde participandos helicópterosy unavión no tripuladopara reforzar las labores debúsqueda y vigilancia. Durante las acciones, fuerescatado un hombreque se encontrabacon manos y pies atados y los ojos vendados, abandonado en un bosque. Las autoridades informaron queya fue reunido con su familia, aunque no se reveló su identidad.[Publicidad] En el caso deSergio Enrique Pereda Tamayo, su cuerpo fue localizado dentro de una camioneta blanca, abandonada en una zona boscosa, con unaherida de arma de fuego en la pierna izquierda. Elfiscal general de Chiapas,Jorge Luis Llaven Abarca, detalló que la causa de muerte fue una hemorragia aguda, secundaria a una herida por proyectil de arma de fuego en el muslo izquierdo.[Publicidad] Hasta este domingo, se contabilizanocho denuncias de personas desaparecidas. La lista incluye a Sergio Enrique Pereda Tamayo (localizado sin vida),José Armando Coutiño Ruiz, de 28 años, dueño del bar Anubis’s Discoclub;José Ángel Martínez Marina, de 45 años;Mauricio Camilo Girón, de 26 años;Juan Ovani CamiloGirón, de 20 años;Luis Rubiel Constantino Rodríguez, de 33 años;Luis Fernando Fernández Ramírez, de 30 años; yFernando Daniel García Pérez, de 23 años. “Vamos a continuar con los operativos en las próximas horas para dar con el paradero de las otras siete personas desaparecidas”, aseguró el funcionario. En cuanto a lasmujeres que resultaron con quemaduras, identificadas comoNayeli, Citlali y Jazmín, las autoridades informaron que fuerontrasladadas de Villaflores a Tuxtlay se reportanestables de salud, bajo atención médica hospitalaria. Finalmente, el fiscal Jorge Luis Llaven Abarca afirmó que los operativos de seguridad continuarán en los cuatro municipios como parte de la estrategia de contención ylocalización de responsables.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</si>
  <si>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Tren Interoceánico se descarrila con 250 personas a bordo en Oaxaca; Sheinbaum reporta atención inmediata</t>
  </si>
  <si>
    <t>https://www.eluniversal.com.mx/estados/descarrila-tren-transistmico-de-pasajeros-en-oaxaca-se-desconoce-el-numero-de-personas-lesionadas/</t>
  </si>
  <si>
    <t>Eltren transístmico de pasajeros, inaugurado en diciembre de 2023,descarrilóla mañana de este día en las inmediaciones de lacomunidad de Nizanda, luego de salir de laestación de Salina Cruzcondestino a Coatzacoalcos, Veracruz. De acuerdo con reportes degrupos de emergencia,bomberosyProtección Civil, se solicitó el apoyo de ambulancias para el rescate depersonas lesionadastras el incidente. Una persona que viajaba en el tren relató queuno de los vagones cayó a un barranco, lo que provocó la movilización de los servicios de auxilio en la zona. El ferrocarril transístmico de pasajeros fue inaugurado el 22 de diciembre de 2023 por el entonces presidente de México,Andrés Manuel López Obrador, durante un acto realizado en Salina Cruz, al que asistieron elgobernador de Oaxaca, Salomón Jara, y el exgobernador de Veracruz, Cuitláhuac García. Según la dependencia, viajaban nueve integrantes de la tripulación y241 pasajeros, a bordo de dos locomotoras ycuatro vagones de pasajeros. “En dicho evento se presentó el descarrilamiento de la máquina principal”, reportó mediante un mensaje en redes sociales. El Corredor Interoceánico del Istmo de Tehuantepec aseguró que desde el primer momento, se brinda atención inmediata a las personas usuarias y se mantiene coordinación con las autoridades locales para la atención del suceso, así como para el levantamiento de información técnica y operativa correspondiente.[Publicidad] “Conforme se cuente con datos confirmados y completos, se ampliará la información por los canales oficiales, a fin de mantener informada a la población con responsabilidad y transparencia”, señaló. La presidentaClaudia Sheinbaum Pardoafirmó que la Secretaría de Marina (Semar) se encuentra apoyando a los usuarios del Corredor Interoceánico, tras el accidente donde se descarriló uno de los vagones principales.[Publicidad] Por medio de su cuenta de X, la Presidenta mencionó que se encuentran atentos a los trabajos que se realizan. El gobernador de Oaxaca,Salomón Jara Cruz, informó que se desplegó a todas las corporaciones de seguridad pública y protección civil para atender el descarrilamiento del Tren Interoceánico del Istmo de Tehuantepec. A través de sus redes sociales, dijo que el descarrilamiento ocurrió este domingo entre laspoblaciones Chívela y Nizanda. De manera preliminar se reporta que se registró en elkilómetro Z-230+290, con dirección al municipio Matías Romero Avendaño. "Al lugar se ha movilizado personal de la Coordinación Estatal de Protección Civil y Gestión de Riesgos (CEPCyGR), Policía Vial Estatal, así como ambulancias para brindar auxilio", detalló. Y agregó queel gobierno del estado dará seguimiento puntual al desarrollo de los hechosy "se informará oportunamente sobre el estado de las personas involucradas, conforme se cuente con información confirmada por las autoridades competentes". A través de susredes sociales,Ernestina Godoyinformó queagentes ministeriales de la Fiscalía Federal en Oaxaca, en coordinación conpersonal pericial y policial de la Agencia de Investigación Criminal (AIC), trabajan de manera conjunta conautoridades federales y estatalespara llevar a cabo lasindagatorias correspondientes. “Luego de los hechos ocurridos en el Corredor Interoceánico, laFGR Méxicoinició unacarpeta de investigaciónpara conocer las causas de lo sucedido.Agentes ministeriales, así comopersonal pericial y de la AIC, se coordinan con autoridades para realizar las investigaciones respectivas”, señaló.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</si>
  <si>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Enfrentamiento armado en Aguascalientes deja un muerto; AIC repele agresión en Villa Montaña</t>
  </si>
  <si>
    <t>Aguascalientes</t>
  </si>
  <si>
    <t>https://www.eluniversal.com.mx/estados/enfrentamiento-armado-en-aguascalientes-deja-un-muerto-aic-repele-agresion-en-villa-montana/</t>
  </si>
  <si>
    <t>Unhombre murióydos más resultaron heridostras unenfrentamiento armadocon un elemento de la Agencia de Investigación Criminal(AIC), quien se encontraba en su día de descanso, en el fraccionamiento Villa Montaña, dentro del Polígono Villas de Nuestra Señora de la Asunción, en la ciudad deAguascalientes. Luego deltiroteo, más de30 patrullasde los tres niveles de Gobierno se desplazaron al lugar de los hechos, junto con ambulancias, el secretario de Seguridad Pública del Estado, Antonio Martínez Romo, y dos unidades del Servicio Médico Forense(Semefo). Durante unoperativo de búsqueda, policías municipales y estatales lograron la detención de dos personas más, presuntamente implicadas en el suceso, quienes fueron puestas a disposición delMinisterio Público. De acuerdo con la Fiscalía General del Estado(FGE), alrededor de las 19:00 horas del 27 de diciembre, el agente de laAICdetectó que varios individuos intentaban ingresar de manera violenta a un domicilio ubicado en el cruce de las calles Francisco López Medrano y Francisco J. Herrera, en el Sector Estación, con la aparente intención deagredir a un ciudadano. Al notar la presencia del agente, losagresorescomenzaron a disparar armas de fuego. Ante el riesgo inminente, el elemento intervino de manera inmediata para salvaguardar laintegridad de la víctima, indicó la FGE. La dependencia señaló que los presuntos responsables realizaron detonaciones contra el elemento de Investigación Criminal, quien repelió la agresión en ejercicio de sus funciones y enlegítima defensa.[Publicidad] Como resultado delenfrentamiento, dos presuntos agresores resultaron lesionados y una persona perdió la vida en el lugar.[Publicidad] En la escena, las autoridadesaseguraron una camionetaKia color rojo, mientras que personal del Instituto de Ciencias Forenses y de la Policía Científica se encargó de recopilar indicios. El cuerpo del fallecido fue trasladado a las instalaciones del Semefo, mientras que los dos lesionados detenidos reciben atención médica hospitalaria bajo custodia policial. Además, otros dos detenidos permanecen en los separos de Seguridad. Labalacera, así como el despliegue de ambulancias y patrullas, generó alarma entre los vecinos, quienes se resguardaron en sus viviendas y realizaron múltiples llamadas al Sistema de Emergencias911.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</si>
  <si>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Activan alertas por personas desaparecidas en Mazatlán; buscan a dos mujeres y dos adolescentes</t>
  </si>
  <si>
    <t>Mazatlán</t>
  </si>
  <si>
    <t>https://www.eluniversal.com.mx/estados/activan-alertas-por-personas-desaparecidas-en-mazatlan-buscan-a-dos-mujeres-y-dos-adolescentes/</t>
  </si>
  <si>
    <t>LaFiscalía General del Estadoemitiófichas de búsquedadedos mujeres y dos adolescentes, reportados comodesaparecidosen sectores y fechas distintas de laciudad de Mazatlán, y solicitó el apoyo de la ciudadanía para su localización, ante el riesgo de que seanvíctimas de algún delito. Uno de los casos corresponde aSantos Alfredo Ramos Moreno, de17 años de edad, quiendesapareció el 18 de octubretras salir de su domicilio en lacolonia Francisco I. Madero, en el puerto de Mazatlán. Ladenuncia fue presentada el 26 de diciembre, por lo que seactivó una Alerta Amber. El adolescente es decomplexión mediana,estatura de 1.68 metros,cabello ondulado negroyojos color café. Comoseñas particulares, presentacicatrices en las rodillas, unlunar en la pantorrilla izquierday untatuaje en la muñecacon la imagen de unabolsa con signos de pesos. Asimismo, laAlerta Amberfue emitida para lalocalización de Emanuel Álvarez Chávez, de16 años, decomplexión delgada,estatura de 1.65 metrosytez morena. Comoseña particular, tiene elpárpado derecho caído. Fuevisto por última vez el 4 de diciembreen lalocalidad de El Walamo, en el municipio deMazatlán, y sedesconoce la vestimentaque portaba. Por otro lado, mediante elProtocolo Alba, se reportó ladesaparición de Santa Evangelina López Sánchez, de44 años, ocurrida el26 de diciembre. Es decomplexión mediana,estatura de 1.55 metros,tez clarayojos café oscuro. Fuevista por última vez en su domicilioen lacolonia Lomas del Mar, en Mazatlán, y tiene comoseña particularuntatuaje de una flor con enredadera en la pierna izquierda. Finalmente, laficha de búsquedadeSaida Anayeli Hernández Santos, de34 años, la describe como unamujer de 1.60 metros de estatura,complexión mediana,tez morena clara,cabello lacio negroycejas delgadas. Fuevista por última vez el 26 de diciembreen sudomicilio del fraccionamiento Valle de Urías, donde vestíapantalón negro, blusa negra y huaraches negros.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</si>
  <si>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Ola de violencia sacude Culiacán; tres muertos, ataques armados e incendios</t>
  </si>
  <si>
    <t>https://www.eluniversal.com.mx/estados/ola-de-violencia-sacude-culiacan-tres-muertos-ataques-armados-e-incendios/</t>
  </si>
  <si>
    <t>Laviolenciano cesaen Culiacán, donde enpuntos distintosse registrarontres personas privadas de la vida, una de ellas mujer, además de un jovenmotociclista herido por impactos de balay uninmueble atacado e incendiado. Sobre laavenida Insurgentes, a dos calles del Palacio de Gobierno, el conductor de un vehículo Kia color tinto fueatacado a balazospor desconocidos. Loscuerpos de auxiliolo trasladaron a un hospital, donde falleció. La víctima fue identificada como el exexpolicía municipal de Culiacán,Miguel “N”, de 55 años de edad. En otro hecho,Cristian Guadalupe “N”, de21 años, vecino de la sindicatura de Culiacancito, fue atacado a balazos por hombres armados que lo interceptaron en calles del fraccionamiento Valle Alto mientras conducía una motocicleta, acompañado de otra persona no identificada. Asimismo, sobre el boulevard Álvaro Portillo, autoridades fueron alertadas de que un motociclista había sido agredido con armas de fuego. Al arribar los cuerpos de auxilio, confirmaron que la víctima ya no presentaba signos vitales. En un predio desiembras agrícolas, en lasindicatura de Aguaruto, fue localizado el cuerpo de una mujer con múltiples impactos de bala. Cerca del sitio se encontró una identificación a nombre deNicolasa “N”, de48 años, sin que hasta el momento se confirme oficialmente su identidad. Otro ataque ocurrió cerca del libramiento sur de la carretera estatal Benito Juárez, donde una persona joven que viajaba en motocicleta fue víctima de un atentado a balazos, lo que le provocó la muerte en el lugar, mientras que su acompañante resultó ileso.[Publicidad] Además, casi frente a una de las entradas del complejo habitacional La Primavera, servicios de emergencia atendieron el reporte de una persona herida de bala, sin embargo, al llegar confirmaron que no presentaba signos vitales.[Publicidad] Finalmente, en la colonia San Rafael, hombres armados dispararon contra dos negocios inactivos, un lavado de autos y un local de venta de llantas, ubicados en una bodega. Posteriormente, los presuntos responsables regresaron e incendiaron los inmuebles, provocando daños materiales, pese a la intervención delcuerpo de bomberos. En el lugar acudieron elementos de laPolicía Estatal y el Ejército, sin que se reportaranpersonas lesionadas.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</si>
  <si>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Lo mejor de 2025: historias para recordar</t>
  </si>
  <si>
    <t>https://www.eluniversal.com.mx/estados/lo-mejor-de-2025-historias-para-recordar/</t>
  </si>
  <si>
    <t>Este año,EL UNIVERSALdocumentó la voz de diversos actores que mediante sustradiciones, comida y ritosen estados comoOaxaca,Guerrero, Chihuahua,MichoacányTabascomostraron la diversidad cultural de nuestro país, desde ruinas no exploradas hasta la defensa de un pueblo contra el plagio de su identidad o manjares propios de una región. Leer también:Reportan 7 personas desaparecidas tras quema de bares en Villaflores, Chiapas; Fiscalía vincula hechos a narcomenudeo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</si>
  <si>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Alcaldes, bajo la mira de los grupos criminales</t>
  </si>
  <si>
    <t>Prevención PAX: Contactos de confianza.</t>
  </si>
  <si>
    <t>https://www.eluniversal.com.mx/estados/alcaldes-bajo-la-mira-de-los-grupos-criminales/</t>
  </si>
  <si>
    <t>A lo largo de 2025, losalcaldesestuvieron en lamira criminal. Siete fueronasesinadosen cuatro estados: tres enMichoacán, dos enOaxaca, uno enGuerreroy uno más enHidalgo. El 15 de mayo fue asesinadoMario Hernández, deSantiago Amoltepec, enOaxaca. Fue emboscado cuando viajaba en una camioneta de la policía municipal. El 28 de mayo fue baleado Isaías Rojas Ramírez, alcalde de Metlatónoc, Guerrero, cuando circulaba por la Autopista del Sol. Cinco días después falleció por las heridas. EnTacámbaro, Michoacán, el presidente municipalSalvador Bastida Garcíafue asesinado el 5 de junio afuera de su domicilio junto con su escolta.Lilia Gema García Soto, de San Mateo Piñas, Oaxaca, murió el 15 de junio dentro de la presidencia municipal, luego de que hombres armados entraron y abrieron fuego. Dos días después, el 17 de junio,Martha Laura Mendoza, presidenta municipal deTepalcatepec, Michoacán, fue asesinada junto con su esposo cuando llegaban a su domicilio. El 20 de octubre,Miguel Bahena Solórzano, alcalde dePisaflores, Hidalgo, fue asesinado afuera de su casa. Carlos Manzo, alcalde deUruapan, fue, sin duda, el caso que mayor repercusión tuvo a nivel nacional. Fue ejecutado la noche del 1 de noviembre durante la inauguración del Festival de las Velas por un joven menor de edad. El momento quedó grabado en video. Semanas antes había reclamado al gobierno federal el retiro de las fuerzas de seguridad del municipio. En varios casos, las víctimas teníanguardaespaldaso estaban en lugares vigilados, lo que no impidió que los criminales atacaran y, en su mayoría, se dieran a la fuga.[Publicidad] Si bien,autores materialesson detenidos, no se llega a losautores intelectuales reales, las personas que ordenaron el crimen y que guardan los motivos. “Para los cárteles es importante elcontrol de los gobiernos municipales, porque desean tener bajo su órbita las direcciones de policía, las de tránsito, y en casos extremos, a las direcciones de obra pública porque manejan un presupuesto robusto que sirve a los intereses de los cárteles”, comentaDavid Saucedo, especialista en seguridad, al hablar sobre la vulnerabilidad de los alcaldes y de la presión que ejercen los grupos criminales.[Publicidad] “Me pesa mucho comentarlo, pero lo de Carlos Manzo es una situación realmente excepcional. Es decir, un alcalde que eligió enfrentar lapresión de los grupos criminalesy que debido a esta circunstancia la jefatura de plaza, en este caso elCártel Jalisco, da instrucciones para que se le asesine”, expone. El analista menciona que, en muchos casos, los alcaldes se doblegan a los intereses del crimen organizado y recuerda aNorma Otilia Hernández Martínez, quien fue alcaldesa deChilpancingode 2021 a 2024 y fue videograbada en reuniones con el presunto líder del grupo criminalLos Ardillos. Para David Saucedo, la razón principal del por qué los alcaldes son tan vulnerables radica básicamente en el poder, en el control geopolítico. De acuerdo con información de Data Cívica, en 2023 no se registró ningún asesinato de alcaldes, mientras que en 2024 mataron a nueve: dos de Oaxaca, dos en Michoacán, tres en Guerrero, uno en Puebla y uno más en San Luis Potosí. En 2025, la cifra se cerró en siete. Un caso que llama la atención es el deMiguel Bahena Solórzano, de Pisaflores, Hidalgo, cuyo crimen presuntamente se planeó dentro de su propio gobierno. Según las investigaciones, fue ejecutado por órdenes de quien fungía como presidente del Sistema DIF de ese ayuntamiento, identificado comoJohny “N”. De acuerdo con las indagatorias, uno de lospresuntos responsablesmateriales laboraba en el área de Comunicación Social del ayuntamiento. Durante la detención de Johny, por el delito de portación ilegal de arma de fuego, también fue capturada una mujer identificada comoHanna “N”, quien es hermana de Silvestre García, alcalde sustituto. Sin embargo, los asesinatos que ocurrieron en los estados de Guerrero, Oaxaca y Michoacán se dieron por una combinación de varios factores, menciona Saucedo. Por un lado, la comercialización de drogas al menudeo y el control de rutas. Es decir, hay ciertos municipios que son más importantes para lasactividades criminales. El especialista en seguridad refiere que cada municipio en donde hubo amenazas y ataques contra los alcaldes tiene alguna característica geopolítica que lo distingue, ya sea un altoconsumo en drogas, ser un punto importante para las rutas de trasiego, o bien, ser un centro de producción de sustancias ilícitas. “Para que los cárteles hayan tomado la determinación de incluir en esta práctica elasesinato político, es porque ellos consideraban que era necesario proceder de este modo. También ha habido casos singulares en el que un grupo criminal asesina a un alcalde, como ejemplo para otros presidentes municipales que se resisten al control de parte de los grupos delictivos”, explica. David Saucedo refiere que, de manera previa, antes de que los alcaldes tomen posición en sus cargos, los grupos criminales ya hicieron su trabajo, es decir,financiaron campañas políticase incluso amedrentaron a candidatos que no son afines a sus proyectos. “El asesinato político cometido por los grupos del narcotráfico es el último eslabón de la cadena, porque antes seguramente hubo una serie de chantajes, amedrentamientos, participación de los cárteles centrales electorales, cooptación de las corporaciones deseguridad públicay esa es una característica importante. “En la mayoría de los casos de alcaldes que fueron asesinados, de manera previa, sus direcciones de policía ya habían sido cooptadas por grupos delcrimen organizado”, enfatiza. En muchas ocasiones, expone el especialista, los alcaldes se doblegan a los grupos criminales por una directriz que emite el propio gobierno estatal. Haygobernadores que están operando de la mano de los grupos criminalesy les dan instrucciones a sus alcaldes para que colaboren con esos grupos. Esto ha ocurrido en varias entidades del país, donde se sabe que los gobernadores tienen algún contacto y alguna sinergia con los grupos criminales, por las mismas razones, porque los grupos denarcotráficotambién establecen una relación especial con titulares de los ejecutivos de varios estados, menciona. Al cuestionarle sobre cómo se puede proteger a los alcaldes, David Saucedo comenta que no hay un estado de fuerza en el país suficiente parablindar a los presidentes municipalesde ataques de grupos criminales, y destinar un número importante de elementos de la Guardia Nacional para protección de funcionarios, no es viable. “En México hay algo así como2 mil 500 municipios. Los municipios que están en una situación de cooptación por parte de grupos del crimen organizado son más o menos la tercera parte, aproximadamente. No hay un estado de fuerza en el país para poder blindar a los presidentes municipales de ataques del narcotráfico”. Considera que la mejor manera de proteger a los alcaldes es quitarles las facultades en materia de seguridad. “Tenemosmicropolicíasenfrentando amacrocárteles. Eso nunca va a funcionar”, dice. De acuerdo con el experto, los gobiernos estatales llevan décadas tratando de mejorar su seguridad municipal, esto llevando a cabo capacitación de las policías municipales, incremento de salarios, pero nada de lo que han hecho ha funcionado. Para él, las pocas policías municipales que están operando bien se cuentan con los dedos de la mano. “Hay que llegar a una conclusión cruda, pero realista. Los municipios no tienen capacidad para atender temas de seguridad. Tendría que ser una facultad ya sea del gobierno federal o de los policías estatales”, precisa el especialista. Durante 2025, siete alcaldes fueron asesinados.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</si>
  <si>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Triste noticia: Muere capibara macho que llegó al Zoológico Tamatán en Ciudad Victoria, Tamaulipas; falleció por estrés</t>
  </si>
  <si>
    <t>2025-12-27</t>
  </si>
  <si>
    <t>Tamaulipas</t>
  </si>
  <si>
    <t>https://www.eluniversal.com.mx/estados/triste-noticia-muere-capibara-macho-que-llego-al-zoologico-tamatan-en-ciudad-victoria-tamaulipas-fallecio-por-estres/</t>
  </si>
  <si>
    <t>Ciudad Victoria, Tamaulipas.- Cuando apenas tenían dos días de que una pareja decapibaraspodían ser visitados en elZoológico Tamatán, autoridades estatales confirmaron delfallecimientodel ejemplar macho. El vocal ejecutivo de la Comisión de Parques y Biodiversidad de Tamaulipas, Eduardo Rocha Orozco, informó que el capibara macho “presentócomplicacionesderivadas del proceso de adaptación a su nuevo entorno”. Añadió que, “presentó unalto nivel de estrésasociado al cambio de hábitat, conforme a la valoración del médico veterinario responsable”. Rocha Orozco afirmó que la Comisión refrenda su compromiso con el bienestar animal y la aplicación de protocolos técnicos en el manejo de fauna bajo su resguardo. La pareja de capibaras llegó al Zoológico Tamatán procedentes deNuevo Leóny apenas el viernes 26 de diciembre habían podido ser vistos por los visitantes.[Publicidad] El mismo Eduardo Rocha había dado a conocer que después informarían, “los pormenores de la dinámica para que participen para ponerles sus nombres; además, vienen acompañados de una hermosa sorpresa más”.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</si>
  <si>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Reportan 7 personas desaparecidas tras quema de bares en Villaflores, Chiapas; Fiscalía vincula hechos a narcomenudeo</t>
  </si>
  <si>
    <t>https://www.eluniversal.com.mx/estados/reportan-7-personas-desaparecidas-tras-quema-de-bares-en-villaflores-chiapas-fiscalia-vincula-hechos-a-narcomenudeo/</t>
  </si>
  <si>
    <t>TUXTLA GUTIÉRREZ. CHIS. - Siete personas fuerondesaparecidasdurante losataquesy laquema de baresy vehículos enVillaflores, dos de ellas presuntamente propietarias de esos negocios, informó laFiscalía General del Estado. Además, como resultado de la agresión, tres mujeres resultaron conlesionesporquemaduras, reciben atención médica y se encuentran estables. "Se han recibido denuncias por ladesapariciónde siete personas, dos de ellas presuntamente propietarias de los bares afectados. Además, se reportan tres mujeres conlesiones por quemaduras, quienes ya reciben atención médica y se encuentran estables", agregó la Fiscalía. De acuerdo con las autoridades, las siete personas raptadas fueron identificadas como:Sergio Enrique Pereda Tamayo, de 30 años de edad, dueño de La Kabala;José Armando Coutiño Ruiz, de 28 años, de Anubis’s Discoclub;José Ángel Martínez Marina, de 45 años;Eduardo Vázquez Ramírez, de 21 años;Mauricio Camilo Girón, de 26 años de edad;Juan Ovani Camilo Girón, de 30 años; yJosé Rubiel Constantino Rodríguez, 33 años. El fiscal general de Chiapas,Jorge Luis Llaven Abarcaprecisó que derivado de las investigaciones preliminares se estableció que el móvil principal de loshechos violentos, cometidos la madrugada de este miércoles, fue la disputa por elnarcomenudeoen la zona entre dos células delictivas. Hombres armados irrumpieron a las 03:00 horas, en los baresLa KabalaSport Bar,KaraokeyAnubis’s Discoclub, para incendiarlos, pero se llevaron a siete hombres, entre ellos los propietarios de los negocios. La Fiscalía General señaló que en elbar Kabala"se observó la fachada quemada y tres vehículos incendiados frente al establecimiento".[Publicidad] Se reportó, además un incendio en elbar Anubis, que fue controlado después. Villaflores, ubicado en la regiónFrailesca, es una de las zonas donde los carteles de la droga se disputan el control territorial con enfrentamientos entre ellos, las corporaciones policiacas y el Ejército Mexicano. La pugna entre el crimen organizado enLa Frailescase ha saldado con enfrentamientos, ejecutados, "levantados"bloqueos carreteros, quema de vehículos y extorsiones. Al municipio de Villaflores han llegado más de 200 elementos de la VII Región Militar, Guardia Nacional, Marina, Guardia Estatal y de Fuerza y Reacción Inmediata Pakal(FRIP).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</si>
  <si>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Activistas hallan restos humanos en fosa clandestina en sindicatura de Costa Rica, Sinaloa; se desconoce el sexo de las víctimas</t>
  </si>
  <si>
    <t>https://www.eluniversal.com.mx/estados/activistas-hallan-restos-humanos-en-fosa-clandestina-en-sindicatura-de-costa-rica-sinaloa-se-desconoce-el-sexo-de-las-victimas/</t>
  </si>
  <si>
    <t>Culiacán, Sin a 27 de Dic. -Activistas de uncolectivo de búsquedalocalizaron entierras de cultivode la sindicatura deCosta Rica, enCuliacánunafosa clandestina, en donde hallaron, lo que se presume ser cuatro cuerpos en proceso dedescomposición, por lo que peritos y forenses acudieron al sitio. En una de sus búsquedas, las mujeres que integran el colectivo de“Sabuesos Guerreras"localizaron en un sitio cercano a un dren, en el ejidoEl Alhuate, indicios de una posible fosa clandestina. Al iniciar sus excavaciones, encontraron restos óseos, por lo que se dieron aviso a laFiscalía General del Estado. Con el auxilio del personal de laComisión Estatal de Búsquedade Personas, fueron encontrando másrestos humanos, lo que hace presumir que el hallazgo corresponde a por lo menos cuatro víctimas. Hasta el momento se desconoce el sexo de los cuerpos, los cuales fueron enviados alServicio Médico Forensepara su análisis y posible identificación, por lo que se continúan los trabajos de recuperación y se amplía la búsqueda de más víctimas.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</si>
  <si>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Liberan a joven detenido en Morelia durante manifestación para exigir justicia por asesinato de Carlos Manzo; denuncian tortura</t>
  </si>
  <si>
    <t>manifestación</t>
  </si>
  <si>
    <t>Morelia</t>
  </si>
  <si>
    <t>https://www.eluniversal.com.mx/estados/liberan-a-joven-detenido-en-morelia-durante-manifestacion-para-exigir-justicia-por-asesinato-de-carlos-manzo-denuncian-tortura/</t>
  </si>
  <si>
    <t>Morelia, Michoacán. -Raúl Meza Abonce, el jovendetenidoytorturadoel pasado 2 de noviembre durante unaprotestapara exigir justicia por el asesinato deCarlos Manzo, fue liberado este sábado. Raúl Meza, de 28 años de edad,fue detenido, golpeado y torturadopor uno de los escoltas del entonces secretario de Seguridad Pública del estado,Juan Carlos Oseguera Cortés, al interior de Palacio de Gobierno. El joven fue detenido y ahora continuará suproceso en libertad, luego de haber permanecido recluido en elCereso “David Franco Rodríguez”acusado de sabotaje y daños. La liberación del manifestante fue informada por el secretario de Gobierno,Raúl Zepeda Villaseñor. El funcionario, dijo mediante comunicado, que la administración estatal coadyuvó con la Fiscalía General del Estado(FGE), para que Raúl Meza, pudiera acceder a uncambio de medidas cautelaresy continúe su proceso penal en libertad. El encargado de la política interna expuso, que, con esta determinación, las investigaciones sobre los hechos ocurridos durante la protesta, “se desarrollen con plena garantía de lasactuaciones procesales, respetando los derechos de las partes involucradas”.[Publicidad] Reiteró, que la administración estatal está a favor del respeto al estado de derecho, al debido proceso y a las garantías individuales. El día de la movilización para exigir justicia a menos de 24 horas del crimen contra el alcalde deUruapan, la Guardia Civil detuvo a Raúl y a otros siete jóvenes aparentemente involucrados en los destrozos, sin embargo, todos ellos fueron liberados a excepción de Meza Abonce, quien fue vinculado a proceso por sabotaje. La defensa y su familia, denunciaron que durante la detención de Raúl, los policías incurrieron en diversas violaciones a susDerechos Humanos, actos que fueron constatados por videos captados durante el operativo al interior del edificio gubernamental. La Secretaría de Seguridad Pública(SSP)cesó de sus funciones a dos elementos que agredieron al joven, en tanto el área de Asuntos Internos investiga los hechos a fin de que los dos agentes enfrenten un proceso (interno o penal) por su actuar durante la manifestación.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</si>
  <si>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Detienen en Los Mochis a director de Vialidad y Transporte de Sinaloa por tirar basura en la calle; forcejea con policías municipales</t>
  </si>
  <si>
    <t>https://www.eluniversal.com.mx/estados/detienen-en-los-mochis-a-director-de-vialidad-y-transporte-de-sinaloa-por-tirar-basura-en-la-calle-forcejea-con-policias-municipales/</t>
  </si>
  <si>
    <t>Culiacán, Sin a 27 de Dic. -Marcio Antonio Osuna Moreno, director de Vialidad y Transporte del Estado, fuedetenidoen la ciudad de losMochis, al ser sorprendidoarrojar basura, en la zona conocida como la 51, en la ciudad de los Mochis y forcejear con los policías municipales que intentaron sancionarlo. Al ser sorprendido por elementos de la secretaria de Seguridad Pública del municipio deAhome, el funcionario estatal con domicilio en elfraccionamiento Viñedos, de la ciudad de Los Mochis, primero discutió con las autoridades de seguridad y luego forcejeó con ellos. Los hechos que tuvieron lugar en el cruce de lasavenidas Macapule y Revolucióndel sector conocido como el 531, motivó que se enviaran refuerzos para someter al director de Vialidad y Transporte del Estado, el cual fue trasladado a barandilla, para que sea un juez, quien determine la sanción que se le aplicará. Osuna Moreno, quien tiene 13 meses en el cargo, al momento de su detención vestía un pantalón de color negro, camisa a cuadros y portaba un sombrero, por lo que los elementos de seguridad argumentaron que tuvieron quesolicitar refuerzos, ya que este se mostró agresivo. Losreglamentos municipalesen Ahome, contemplan una serie de sanciones que van desde una amonestación pública, una multa o arresto en barandilla, para las personas que arrojen basura o cualquier tipo de desperdicios en la vía pública.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</si>
  <si>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Empresas de Yucatán se "mantuvieron a flote" en 2025, afirma Coparmex Mérida; prevén retos fiscales para 2026</t>
  </si>
  <si>
    <t>https://www.eluniversal.com.mx/estados/empresas-de-yucatan-se-mantuvieron-a-flote-en-2025-afirma-coparmex-merida-preven-retos-fiscales-para-2026/</t>
  </si>
  <si>
    <t>Mérida, Yucatán. -Empresas yucatecasse mantuvieron a flote durante 2025, pese a unentorno económico complejo, afirmó la Confederación Patronal de la República Mexicana(Coparmex)Mérida. El presidente de Coparmex Mérida,Emilio Blanco del Villar, señaló que el año 2025 presentó retos para el sector empresarial en Yucatán. Indicó que lasempresas localeslograron sostener sus operaciones y evitar un escenario crítico. El dirigente empresarial explicó que el empresariado yucateco conservó losempleos formalesexistentes durante el año. También destacó que Yucatán mantuvo el interés de nuevas inversiones, pese al contexto económico nacional e internacional. Blanco del Villar se refirió al incremento de 0.75 por ciento alImpuesto Sobre la Nóminaaplicado en la entidad.[Publicidad] Precisó que dicho ajuste impacta aproximadamente al cuatro por ciento de las empresas que operan en el estado. Afirmó que esta medida representó la vía adecuada para fortalecer la recaudación estatal sin afectar de forma generalizada alsector productivo.[Publicidad] El líder de Coparmex aclaró que no se contempla la creación de nuevos gravámenes para empresas, sin importar su tamaño o actividad económica. Subrayó la importancia de mantener losproyectos de infraestructuraen Yucatán. También consideró necesario dar continuidad a losprogramas socialesimplementados por las autoridades. Blanco del Villar explicó que el aumento al Impuesto Sobre la Nómina afecta principalmente a las empresas que generan mayor número de empleos. Detalló que estas compañías ofrecen salarios y prestaciones por encima de lo establecido en la legislación laboral. Añadió que estascondiciones laboralesrepresentan un esfuerzo constante para los empleadores formales del estado. De cara a 2026, Coparmex Mérida anticipó un escenario con retos para elsector empresarial yucateco. El presidente del organismo empresarial aseguró que las empresas locales mantendrán un trabajo coordinado para enfrentar el próximo año. Indicó que el sector buscará estrategias para reducir impactos económicos y fiscales. Blanco del Villar descartó la existencia dedespidos masivosdurante 2026. Sin embargo, advirtió que el aumento en lacarga fiscalpodría limitar la contratación de nuevo personal. Atribuyó este efecto directamente al incremento del Impuesto Sobre la Nómina. Coparmex Mérida reiteró su postura a favor de laestabilidad económica, el empleo formal y la continuidad de proyectos que impulsen el desarrollo de Yucatán.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</si>
  <si>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Secretaría de Marina cierra puerto de La Paz, BCS, por pronóstico de vientos del norte; aplica a embarcaciones menores</t>
  </si>
  <si>
    <t>Baja California Sur</t>
  </si>
  <si>
    <t>https://www.eluniversal.com.mx/estados/secretaria-de-marina-cierra-puerto-de-la-paz-bcs-por-pronostico-de-vientos-del-norte-aplica-a-embarcaciones-menores/</t>
  </si>
  <si>
    <t>LA PAZ, BCS., 27 de diciembre. — Comomedida preventivaante elpronóstico de vientosdel norte para este fin de semana, laSecretaría de Marinadeterminó elcierre del puertodeLa Paz,Baja California Sura todas las embarcaciones menores. La disposición fue emitida por laCapitanía de Puertoa partir de este sábado y tiene como objetivo “salvaguardar la vida humanaen el mar, así como prevenir incidentes derivados de las condiciones meteorológicas adversas previstas para las próximas horas”. De acuerdo con el aviso oficial, el cierre aplica a embarcaciones menores de 500 toneladas, como parte de losprotocolos de seguridadque se activan cuando se registran rachas de viento que pueden representarriesgo para la navegación. Por su parte, la Subsecretaría de Protección Civil estatal exhortó a pescadores, prestadores de servicios turísticos y a lacomunidad marítimaen general a no hacerse a la mar, así como a verificar de manera constante los reportes meteorológicos oficiales antes de cualquieractividad náutica. Las autoridades señalaron que el cierre del puerto se mantendrá hasta nuevo aviso y dependerá de la evolución de lascondiciones climáticas. Asimismo, recomendaron mantenerse atentos a los comunicados emitidos por la Secretaría de Marina y las capitanías de puerto.[Publicidad] El pronóstico de la Comisión Nacional del Agua(CONAGUA)para este sábado advierte que hacia las 18:00 horas podrían registrarse vientos de 20 a 30 kilómetros por hora con rachas de hasta 60 kilómetros por hora en el golfo de California, Baja California, Baja California Sur, Sonora y Sinaloa.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</si>
  <si>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Ceci Flores denuncia engaño con cuerpo falso que resultó ser cobija con basura; pudo poner en riesgo integridad de madres buscadoras, acusa</t>
  </si>
  <si>
    <t>Hermosillo</t>
  </si>
  <si>
    <t>https://www.eluniversal.com.mx/estados/ceci-flores-denuncia-engano-con-cuerpo-falso-que-resulto-ser-cobija-con-basura-pudo-poner-en-riesgo-integridad-de-madres-buscadoras-acusa/</t>
  </si>
  <si>
    <t>Hermosillo, Sonora. - El colectivoMadres Buscadorasde Sonora denunció haber sido víctima de unpresunto engañoque pudo poner enriesgo su integridad, luego de atender unreporte anónimosobre un supuesto cuerpo localizado al sur deHermosillo, el cual resultó ser únicamente unacobija rellena de basura. La líder del colectivo,Ceci Patricia Flores, informó que durante la noche recibieron insistentes llamadas para acudir a un predio ubicado detrás de un fraccionamiento en construcción. En el sitio, la mañana del viernes 26 de diciembre, se localizó un bulto encobijado con forma decuerpo humanoy tenis de hombre, lo que generó alarma entre las buscadoras y las autoridades que las acompañaban. Sin embargo, al revisar el hallazgo se confirmó que no se trataba de una persona, sino de unobjeto armadopara simular un cuerpo. Ante la situación, el grupo se retiró del lugar por motivos de seguridad. “Nos hacen un llamado por la noche y ahora que acudimos al lugar es lo que encontramos: un bulto con zapatos. Eso esburlarse del dolor de las madreso pensar que nos quieran poner una trampa, que vengamos a los anónimos y no haya nada, y nos puedan hacer un daño”, declaró Flores. La activista expresó su preocupación por las intenciones detrás de estosreportes falsosy pidió a losgrupos criminalesque no atenten contra ellas.[Publicidad] “Nuestra lucha no es contra nadie, solo es por volver a abrazar a quienes parimos”, señaló. Ceci Flores explicó que el colectivo atiende todos los llamados que recibe, positivos o no, debido a la urgencia que enfrentan lasfamilias de personas desaparecidas. “Cada vez que nos hacen un llamado acudimos porque para nosotros es importante encontrar a nuestros desaparecidos”, enfatizó. El colectivo acudió al lugar con acompañamiento de seguridad, pero aun así tuvo que salir corriendo al no poder descartar que se tratara de una trampa. “No sabemos si alguien queríahacernos dañoo si solo jugaron con nuestro dolor”, lamentó. Madres Buscadoras de Sonora reiteró su llamado a la sociedad para actuar con responsabilidad y evitar reportes falsos que, además de revictimizar a las familias, ponen en riesgo la vida de quienes buscan incansablemente a sus hijos e hijas.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t>
  </si>
  <si>
    <t>Milenio</t>
  </si>
  <si>
    <t>Descarrilamiento del Tren Interoceánico noticias EN VIVO: Cifra de muertos y heridos HOY 29 de diciembre</t>
  </si>
  <si>
    <t>2025-12-29 18:58:00</t>
  </si>
  <si>
    <t>https://www.milenio.com/estados/descarrilamiento-tren-interoceanico-noticias-en-vivo-29-diciembre</t>
  </si>
  <si>
    <t>Untren de pasajeros de la Línea Z del Tren Interoceánicoen el que viajaban 250 personas se descarriló y dejó varios muertos y heridos. El percance ocurrió el domingo en el municipio de Nizanda, Oaxaca Hasta el momento, se tienen registro de98 personas heridas, de las cuales 36 ya son atendidas en diversos hospitales y13 pasajeros quedaron sin vida. Horas más tarde la Secretaría de Marina (Semar) dio más detalles sobre el percance: La Secretaría de Gobernación (Segob) ha compartido la lista con los nombres y edades de las 13 personas que fallecieron tras el descarrilamiento del Tren Interoceánico este 28 de diciembre en Oaxaca. En una publicación en redes sociales la dependencia, además, adjuntó los teléfonos de atención para que los familiares de las víctimas puedan ponerse en contacto con las autoridades. Los nombres y edades de las víctimas son Elena Solórzano Cruz, de 6 años, María Antonia Rosales Mendoza, de 58 años, Bersain Cruz López, de 65 años, María Concepción Barbosa Acevedo, de 65 años, Israel Enrique Gallegos Soto, de 60 años, Inés Alvarado Rojas, de 57 años, Amada Rasgado Lázaro, de 70 años, Patricia Medina Pérez, de 49 años, Luisa Camila Serrano Moreno, de 15 años, María Luisa Pasaron González, de 66 años, Raúl López Cruz, de 67 años, Rogelio Alfonso Luna Luna, de 63 años y Honoria Medina Pérez de 56 años. De acuerdo con las autoridades federales, hasta el momento aún hay 34 personas que se encuentran hospitalizadas, mientras tanto, este día la presidenta Claudia Sheinbaum viajó a Oaxaca para hablar directamente con los afectados y supervisar las investigaciones y los apoyos para las víctimas. Al corte de las 17:00 horas, el IMSS Bienestar reportó que continúan 13 personas hospitalizadas, quienes se encuentran recibiendo atención médica en las siguientes clínicas: El accidente dejó 13 personas muertas, entre ellos un periodista y dos menores de edad, quienes viajaban para pasar las vacaciones de fin de año. Aquíte contamos sobre lo que se sabe sobre los fallecidos. A través de redes sociales, el Tren Suburbano, que corre de Cuautitlán a Buenavista, expresó su solidaridad con las víctimas mortales del accidente que dejó el descarrilamiento del Tren Interoceánico, así como sus deseos de recuperación para las personas que continúan hospitalizadas. Asimismo, se puso a disposición del gobierno para apoyar "en lo que sea requerido". Al arribar a Oaxaca, la presidenta Claudia Sheinbaum anunció que se otorgará un apoyo económico a las familias de los afectados tras el descarrilamiento del Tren Interoceánico, el cual consiste en un monto de 30 mil pesos que se dará de manera inmediata. La presidenta Claudia Sheinbaum viajó a Oaxaca para visitar a los pacientes que continúan recibiendo atención médica en los hospitales de Tehuantepec y Salina Cruz. La Secretaria de Gobernación divulgó una lista actualizada de las personas heridas y aún hospitalizadas tras el descarrilamiento del Tren Interoceánico. En total hay 36 personas que se encuentran en algún centro hospitalario, según dio a conocer la dependencia en sus redes sociales. Hay mujeres y hombres de entre tres y 70 años de edad. Las autoridades señalaron que se mantiene el seguimiento médico a los lesionados, quienes continúan bajo observación en distintos centros hospitalarios, con el objetivo de garantizar su atención integral y evolución favorable. Asimismo, para brindar orientación y apoyo a los familiares de las personas afectadas, la Secretaría de Gobernación puso a disposición el número de atención a víctimas 55 22 30 21 06, con el fin de canalizar información y acompañamiento institucional. #MarinaInformapic.twitter.com/k4IL3DMczn -Con información de Ángel Hernández y Jorge Martínez Sheinbaum llega a Oaxaca para atender a familiares de víctimas hospitalizadas La tarde de este lunes la presidenta  de México arribó al estado de Oaxaca para atender a las familias de las personas que resultaron afectadas por el descarrilamiento del Tren Interoceánico, tal como lo anunció durante la conferencia mañanera de este día desde Palacio Nacional. ????#AlMomento????La presidenta Claudia Sheinbaum llega al hospital del ISSSTE de Santo Domingo Tehuantepec para atender a las familias de las víctimas del descarrilamiento del Tren Interoceánico en Oaxaca????: Omar Gascapic.twitter.com/aToZlmjG6j La Semar trasladó al Hospital Civil de Oaxaca a dos familias que resultaron con diversas lesiones luego del descarrilamiento del ferrocarril interoceánico. Ambas familias viajaban con los 294 pasajeros de la zona de Matías Romero a Coatzacoalcos Veracruz, algunos para pasar el año nuevo en Veracruz, y otros más regresaban de haber estado con sus familiares en Navidad. Una de las familias trasladada al hospital Juan Manuel Iglesias, él viajaba con su esposa e hijo hacía Veracruz, después de haber pasado la navidad en Oaxaca. Manuel Iglesias se encontraba en uno de los vagones que cayeron al fondo de la hondonada donde se descarriló el tren, recuerda que todo le dio vueltas y que quedó en el fondo de la unidad con las maletas aplastando a los pasajeros, junto con los restos de parte de la sillería y el mobiliario del ferrocarril roto. "Había muchos gritos, y desesperación pero salimos del lugar, ayude junto con otros pasajeros a sacar a otros lesionados, la mayoría mujeres, niños y ancianos" -Con información de Óscar Rodríguez. Tras el descarrilamiento del Tren Interoceánico que dejó 13 personas fallecidas, Mario Vázquez, senador del PAN, pidió un peritaje internacional, técnico e independiente, que no quede bajo control de autoridades federales o de instancias vinculadas al propio proyecto ferroviario. Según Vázquez, solo un equipo externo, con reconocimiento y respaldo internacional, podrá determinar con rigor técnico: La calidad del balasto utilizado, el mantenimiento de la vía, la velocidad y operación del tren; así como posibles fallas estructurales y responsabilidades públicas y privadas. Insistió que para evitar una investigación con opacidad, encubrimiento o conclusiones a modo, debe quedar en manos de organismos y expertos extranjeros sin vínculos políticos con el gobierno. Además del peritaje independiente, el legislador planteó tres acciones inmediatas: Vázquez fue enfático al señalar que el siniestro “no puede minimizarse ni clasificarse como un simple evento ferroviario”. -Con información de Silvia Arellano. El secretario de Salud, Efrén Emmanuel Jarquín González, realizó un recorrido de supervisión en los Hospitales Generales IMSS-Bienestar de Ciudad Ixtepec y Salina Cruz, así como en la Unidad Médica Rural IMSS-Bienestar de Matías Romero, para constatar el estado de salud y la atención que reciben las y los pacientes. El Gobierno del Estado refuerza la atención a las personas afectadas por el accidente del Tren Interoceánico.A primeras horas de este lunes, el secretario de Salud, Efrén Emmanuel Jarquín González, junto con su equipo de trabajo, realizó un recorrido de supervisión en los…pic.twitter.com/Rgmjcgt4Wv Autoridades de rescate lograron el último cuerpo de las 13 víctimas mortales que dejó el accidente en Oaxaca. Hasta el momento se desconoce la identidad Equipos de emergencia acaban de rescatar el último cuerpo de las 13 víctimas que murieron tras el descarrilamiento del tren Interoceánico en Oaxaca.QEPD#Video????????????https://t.co/sJKt2fid5Xpic.twitter.com/3EMyShGYbY -Con información de Jorge Becerril. Expertos en fotografía y medicina forense, criminalística de campo, ingeniería civil y arquitectura, química y seguridad industrial forense, así como tránsito terrestre, se encuentran desplegados en la zona donde ocurrió el descarrilamiento de un tren del Corredor Interoceánico del Istmo de Tehuantepec, con el objetivo de realizar las diligencias necesarias para esclarecer las causas del accidente. El personal pericial ministerial trabaja desde ayer en el sitio del siniestro, efectuando levantamiento de indicios, inspecciones técnicas y entrevistas a testigos y pasajeros, acciones que permitirán elaborar los dictámenes correspondientes. En un comunicado, la Fiscalía General de la República (FGR) subrayó que “la prioridad es conocer la verdad de lo ocurrido mediante una investigación profesional con rigor científico, colocando a las víctimas en el centro”. En seguimiento a lo ocurrido ayer domingo en el@CIIT_mx, la#FGRha llevado a cabo diversas diligencias, a efecto de continuar con la integración de la carpeta de investigación iniciada respecto a los hechos acontecidos en el estado de Oaxaca. 1/4pic.twitter.com/kzIrpl2GmJ -Con información de Amílcar Salazar Méndez. Tras el accidente en Oaxaca en el que se descarriló un tren con pasajeros, la Embajada de Rusia en México expresó en sus redes sociales un mensaje de solidaridad al "Noble Pueblo y el Gobierno de los Estados Unidos Mexicanos". ???????? La Embajada de Rusia en México expresa su solidaridad con el Noble Pueblo y el Gobierno de los Estados Unidos Mexicanos ante las trágicas consecuencias del descarrilamiento del tren, ocurrido el 28 de diciembre de 2025 en Nizanda, Oaxaca, que causó victimas humanas.????️ La…pic.twitter.com/L71DQnOKDf ​-Con información de Angel Hernández. El director general del Instituto Mexicano del Seguro Social (IMSS), Zoé Robledo, informó que realizó una visita al Hospital General de Zona (HGZ) No. 2 en Salina Cruz, Oaxaca, donde se atiende a 16 pacientes que resultaron lesionados en el accidente del Tren Interoceánico, que están fuera de peligro. El director del IMSS comunicó que 16 pacientes fueron trasladados al HGZ No. 2, donde se concentra el mayor número de pacientes lesionados. Afirmó que al momento ningún paciente tiene riesgo de perder la vida, son atendidos en diferentes instituciones del sector salud y en particular en el Hospital General de Zona No. 2 del IMSS en Salina Cruz. -Con información de Fanny Miranda. La embajada de Reino Unido en México compartió un mensaje de solidaridad a las familias de las víctimas por el accidente ferroviario en Oaxaca. Nuestros pensamientos y solidaridad están con las familias y seres queridos de las víctimas y lesionados por el accidente ferroviario ocurrido ayer en el Istmo de Tehuantepec.pic.twitter.com/vBCajLeMPn ​​-Con información de Angel Hernández. La gobernadora de Veracruz, Rocío Nahle García aseguró que están brindando todo el apoyo a las familias de tres veracruzanos fallecidos en el descarrilamiento del Tren Interoceánico y tres más que se encuentran lesionadas. En conferencia de prensa en Palacio de Gobierno en Xalapa, Nahle García indicó que tras el percance se comunicó con el gobernador de Oaxaca, Salomón Jara, porque se activó el protocolo de emergencia entre ambos estados para el servicio de salud, y para lo que se requiriese. Apuntó que hasta anoche sabían de los tres que habían hospitalizado en el IMSS Bienestar de Ixtepec, Oaxaca, que eran dos mujeres jóvenes de Agua Dulce y una más de 48 años originaria de Coatzacoalcos. Esta mañana le informaron de los tres fallecidos originarios de Minatitlán que se encuentran en una funeraria de El Espinal, en Juchitán, Oaxaca. Se trata de Patricia Medina Pérez, Honoria Medina Pérez, y Rogelio Luna. -Con información de Isabel Zamudio. Israel Enrique Gallegos Soto o como sus amigos lo llamabanHenry del Toro,es una de las víctimas que dejó el descarrilamiento del Tren Interoceánico en Oaxaca. Gallegos Soto trabajaba en el Heraldo de Oaxaca, su compañero Miguel Pérez lamentó su muerte. La Secretaría de Marina (Semar), dependencia a cargo de la Línea Z del Tren Interoceánico, dio una cronología del accidente ocurrido en Oaxaca la mañana del domingo 28 de diciembre donde el saldo fue de 13 muertos. -Lee la nota completa aquí. Funcionarios encargados del tren serán citados a comparecer en la Cámara de Diputados De manera adicional a la investigación de oficio que lleva a cabo la Fiscalía General de la República (FGR), el PAN en la Cámara de Diputados ingresará denuncias penales para que Ernestina Godoy investigue a fondo el motivo del descarrilamiento del Tren Interoceánico. Federico Döring, vocero del Grupo Parlamentario en San Lázaro dijo que los funcionarios encargados de este Tren Interoceánico van a ser citados en la Cámara de Diputados. Jorge Triana, vocero del CEN PAN, añadió que el Interoceánico, no es un proyecto nuevo e innovador, sino un proyecto que se recicló del porfiriato. -Con información de Silvia Arellano. El titular del IMSS-Bienestar, Alejandro Svarch Pérez y el subsecretario de Gobernación, Arturo Medina, se encuentran supervisando de manera directa a todas las personas que resultaron heridas tras el descarrilamiento del Tren Interoceánico. Nuestro Director de#IMSSBienestar,@alexsvarch, acompañado del subsecretario de Gobernación@arturomedinap, supervisa de manera directa la atención médica que reciben las personas lesionadas tras el incidente del Tren Interoceánico.Durante su visita a los Hospitales IMSS…pic.twitter.com/eAKcF3Vp6N En la conferencia mañanera, Claudia Sheinbaum difundió el número al cual los familiares de las personas que viajaban en el Tren Interoceánico se pueden comunicar, en caso de no saber su estado de salud o paradero. La Semar informó que 250 personas estaban a bordo del convoy que iba sobre la Línea Z en la ruta que va de Salina Cruz a Coatzacoalcos; de ella 98 resultaron lesionados y 139 están fuera de peligro. Las víctimas del accidente fueron trasladadas a distintos hospitales entre el Instituto Mexicano del Seguro Social (IMSS), Instituto de Seguridad y Servicios Sociales de los Trabajadores del Estado (ISSSTE) y el IMSS-Bienestar. La Secretaría de Gobernación, por su parte, compartió al corte de las 23:56 horas un listado oficial de 70 personas atendidas en distintos hospitales de Oaxaca tras la tragedia acontecida en la tarde. -Lee la nota completa aquí. Durante la conferencia mañanera de este lunes, la presidenta de México, Claudia Sheinbaum se pronunció ante el descarrilamiento del Tren Interoceánico en Oaxaca, mencionando que se atenderán tres ejes principales; atención a las víctimas y sus familiares, esclarecer los hechos y garantizar la seguridad del Tren Interoceánico. Respecto al primer eje adelantó que en el transcurso del día se trasladará a Oaxaca para "hablar con las familias" de los pasajeros afectados. El embajador de Estados Unidos en México, Ronald Johnson, compartió un mensaje de condolencia los familiares de las víctimas del accidente: Expresamos nuestras más sinceras condolencias a las familias y seres queridos de quienes perdieron la vida en el reciente accidente ferroviario en Oaxaca. Nuestros pensamientos y oraciones también están con las personas lesionadas y con todos los afectados. -Con información de Ángel Hernández. El titular del Instituto Mexicano del Seguro Social (IMSS), Zoé Robledo, compartió en sus redes sociales una actualización sobre las personas que resultaron heridas por el descarrilamiento del tren interoceánico, los cuales se encuentran en en el Hospital General de Zona No. 2 del IMSS en Salina Cruz, Oaxaca: #Actualización⭕️A las 5:00 am realizamos la visita de los pacientes que, derivado del accidente del tren Interoceánico, se encuentran en el Hospital General de Zona No. 2 de@Tu_IMSSen Salina Cruz, Oaxaca.???? El reporte es el siguiente:• Se contaba con 16 pacientes…pic.twitter.com/olHYVet2Yh El tren  sufrió un descarrilamiento, lo que obligó al personal a detener la marcha y activar los protocolos de emergencia. De acuerdo con el comunicado de la Secretaría de Marina (Semar), se brindó atención inmediata a todos los usuarios, mientras se mantenía coordinación con las autoridades para garantizar la seguridad de los tripulantes.</t>
  </si>
  <si>
    <t>¿Quiénes eran las víctimas de la balacera en Zapopan?</t>
  </si>
  <si>
    <t>2025-12-29 15:53:00</t>
  </si>
  <si>
    <t>https://www.milenio.com/policia/quienes-eran-las-victimas-de-la-balacera-en-zapopan</t>
  </si>
  <si>
    <t>Luego de que se registrara unenfrentamiento a balazos en  Zapopanque dejó saldo detres personas muertasy cuatro más lesionadas de gravedad, el secretario general de Gobierno deJalisco,Salvador Zamorareveló detalles sobre la identidad de las víctimas. Señaló que en el sitio donde ocurrió el intercambio de disparos murieron dos hombres, un hombre identificado como Alberto, comerciante del Mercado de Abastos así como un escolta suyo, posteriormente cuando recibía atención médica falleció una joven de 16 años hija del comerciante. Salvador Zamora señaló que se trató de una agresión directa, y que los hechos ya son investigados por autoridades estatales y federales, con dos vehículos asegurados y sin detenidos hasta el momento. Acerca de los vínculos del occiso con actividades como las rifas colombianas ilegales, el secretario señaló que la única información con la que cuenta sobre esas suposiciones son las notas periodísticas que existen en diferentes medios de comunicación. Hasta el momento, sumando esta balacera del 29 de diciembre, a lo largo de 2025 se han presentado 7 eventos de magnitud mayor con intercambio de disparos prolongados o múltiples victimas. Hasta el cierre de noviembre, la cifra oficial de homicidios con armas de fuego supera las 100 carpetas de investigación, según fuentes de la Comisaría General de Seguridad Pública de Zapopan, IIEG Jalisco y reportes de la Fiscalía del Estado de Jalisco.</t>
  </si>
  <si>
    <t>¿Qué pasó? Esto sabemos del policía de CdMx que murió tras frustrar un robo en Álvaro Obregón</t>
  </si>
  <si>
    <t>2025-12-29 08:42:00</t>
  </si>
  <si>
    <t>https://www.milenio.com/policia/policia-cdmx-muere-tras-frustrar-robo-alvaro-obregon-que-sabemos</t>
  </si>
  <si>
    <t>LaSecretaría de Seguridad Ciudadana (SSC)de la Ciudad de México se encuentra de luto, luego de que uno de sus elementosperdió la vidatrasfrustrar un robo a una casaen laalcaldíaÁlvaro Obregón. Los hechos ocurrieron la tarde de28 de diciembre de 2025en la coloniaJardines del Pedregal. Acorde con los reportes, el oficial fue identificado comoRomán Martínez Estrada, quiencontaba con 16 años de experiencia dentro de la SSC. EnMILENIOte explicamos lo que se sabe del caso. De acuerdo con los primeros reportes, la tarde del domingo,dos uniformados de la SSCacudieron a un domicilio ubicado en la calle Lluvia y la avenida Paseo del Pedregal, en la colonia Jardines del Pedregal, trasel reporte al 911 de un robo a casa habitación. Al arribar, los uniformados observaron que de la vivienda reportadasalían varios sujetos, quienes comenzaron a huir al notar su presencia. Durante el escape,uno de los criminales realizó disparos de arma de fuegocontra los agentes, alcanzando a herir al policíaRomán Martínez Estrada. ​​La SSC apuntó que, pese a haber sido herido, el uniformadologró repeler la agresión y lesionó a uno de los implicadosen el robo. Para priorizar su atención médica, el policía fue trasladado a un hospital donde lo diagnosticaron conherida de bala en la costilla. En un primer momento la dependencia capitalina informó que se mantenía"en observación y tratamiento", pero poco más de dos horas después, el titular de la SSC,Pablo Vázquez Camacho, informó su fallecimiento. A través de redes sociales, Vázquez Camacho identificó al uniformado como el policía segundo Román Martínez Estrada, adscrito a laUnidad de Protección Ciudadana San Ángel. Aseguró queno habrá impunidadpara quienes cometieron el"cobarde ataque", e informó que las áreas de operación e inteligencia de la SSC ya trabajan en coordinación con laFiscalía General de Justicia (FGJ)para detener a los responsables. Por su parte, el periodistaCarlos Jiménez, conductor del programaC4 en Alerta,dio a conocer que el oficial Martínez Estradaingresó a la SSC en 2009. Con profundo dolor, lamento informar que mi compañero Policía Segundo Román Martínez Estrada, quien esta tarde atendió el reporte de un robo a casa habitación en@AlcaldiaAOy gracias a su oportuna intervención frustró el asalto, perdió la vida.A sus familiares y amigos les…pic.twitter.com/KtGyVUGruq La investigación refiere quelos probables responsables del asalto en Jardines del Pedregalse dieron a la fuga en una camioneta color azul. Más adelante, ante los disparos del agente de la SSC, perdieron el control y se impactaron. El vehículo fue dejado abandonado y los sujetoscontinuaron su fuga en un vehículo que robaron a su propietario, el cual fuehallado junto con una caja fuerte en inmediacionesde la alcaldía Miguel Hidalgo.</t>
  </si>
  <si>
    <t>Disminuyen las quejas contra policías y tránsitos en Lerdo</t>
  </si>
  <si>
    <t>2025-12-26 17:44:00</t>
  </si>
  <si>
    <t>https://www.milenio.com/estados/lerdo-disminuyen-las-quejas-contra-policias-y-transitos</t>
  </si>
  <si>
    <t>La Contraloría Municipal deLerdoregistró una reducción cercana al 40 por ciento en las quejas ciudadanas contra servidores públicos,principalmente elementos de Tránsito y Policía,durante el periodo de septiembre a diciembre del presente año, así lo dio a conocer José Alonso Villalobos de la Cruz, contralor municipal. Atribuyó esta disminución a lasconstantes capacitaciones y acciones de concientizaciónimpulsadas por la presidenta municipal, Susy Torrecillas Salazar, en coordinación con instancias estatales y áreas municipales. Indicó que mientras en el mismo periodo del año pasado se recibieronalrededor de 60 denuncias,en este 2025 se contabilizaron aproximadamente 20, además de que en lo que va del mes de diciembre no se ha registrado ninguna queja relacionada con agentes de Tránsito ni policías municipales. Señaló queno todos los reportes corresponden a quejas formales,ya que también se reciben sugerencias e incluso reconocimientos hacia algunos elementos por su actuación y apoyo a la ciudadanía. Asimismo,hizo un llamado a la población para que las denuncias se presenten por los canales formalesy no únicamente a través de redes sociales, con el objetivo de garantizar un debido proceso tanto para los ciudadanos como para los servidores públicos. Entre las principales causas de las quejas que presenta la ciudadanía, dijo,destacan el presunto abuso de autoridad y posibles casos de cohecho;sin embargo, explicó que no todas las situaciones constituyen faltas administrativas, ya que algunas son canalizadas a las áreas de asuntos internos de las corporaciones para su análisis, de acuerdo con los reglamentos internos. El contralor municipalreconoció el trabajo de la alcaldesa en materia de prevención y combate a la corrupción,a través de las recientes capacitaciones impartidas por el fiscal anticorrupción y los programas de formación permanente que llevan a cabo las direcciones de Tránsito y Seguridad Pública.</t>
  </si>
  <si>
    <t>Michoacán inicia operativo de seguridad para blindar zona del Aeropuerto de Morelia</t>
  </si>
  <si>
    <t>2025-12-20 23:23:00</t>
  </si>
  <si>
    <t>Positivo</t>
  </si>
  <si>
    <t>https://www.milenio.com/policia/blindan-zona-del-aeropuerto-de-morelia-michoacan-ramirez-bedolla</t>
  </si>
  <si>
    <t>El gobernador de Michoacán, Alfredo Ramírez Bedolla, puso en marcha el operativo interinstitucionalGuardianes del Caminocon el objetivo defortalecer la seguridad en la red carretera que conecta con la zona del Aeropuerto de Morelia. En el despliegue operativoparticipan agentesde la Guardia Civil, Guardia Nacional, Policía de Morelia y agentes delos municipios de Álvaro Obregón, Queréndaro y Zinapécuaro, quienes operarán las 24 horas del día. ​Reforzamiento de seguridad: Plan Michoacán El mandatario estatal señaló que se vigilará la carretera federal desde El Trébol, municipio de Tarímbaro, Álvaro Obregón, aeropuerto, hasta el municipio de Zinapécuaro,con estas nuevas patrullas recientemente adquiridas Police Interceptor, que son desde la planta armadas para cumplir una función policial. Resaltó que este operativo se pone en marchacomo parte del Plan Michoacán por la Paz y la Justicia, el cual tiene el propósito dereforzar la seguridad y brindar certeza al tránsito de personas y mercancías en la zona. Ramírez Bedolla manifestó que la semana pasada también se inició este esquema de seguridad en la región Tocumbo, y de manera paulatinase contempla en 15 rutas, a fin de evitar la comisión de hechos delictivos en las carreteras con mayor flujo vehicular. Hoy ponemos en marcha el operativo Guardianes del Camino en la región centro. Reforzamos la vigilancia en los municipios de Álvaro Obregón, Morelia, Queréndaro y Zinapécuaro para que tú y tu familia viajen con total tranquilidad por nuestras carreteras.Queremos que cada…pic.twitter.com/RjWcNr5Sw1 En tanto, el secretario de Seguridad Pública, José Antonio Cruz Medina, informó quelos agentes se encuentran capacitados para desarrollar labores de proximidad social, generar una respuesta inmediata para la prevención del delito yante cualquier situación. Además, todos los oficiales cuentan con una cámara corporal "bodycam", la cual tieneconexión directa con el C5para llevar a cabo su actuar con eficacia,privilegiando la seguridad del ciudadano. En el marco del Plan Michoacán para la Paz y la Justicia, autoridades federales y estatales presentaron en Morelia elCertificado Laboral para la Agroexportación y la plataforma digital VELAGRO. Un mecanismo diseñado para garantizar que las exportaciones agrícolas, iniciando con el aguacate,cuenten con mano de obra formal y condiciones de trabajo digno. Este sistema verificará que cada embarque tenga trabajadores afiliados al Instituto Mexicano del Seguro Social (IMSS), cumpliendo con la legislación laboral y la seguridad social. El objetivo es que el mundo reconozca no solo la calidad del aguacate michoacano, sino también su responsabilidad social en toda la cadena de producción. El esquema operará inicialmente con el aguacate hass y se prevé que se extienda a otros productos agrícolas de exportación en próximos años. Además de fortalecer la formalización laboral, se busca posicionar al sector agrícola mexicano como ejemplo en materia de derechos laborales y competitividad global, lo que podría influir positivamente en las futuras negociaciones del T-MEC y en la percepción internacional del producto mexicano.</t>
  </si>
  <si>
    <t>Director de la Policía Municipal de Asientos, Aguascalientes, resulta herido tras volcadura</t>
  </si>
  <si>
    <t>2025-12-20 09:29:00</t>
  </si>
  <si>
    <t>volcadura</t>
  </si>
  <si>
    <t>https://www.milenio.com/estados/titular-policia-de-asientos-aguascalientes-sufre-accidente-carretera</t>
  </si>
  <si>
    <t>El director de laPolicía Municipal de Asientos,Alejandro Carranza, se volcó cuando circulaba a bordo de su patrulla junto con su escolta. Los hechos ocurrieron en la carretera 43, en elmunicipio de Asientos. El director junto con su escolta, circulaban por dicha carretera cuando se les atravesó unmotociclista; para evitar impactarlo, perdieron el control del vehículo, salió de la cinta asfáltica y terminóvolcado. El director fue trasladado alHospital Miguel Hidalgoa bordo de un helicóptero para recibir atención médica. El escolta, identificado comoPablo, fue trasladado para recibir atención médica a bordo de unaambulancia. El municipio de Asientos se localiza en elnoreste del estado de Aguascalientes, en la región limítrofe conZacatecas. Es conocido por su cabecera,Real de Asientos, un Pueblo Mágico. Asientos se encuentra aproximadamente a 60 kilómetros de la ciudad de Aguascalientes, capital del estado. La cabecera municipal, Real de Asientos, fue fundada en el siglo XVI como un importantecentro minero.</t>
  </si>
  <si>
    <t>Coyoacán refuerza seguridad con operativo especial durante vacaciones decembrinas</t>
  </si>
  <si>
    <t>2025-12-19 23:10:00</t>
  </si>
  <si>
    <t>Coyoacán</t>
  </si>
  <si>
    <t>https://www.milenio.com/policia/coyoacan-refuerza-seguridad-y-vigilancia-en-temporada-navidena</t>
  </si>
  <si>
    <t>La alcaldía Coyoacán puso en marcha elOperativo de Seguridad Decembrino 2025, una estrategia integral que contempla recorridos permanentes yacciones de vigilancia coordinadas entre autoridades locales y federales. El operativo se realizó en el Parque Frida Kahlo, dondeautoridades de la demarcación informaron que las labores de seguridad se llevarán a cabo en coordinación conla Guardia Nacional, la Secretaría de Marina, la Secretaría de la Defensa Nacional y dependencias del Gobierno de laCiudad de México. El despliegue tiene como finalidadgarantizar el orden, la tranquilidad y la sana convivencia de las familiasque habitan o visitan Coyoacán durante las fiestas decembrinas. Durante el acto protocolario, la directora general de Seguridad Ciudadana, Aurora Monserrat Cruz, en representación del alcalde Giovani Gutiérrez Aguilar,destacó que la seguridad de la población es una prioridad permanente. Particularmente en esta época caracterizadapor el incremento de actividades comerciales, recreativas y de convivencia social. Señaló que la estrategia se basa en el trabajo transversal entre autoridades y en elfortalecimiento de la prevención del delito. En esta temporada de “Fiestas Decembrinas” y vacaciones, ten la seguridad de que#EscudoCoyoacánen conjunto con la@Semar_mxla@Defensamx1, la@GN_Mexico_y la Unidad de Gestión Integral de Riesgos y Protección Civil te protegeremos a ti y a tu familia. Cuidémonos entre todos.pic.twitter.com/7kgmRYXxJh La funcionaria subrayó además la importancia de la corresponsabilidad social, al considerar que la participación activa de la ciudadanía es un elemento clave paramantener condiciones de paz y seguridad en la demarcación. Por su parte, el titular de la Unidad de Gestión Integral de Riesgos y Protección Civil, Jorge Peña, hizo un llamado a la población paraextremar medidas preventivas durante este periodo. Entre las principales recomendaciones, destacóevitar el uso de pirotecnia, debido a los riesgos de quemaduras, especialmente en niñas y niños, así como la posibilidad de provocar incendios. Asimismo, exhortó arevisar las instalaciones eléctricas y de gas en los hogares, tomar previsiones al salir de casa durante las vacaciones yevitar conducir bajo los efectos del alcohol. También pidió especial atención para elcuidado de personas adultas mayores, personas con discapacidad y menores de edad. Las autoridades informaron queel operativo contempla vigilancia las 24 horas del día, los siete días de la semana, así comouna coordinación permanente con instancias de atención a emergencias. En caso de cualquier eventualidad,la población puede comunicarse al número de emergencias 911o a los canales de atención de la alcaldía. Finalmente,se reiteró que la seguridad es una tarea compartida entre autoridades y ciudadanía, y que la colaboración responsable de las y los vecinos es fundamental parapreservar a Coyoacán como un espacio seguro durante las festividades decembrinas.</t>
  </si>
  <si>
    <t>En Acambay, autoridades refuerzan seguridad ante pugna de grupos delicuenciales</t>
  </si>
  <si>
    <t>2025-12-11 17:06:00</t>
  </si>
  <si>
    <t>Estado de México</t>
  </si>
  <si>
    <t>https://www.milenio.com/policia/autoridades-de-acambay-refuerzan-seguridad-por-grupos-criminales</t>
  </si>
  <si>
    <t>El secretario general de Gobierno, Horacio Duarte Olivares, advirtió quese ha detectado una pugna entre dos grupos delictivosquebuscan controlar la zona norte delEstado de México, por lo que informó se reforzó la seguridad. Ante ello las autoridades aseguraron se no se ha registrado incremento en la incidencia delictiva. En entrevista, el secretario general refirió que uno de los sucesos que generaron alarma fue ladetención de 12 elementos de la Dirección de Seguridad Pública Municipal, entre ellos su comisario, tras el enfrentamiento con policías estatales quedejó un muerto y cuatro lesionados el pasado 22 de noviembre. Por esos hechos, el encargado de la política interna informó quese desplegaron 40 elementosde la Secretaría de Seguridad estatal (SSEM), quienesse suman a los aproximadamente 27 policías municipalescon los que cuenta la corporación para mantener patrullajes yreforzar la seguridad en el municipio mexiquense. Tras enfrentamiento en Acambay, Policía Estatal asume dirección de seguridad municipal????️@abadielmtzpic.twitter.com/diFIAnsgEE Duarte Olivaresnegó que la administración estatal haya asumido la dirección de seguridaddel municipio, ya que mencionó que la presidenta municipalcuenta con la facultades que la ley le otorga para designar a su comisario. Por su parte, el Ayuntamiento en un comunicadoinformó que no se ha designado a ningún director de Seguridad Pública Municipalsolo hay un encargado de despacho. En el norte del Estado de México, particularmente en Acambay,operan células delictivascomoLos Torrijos, involucradas enextorsión a comerciantes, secuestros, robo de carga y delitos contra la salud, en pugna con otros grupos posiblemente originarios de Michoacán. La regiónsufre infiltración policial, evidenciada por lasentencia de 46 a 68 añoscontra el ex comisarioEulises González Hernándezpordesaparición forzada y extorsiónen la Operación Enjambre, donde entregó armas a criminales. Autoridadeshan detenido líderescomo Jonathan 'N' deLos Torrijosy desplegado más fuerzas paracombatir la corrupción y disputas territoriales.</t>
  </si>
  <si>
    <t>Matan a una policía municipal de Culiacán mientras regresaba a su hogar en Navolato</t>
  </si>
  <si>
    <t>2025-12-11 08:28:00</t>
  </si>
  <si>
    <t>https://www.milenio.com/policia/asesinan-a-balazos-a-una-policia-municipal-de-culiacan-en-navolato</t>
  </si>
  <si>
    <t>La noche del 10 de diciembre, una integrante de laPolicía Municipal deCuliacán,identificada comoNayeli 'N', de42 añosy con una trayectoria de 14 en la corporación,fueasesinada en Navolato. La oficial se dirigía a su domicilio, tras concluir su turno, cuando fue sorprendida por hombres armados. El ataque ocurrió sobre lacarretera Culiacán–Navolato, a la altura del ejidoLosAlamitos, en la sindicatura deSan Pedro. De acuerdo con los primeros reportes, la víctima viajaba en su camioneta particular cuandofue interceptada y atacada a balazos, falleciendo en el lugar. Elementos de Bomberos, Protección Civil, Cruz Roja y policías municipales de Navolato, además de personal operativo de seguridad pública, acudieron para asegurar la zona y brindar apoyo inmediato, informó la autoridad. En un comunicado, laSecretaría de Seguridad Pública y Tránsito Municipal expresó su pesarpor lo ocurrido y afirmó que la familia de la agente recibirá el acompañamiento correspondiente conforme a la ley. También, manifestó su disposición total para colaborar con la Fiscalía General del Estado(FGE)de Sinaloaen la investigación del crimen. La institución reiteró que mantiene su compromiso con la protección de su personal y de la ciudadanía, y aseguró que responderá con determinación frente a agresiones dirigidas contra la corporación.</t>
  </si>
  <si>
    <t>Policías de Torreón salvan a perrito tras sufrir amputación parcial; pagarán su rehabilitación</t>
  </si>
  <si>
    <t>2025-12-10 16:50:00</t>
  </si>
  <si>
    <t>Torreón</t>
  </si>
  <si>
    <t>Coahuila</t>
  </si>
  <si>
    <t>https://www.milenio.com/estados/policias-de-torreon-salvan-a-perrito-tras-sufrir-amputacion-parcial</t>
  </si>
  <si>
    <t>Elementos de laPolicía Municipal de Torreónrescataron a unperritogravemente herido en el sector Alianza, luego de encontrarlo con una amputación parcial en una de sus patas. Gracias a la rápida y humana intervención de los oficiales,el animal logró sobrevivir y recibir atención veterinaria, aunque deberá someterse a la amputación completa y a un proceso de rehabilitación que será cubierto por los propios policías que lo auxiliaron. De acuerdo con el reporte, los agentes realizaban un recorrido de vigilancia cuando escucharon los lamentos del animal, que yacía malherido en la vía pública. Al acercarse,lo encontraron con la pata derecha severamente dañada, presuntamente a causa del impacto de un diablito utilizado para transportar carga en la zona del mercado Alianza. Los oficiales levantaron con cuidado al perrito y lo trasladaron de inmediato a una clínica veterinaria, donde se confirmó que, debido a la gravedad de la lesión,será necesaria la amputación total de la extremidad para iniciar su recuperación. Aunque ya se localizó a la dueña del animal, los gastos médicos y de rehabilitación serán asumidos por los policías que participaron en el rescate, quienes afirmaron que no podían dejarlo solo tras haberlo encontrado en agonía. Además,señalaron que el perrito necesitará una prótesis y varias semanas de cuidados, periodo en el que se comprometieron a acompañarlo hasta que pueda regresar en mejores condiciones a su hogar. El caso ha generado muestras de apoyo en redes sociales, donde ciudadanos reconocen la labor humanitaria de los elementos municipales y su compromiso para salvar la vida del animal.</t>
  </si>
  <si>
    <t>Detienen a 7 personas acusadas de golpear y desarmar a policías en la colonia Maza</t>
  </si>
  <si>
    <t>2025-12-04 20:27:00</t>
  </si>
  <si>
    <t>Cuauhtémoc</t>
  </si>
  <si>
    <t>https://www.milenio.com/policia/golpean-y-desarman-a-policias-en-la-colonia-maza-cdmx</t>
  </si>
  <si>
    <t>Policías de la Secretaría de Seguridad Ciudadana (SSC) de la Ciudad de Méxicodetuvieron a siete personas acusadas de agredir físicamente a elementos de la dependencia capitalinadurante una revisión a una motocicleta en calles de lacolonia Maza, alcaldía Cuauhtémoc. Los oficiales realizaban revisiones a conductores de motocicletas y, al marcarle el alto a una unidad,el conductor se tornó agresivo y se resistió a bajar. Posteriormente, el motociclista pidió ayuda a personas que se encontraban en el lugar, quienes comenzaron a agredir físicamente a los policías capitalinos. Ante esto, las autoridades capitalinas solicitaron el apoyo de otros elementos de seguridad quienes, minuto después,arribaron al punto y detuvieron a siete personas, mismas que despojaron de su arma de cargo a uno de los policías. Por lo anterior,cuatro mujeres de 23, 39, 27 y 49 años de edad y tres hombres de 27, 26 y 49 años,fueron detenidos y presentados ante un agente del Ministerio Público correspondiente, quien determinará su situación legal. Al lugar de los hechos, arribaron paramédicos de Protección Civil, que diagnosticaron a dos efectivos policialescon golpes contusos en la cabeza y el cuerpo, por lo que los trasladaron a un hospital para su pronta atención. Cabe señalar que los elementos de la secretarias de Movilidad (Semovi) y de la SSC pueden hacer operativos que consisten en revisar a motociclistas,para garantizar que cuenten con los documentos necesarios para circular, no conduzcan en estado de ebriedad y usen su equipo de seguridad. En caso de ser necesario, pueden emitir multas de tránsito a algunos de los motociclistas que han revisadoo remitir los vehículos al corralón por no tener licencia, placas o tarjeta de circulación.</t>
  </si>
  <si>
    <t>Policía de CdMx emite recomendaciones para comerciantes en época navideña</t>
  </si>
  <si>
    <t>2025-12-04 20:05:00</t>
  </si>
  <si>
    <t>https://www.milenio.com/policia/comerciantes-navidenos-recomendaciones-para-vender-seguro</t>
  </si>
  <si>
    <t>La Secretaría de Seguridad Ciudadana(SSC) de laCiudad de Méxicollamó a propietarios, comerciantes y administradores de establecimientos mercantilespara implementar medidas preventivas ante las fiestas de Navidad. Estas acciones buscanproteger al personal, clientes y mercancíadurante elperiodo de alta demanda, reduciendo riesgos comorobos y extorsiones. A través de la Policía Bancaria e Industrial (PBI) se aconseja a los comerciantes mantener accesos, pasillos y áreas de caja despejados e iluminados; además deverificar el funcionamiento de cámaras de videovigilancia, alarmas y botones de pánico. También, sugirieroncontrolar el ingreso a bodegas y zonas restringidas, así comocapacitar al personalpara identificarconductas inusualesmediante claves internas de alerta yseguimiento discreto a personas sospechosas. Para proveedores, se recomendóverificar identidades y recibir mercancía en áreas iluminadas. Entre las recomendaciones para el manejo de dinero, la PBI sugirió evitaracumular efectivo en caja,realizar cortes y depósitos parciales con rutas y horarios variables, y revisar billetes con pluma detectora o luz ultravioletasin contar frente al público. Respecto a la mercancía, aconsejaron mantenerinventarios actualizados, estantes ordenadosy, si el giro lo permite,solicitar a clientes ingresar sin mochilas grandes o bolsas opacas para prevenir el robo hormiga. Para evitar extorsiones, el personal debe abstenerse de proporcionar datos del negociopor teléfono,colgar ante amenazas, verificar yreportar inmediatamente a responsables. Al cerrar el local, es importanteasegurar puertas, cortinas y exhibidores, además deactivar sistemas de alarmayconservar grabacionesde incidentes para reportarlosde forma inmediata a las autoridades. Estas orientaciones forman parte de laestrategiade la SSCpara fortalecer la resiliencia de los comercios en épocas festivas. Incremento de robo en temporada navideñas La temporada navideña en México registra un notable aumento en robosdebido al mayor flujo de dinero, compras y mercancías,con al menos 85 robos por horasegún elSistema Nacional de Seguridad Pública. En 2024, se contabilizaron44 mil 949 robos a casahabitación,31 mil 780 a negociosy 54 mil 428 a transeúntesdurante diciembre,cifras que se repiten anualmente por el aguinaldo y ventas festivas. Esto equivale a cerca de85 robos por hora, aunque se estima que la cifra real podría sermucho mayor debido al alto índice de delitos no denunciados, que alcanza el93%según elInstituto Nacional de Geografía y Estadística(Inegi). La temporada navideña representa un blanco atractivo para los delincuentes debido a: Ausencia de seguridad en viviendas:  Muchas familiassalen de viaje,dejando sus hogares desprotegidos Concentración de actividades comerciales:  El aumento de transacciones ycompras en zonas comerciales eleva el riesgo de asaltos y robos</t>
  </si>
  <si>
    <t>Detienen a policía estatal implicado en la desaparición de la niña Noelia en Oaxaca</t>
  </si>
  <si>
    <t>2025-11-19 15:04:00</t>
  </si>
  <si>
    <t>homicidio</t>
  </si>
  <si>
    <t>https://www.milenio.com/estados/detienen-a-policia-implicado-en-desaparicion-de-nina-noelia-en-oaxaca</t>
  </si>
  <si>
    <t>Fuerzas de seguridad estatales y federales lograron la detención de L.S.V., elemento de laPolicía Auxiliar Bancaria, Industrial y Comercial (PABIC), como probable autor material del triple homicidio; dos mujeres y un hombre, así como de ladesaparición de Noelia, una niña de 4 años de edad. En conferencia de prensa, el fiscal General, Bernardo Rodríguez Alamilla, precisó que desde el asesinato de la menor se han logrado capturar a12 imputados y siete miembros de la célula criminal del llamado Comandante Cromo. Informó que en las detenciones participaron más de 500 elementos que para la operación efectuaron más de 30 cateos donde aseguraron armas y drogas. Fiscalía de Oaxaca y Gabinete de Seguridad Estatal detienen a probable autor del triple homicidio y la desaparición de una niña cometidos en Juchitán de ZaragozaOaxaca de Juárez a 19 de noviembre de 2025.- Durante la conferencia de prensa de Seguridad del Gobierno del Estado de…pic.twitter.com/pK0oYGrakq Rodríguez Alamilla reportó que el policía estatal, era miembro de la célula criminal delComandante Cromo, que buscaba crear su propio grupo criminal dedicado a la cebra de drogas al menudeo en el municipio de Juchitán de Zaragoza.</t>
  </si>
  <si>
    <t>Atacan a tiros a jefe policiaco de Tlaquiltenango Morelos; al parecer  intentaron asaltarlo</t>
  </si>
  <si>
    <t>2025-11-19 11:42:00</t>
  </si>
  <si>
    <t>Morelos</t>
  </si>
  <si>
    <t>https://www.milenio.com/estados/titular-policia-tlaquiltenango-sufre-atentado-armado</t>
  </si>
  <si>
    <t>Esta mañana,Abraham Emmanuel Córdoba Valdés, director de la Policía de Tlaquiltenango en la zona sur de Morelos, resultó herido de bala al parecer por unintento de asaltoen el tramo carretero Tecomán-Las Estacas, a la altura del poblado de Huatecalco. De acuerdo con datos de las autoridades estatales, el ataque ocurrió alrededor de las 06:55 horas, cuando Córdoba Valdés, quien viajaba hacia el municipio de Tlaquiltenango a bordo de su auto particular, fueemboscado por dos hombresquienes lo esperaban metros adelante en una motocicleta. De acuerdo con los primeros reportes, autoridades locales recibieron una llamada de auxilio alertando sobre disparos en la zona. Al llegar al lugar, encontraron al director de seguridad pública conheridas visibles de bala, pero consciente. Rápidamente, paramédicos fueron llamados parabrindarle los primeros auxilios, confirmando que había recibido varios impactos de arma de fuego. Debido a la gravedad de las lesiones, fue trasladado de emergencia a un hospital para recibir atención médica. Miguel Ángel Urrutiatitular de seguridad pública del estado, en conferencia de prensa mencionó que una de las primeras líneas de investigación refieren que el policía se resistió al asalto. Atenta invitación.Los integrantes de la Mesa de Construcción de Paz y Seguridad, te invitan a seguir la Conferencia de Prensa este Miércoles 19 de Noviembre a las 9:00 horas, donde se informará de las detección más relevantes en los últimos 15 días en Morelos.¡Los esperamos!pic.twitter.com/XGISfzeCa9 La fiscalía de justicia en la zona sur, ya inició con las investigaciones correspondientes para esclarecer los hechos y dar con los responsables, quienes se encuentranprófugos de la justicia. Las autoridades mantienen vigilancia sobre el estado de salud del director y continúan las diligencias para esclarecer el ataque.</t>
  </si>
  <si>
    <t>Policía es apuñalado en el abdomen durante asalto tras salir de la estación Ecatepec del Metro</t>
  </si>
  <si>
    <t>2025-11-17 19:26:00</t>
  </si>
  <si>
    <t>Ecatepec</t>
  </si>
  <si>
    <t>https://www.milenio.com/policia/apunalan-a-policia-durante-asalto-afuera-estacion-ecatepec-del-metro</t>
  </si>
  <si>
    <t>Un policía de la Secretaría de Seguridad Ciudadana (SSC) de la Ciudad de Méxicofue asaltado y lesionado tras salir de la estación Ecatepec de la Línea B delSistema de Transporte Colectivo (STC) Metro. Los hechos ocurrieron en la estación ubicada entre las avenidas Carlos Hank González y Sor Juana Inés de la Cruz, de la colonia Valle de Anáhuac Sección A, Estado de México,donde elementos de la Policía Auxiliar atendieron la situación y auxiliaron a su compañero. Los compañeros de la víctima observaron que en el área de torniquetes estaba una persona con manchas de sangre en el rostro y en ropa, por lo cual le brindaron apoyo y solicitaron los servidos médicos. El lesionado —quien se identificó como elemento de la SSC y horas antes del asalto salió de servicio—explicó a los policías que fue agredido físicamente por dos hombres al exterior de las instalaciones de la estación. La víctima señaló que intentaron despojarlo de sus pertenencias, pero, al oponerse al asalto,fue lesionado con un objeto punzocortante. Posteriormente,por sus propios medios caminó para refugiarse de sus presuntos agresores en la estación, donde esperaba recibir apoyo de sus compañeros. Por su parte, los policías auxiliares trasladaron al lesionado al cubículo del Inspector jefe de estación, donde llegó personal de Seguridad Industrial del Metro,que diagnosticó al oficial, de 56 años de edad, con cuatro heridas punzocortantes penetrantes y abdomen agudo. Antes de su traslado, la víctima indicó que una vez que se encuentre establepresentará una denuncia formal ante las autoridades ministeriales mexiquensespara investigar el caso y dar con los presuntos responsables. Finalmente, se supo que personal deInspección Policial de la Policía Auxiliar y de la Dirección General de Asuntos Internosintegran las carpetas de investigación internas para los trámites administrativos pertinentes.</t>
  </si>
  <si>
    <t>Detienen a tres hombres por posesión de armas en Tlaquepaque</t>
  </si>
  <si>
    <t>2025-11-07 10:59:05</t>
  </si>
  <si>
    <t>San Pedro Tlaquepaque</t>
  </si>
  <si>
    <t>https://www.milenio.com/policia/tlaquepaque-detienen-hombres-posesion-cartuchos-armas</t>
  </si>
  <si>
    <t>Tres hombres que portaban consigo varios cartuchos de diversas armas de fuego, en el municipio deTlaquepaquefueron puestos a disposición del Ministerio Público Federal. La detención de los acusados ocurrió luego de quepolicías municipalesrecibieran unreportede la Central de Comunicaciones, en la cual le indicaban de unapersona agresivaen los cruces de López Cotilla y Pedro Moreno en la colonia Emiliano Zapata. A la llegada del personal operativo de seguridad pública de San Pedro Tlaquepaque, detectaron a bordo de un vehículo  Renault Kangoo a tres hombres que actuaban de manera sospechosa por lo cual, les pidieron llevar a cabo una inspección precautoria. Para la revisión fue necesario el apoyo del escuadrón k9. Al momento de llevarse a cabo la inspección se localizaron, dos cargadores de calibre 9 milímetros; 9 cartuchos útiles al calibre 9 mm; dos cartuchos útiles del calibre 357; dos cartuchos útiles del calibre 38; súper y un cartucho útil del calibre 380; así como un hacha de fierro, un esmeril y una barra de acero. Fue por ello que se pidió mando y conducción para asegurar a los tres hombres. Los primeros, un par de jóvenes, Brian "N" y Christian Emmanuel "N" ambos de 19 años de edad, así como otro de 44 años de nombre José "N".</t>
  </si>
  <si>
    <t>Motociclista resulta lesionado tras chocar contra camión en Torreón</t>
  </si>
  <si>
    <t>2025-11-06 19:46:55</t>
  </si>
  <si>
    <t>https://www.milenio.com/estados/motociclista-resulta-lesionado-chocar-camion-torreon</t>
  </si>
  <si>
    <t>Un hombre de 56 años resultó lesionado la tarde de este martes luego de protagonizar unaccidente vialsobre la avenida Hacienda de la Laguna, en la colonia Ex Hacienda La Perla deTorreón. El percance ocurrió alrededor de las 16:47 horas, cuando el señorJuan , de 56 años, quien viajaba a bordo de una motocicletanegra sin placas, impactó contra un camión amarillo con blanco de la ruta Sur Jardines, perteneciente al servicio de transporte público. El motociclista quedó tendido sobre la carpeta asfáltica y fue auxiliado por paramédicos de la Cruz Roja Mexicana, quienes tras brindarle los primeros auxilios, lo trasladaron a un hospital para recibir atención médica, pues presentabadiversas lesiones,entre ellas una posible fractura en una pierna. El chofer de la ruta, identificado como Juan Cruz Hurón, de 22 años, resultó ileso. Elementos deBomberos y Protección Civilacudieron al lugar para apoyar en las labores de auxilio, mientras que personal de Tránsito y Vialidad procedió a delimitar el área con conos preventivos y realizar el peritaje correspondiente. Las primeras indagatorias indican que la motocicleta habría quedado parcialmente debajo del camión, lo queprovocó que la pierna del conductor quedara prensada,todo por exceso de velocidad.</t>
  </si>
  <si>
    <t>Arriban elementos de la SSPC a Uruapan para reforzar la seguridad tras el asesinato de Carlos Manzo</t>
  </si>
  <si>
    <t>2025-11-06 07:31:00</t>
  </si>
  <si>
    <t>https://www.milenio.com/estados/llegan-elementos-de-la-sspc-a-uruapan-para-reforzar-seguridad</t>
  </si>
  <si>
    <t>Un convoy de patrullas con los logotipos de laSecretaría de Seguridad y Protección Ciudadana (SSPC)arribaron este miércoles por la noche al municipio de Uruapan, Michoacán, para integrarse a las operaciones de seguridad, luego delasesinato del ex presidente municipal, Carlos Manzo Rodríguez. Este despliegue forma parte de unplan de acción federal destinado a reforzar la seguridady restablecer el orden en el municipio y en otras regiones de Michoacán, en medio de la tensión social y las manifestaciones que se han registrado en distintos puntos del estado tras el crimen del edil. Se trata de las primeras unidades federales enviadas a la región como parte de unaestrategia coordinada entre los tres niveles de gobierno, enfocada en la pacificación y vigilancia permanente de zonas consideradas de riesgo. El refuerzo de seguridad busca prevenir nuevos hechos de violencia y brindar confianza a la ciudadanía, luego de varios días de movilizaciones, algunas de ellas con incidentes de vandalismo.</t>
  </si>
  <si>
    <t>Suspenden a 14 policías de Tijuana y Mexicali por presunto robo de droga</t>
  </si>
  <si>
    <t>2025-10-23 12:01:00</t>
  </si>
  <si>
    <t>Tijuana</t>
  </si>
  <si>
    <t>Baja California</t>
  </si>
  <si>
    <t>https://www.milenio.com/policia/suspenden-en-tijuana-a-14-policias-por-presunto-robo-de-droga</t>
  </si>
  <si>
    <t>Catorce agentes de la Fuerza Estatal de Seguridad Ciudadana (FESC), adscritos aMexicali yTijuana, fueronsuspendidosde manera preventiva por supresunta participación en el robode 180 kilos de cocaína. El delito ocurrió el 4 de octubre en un inmueble de lacolonia Ojo de Agua, a las afueras de la ciudad de Tijuana, en los límites con Tecate. El secretario de Seguridad Ciudadana, Laureano Carrillo Rodríguez, explicó que la investigación interna arrojó posiblesindicios de la participación de los elementos, por lo que se determinó separarlos temporalmente de sus puestos, mientras avanza el proceso administrativo. Carrillo expuso, además, que no se descarta laposible implicación de personal militar, aunque hasta ahora solo se ha identificado a agentes civiles en el caso. De acuerdo con la indagatoria interna, en el robo se utilizó unvehículo Kia, que inicialmente se reportó como gris, aunque videos sugieren que es blanco. El funcionario reconoció que ya se presentó una denuncia ante la Fiscalía General de la República (FGE) por eluso indebido de equipo y unidades oficiales. Esto ha generado una división interna en la Fuerza Estatal de Seguridad Ciudadana (FESC), pues los policías señalados emitieron una carta dondeniegan su participación y denuncian que la indagatoria es imparcial, ya que busca ocultar a quienes en realidad cometieron el ilícito.</t>
  </si>
  <si>
    <t>Aseguran más de cinco kilos de marihuana en Matamoros</t>
  </si>
  <si>
    <t>2025-10-22 16:46:31</t>
  </si>
  <si>
    <t>Matamoros</t>
  </si>
  <si>
    <t>https://www.milenio.com/policia/encuentran-mas-de-cinco-kilos-de-marihuana-en-matamoros</t>
  </si>
  <si>
    <t>Una denuncia anónima al número deemergencias del C5permitió a elementos de laGuardia Estatalasegurar más decinco kilos de marihuanadurante un operativo en lacolonia Los Rosalesde este municipio fronterizo. La rápida movilización de las autoridades derivó en eldecomiso del narcótico, aunque los presuntos responsables lograron escapar del lugar antes de ser detenidos. ¿Cómo se originó el operativo? El hallazgo se registró luego de que personal de la Guardia Estatal atendiera unreporte ciudadanoque alertaba sobre movimientos sospechososen un domicilio de la calle Francisco Rincón, entreBegonia y Gardenia. Al llegar al sitio, los agentes observaron a cuatro hombres que, al notar la presencia policial, emprendieron la huida sin dejar rastro, por lo que se procedió a inspeccionar el área. Durante la revisión del inmueble señalado, los uniformados localizaron una bolsa negra de gran tamaño que conteníaaproximadamente cinco kilosde hierba seca con las características propiasdelamarihuana. Además, en una segunda bolsa blanca se encontraron65 envoltorios transparentes con la misma sustancia, lo que hace presumir que parte del material estaba listo para su distribución. El narcótico y los objetos asegurados fueron trasladados a las instalaciones de laFiscalía General de la República (FGR), donde quedaron a disposición de las autoridades competentes para las investigaciones correspondientes. Con ello, sebusca determinar la procedencia de la droga y dar seguimientoa la identidad de los sujetos que se dieron a la fuga. Aunque la intervención de laGuardia Estatalpermitióincautar una importante cantidad de droga, no se reportaron personas detenidas durante el despliegue. Sin embargo, las autoridadescontinúan con las indagatorias para ubicar a los cuatro hombresque fueron vistos en el lugar momentos antes del aseguramiento. Este tipo de acciones, derivadas de la colaboración ciudadana, refuerzan la estrategia de seguridad enTamaulipasy demuestran la importancia de las denuncias anónimas para combatir delitosrelacionados con el narcotráfico. LaGuardia Estatalreiteró su compromiso de mantener presencia constante en zonas con incidencia delictiva y de atender con prontitud los reportes que contribuyan a preservar la tranquilidad en el municipio deMatamoros.</t>
  </si>
  <si>
    <t>¿Cuánto ganan los policías en CdMx? Éste es el sueldo que perciben</t>
  </si>
  <si>
    <t>2025-10-03 11:57:00</t>
  </si>
  <si>
    <t>https://www.milenio.com/policia/cuanto-dinero-gana-policia-cdmx-salario-ssc</t>
  </si>
  <si>
    <t>La tarde del2 de octubre, en el marco de la protesta por el 57 aniversario de la masacre contra estudiantes en Tlatelolco, se registraron múltiples episodios de confrontación entre algunos civiles y elementos de la Secretaría de Seguridad Ciudadana (SSC) de la Ciudad de México. Autoridades capitalinas confirmaron que29 civiles tuvieron que recibir atención médicadurante la marcha, lo que se suma a la denuncia sobre agresiones contra al menos ocho fotoperiodistas que cubrían los hechos. Por otro lado, se documentó que94 policías fueron trasladados a distintas unidades médicaspara atender las lesiones que sufrieron durante sus labores de contención en la marcha. Del total, 78 fueron dados de alta durante la noche del mismo 2 de octubre, mientras que 16 permanecían en observación y tres se reportaban delicados para la mañana siguiente. Los altercados ocurridos a lo largo de la manifestación provocaron diversas reacciones en redes sociales. En plataformas como X, tanto autoridades como ciudadanos externaron su reconocimiento a la labor de los cuerpos policiacos de la CdMx y a su vocación de servicio. Pero, ¿cuánto ganan? EnMILENIOte contamos. Debido a la amplia variedad de categorías dentro de la SSC, no existe un sueldo único para policías capitalinos, ya que cada puesto cumple con funciones específicas. En la escala básica, es decir, la de menor jerarquía al interior de la institución, los salarios se distribuyen de la siguiente manera: Además del grado dentro de la SSC, hay otros factores que determinan los ingresos de cada trabajador, como sunivel salarial, lo que explica las diferencias entre los haberes que pueden recibir elementos de una misma jerarquía. Otros cargos policiales en la institución capitalina son los delpersonal de seguridad y custodia, cuyas labores se circunscriben al Sistema Penitenciario. Para estos agentes, los salarios netos mensuales vandesde los 14 mil 232 hasta los 16 mil 49 pesos, según datos del portal de transparencia del Gobierno de la Ciudad de México. Desde febrero de 2025, la SSC reveló que se tenía contemplado aumentar el sueldo de las y los policías en la capitalpor séptimo año consecutivo. Según los registros oficiales, compartidos por la institución en su cuenta de X, entre 2018 y 2025 los salarios del personal policiaco acumularon un crecimiento del 76 por ciento, puespasaron de 10 mil a más de 17 mil pesos mensuales, teniendo en cuenta las percepciones de las y los agentes de nuevo ingreso. Un par de meses después, en mayo, la jefa de Gobierno, Clara Brugada Molina,reiteró la implementación de tal incremento, el cualbeneficiaría a más de 78 mil elementos. Con unainversión de dos mil 303 millones de pesosprogramada para 2025, la mandataria señaló que tal medida constituye un reconocimiento al esfuerzo y labor diaria del personal policiaco.</t>
  </si>
  <si>
    <t>Asesinan a José Jacinto Ponce, jefe de sector de la SSC en Tlatelolco, durante intento de asalto en Chalco</t>
  </si>
  <si>
    <t>2025-10-01 07:48:00</t>
  </si>
  <si>
    <t>https://www.milenio.com/policia/asesinan-a-jefe-de-la-ssc-en-chalco-robo-de-motocicleta</t>
  </si>
  <si>
    <t>LaSecretaría de Seguridad Ciudadana(SSC) de la Ciudad de México confirmó elfallecimiento deJosé Jacinto Ponce Alfaro,jefe del sector Tlatelolcode la institución, quien fuevíctima de un ataque armadodurante su día de descanso, en el municipio deChalco, Estado de México. De acuerdo con los primeros reportes, el oficialse encontraba acompañado de su esposa, igual elemento de la SSC, cuando salían de una tienda departamental ubicada en lacolonia Benito Juárez. En ese momento, dos hombres lo interceptaron con laintención de robarle su motocicleta. Al resistirse al asalto,los agresores le dispararon, provocándole heridas mortales. Paramédicos de la Cruz Roja Mexicanaque acudieron al lugar diagnosticaron al hombre sin signos vitales.Su esposa fue trasladada de inmediato a un hospitalcercano para recibir atención médica. La SSC informó que, en coordinación con policías municipales y agentes de la Fiscalía General de Justicia del Estado de México, yase realizan investigacionesyse analizan las cámaras de videovigilanciapara identificar a los responsables del crimen. Lamento profundamente la pérdida de mi compañero José Jacinto Ponce Alfaro, Jefe del Sector#Tlatelolco, en un cobarde ataque tras un intento de asalto ocurrido en el municipio de#Chalco, Estado de México.Su esposa, compañera policía de la@SSC_CDMXy quien también resultó…pic.twitter.com/lXeKtSXhYr La dependencia aseguró queno habrá impunidad en este caso, como en otros que investiga, y que los agresores serán detenidos y llevados ante la justicia. Asimismo, agradeció elapoyo de las autoridades mexiquensesen el proceso de investigación. Por su parte, compañeros de la SSC expresaron sus condolencias a los familiares y amigos del oficial caído, y confirmaron que se les brindaacompañamiento legal y psicológicoa través de las áreas competentes de la institución.</t>
  </si>
  <si>
    <t>Hombre es asesinado en Tonalá, Jalisco con un disparo en la cabeza</t>
  </si>
  <si>
    <t>2025-09-29 19:00:20</t>
  </si>
  <si>
    <t>Tonalá</t>
  </si>
  <si>
    <t>https://www.milenio.com/policia/tonala-jalisco-hombre-asesinado-disparo-cabeza</t>
  </si>
  <si>
    <t>La mañana de este lunesvecinos encontraron un cadáverel cual estaba tirado en una brecha que se localiza en el cruce de lascalles5 de Febrero y Aldama en la colonia Coyula, en Tonalá. Con un impacto de bala en el cráneo, el hombre fue asesinado. Los habitantes de la zona inmediatamente realizaron el reporte ante las autoridades municipales quienes a su arribo confirmaron  el hecho y realizaron el acordonamiento de la zona; momentos después acudieron paramédicos de la Cruz Verde quienes informaron se trataba de un hombre de aproximadamente 25 años de edad y presentaba un impacto de bala en el cráneo. ¿Cómo reaccionaron las autoridades? Vecinos de la colonia Coyula señalaron no identificarlo como habitante de la zona, por lo que se cree fue llevado desde otro sitio y aparentemente ejecutado en el predio. La Fiscalía de Jalisco abrió una carpeta de investigación para esclarecer cómo se registró el homicidio en calles del municipio tonalteca, porque hasta el momento no hay información o características de los presuntos causantes. Personal del Instituto Jalisciense de Ciencias Forenses realizaron el levantamiento y traslado del cuerpo a la morgue metropolitana para que se lleve a cabo la autopsia de ley. Debe delimitar, preservar y asegurar el lugar en donde se encuentre el cuerpo, ubicar elementos o indicios que puedan ayudar en la investigación y pedir la intervención de servicios periciales, los cuales ayudarán a analizar la evidencia. También debe realizar entrevistas de las personas en el lugar de los hechos para obtener información sobre el suceso y llenar el Informe Policial Homologado. La policía deberá recabar los datos del informante, aunque este no haya sido testigo del homicidio. Llamar al número de emergencias 911 o al número de la policía local. También se puede buscar a la policía en la vía pública para que tenga conocimiento de la situación. En última instancia, se puede realizar la denuncia anónima a través de las líneas telefónicas que tengan las fiscalías en sus páginas oficiales.</t>
  </si>
  <si>
    <t>Diario Portal</t>
  </si>
  <si>
    <t>Ecatepec muestra signos de estabilización; estrategia de seguridad del Gobierno del Edoméx baja 25% los delitos de alto impacto</t>
  </si>
  <si>
    <t>2025-12-29 14:46:43</t>
  </si>
  <si>
    <t>https://diarioportal.com/seguridad-y-justicia/ecatepec-muestra-signos-de-estabilizacion-estrategia-de-seguridad-del-gobierno-del-edomex-baja-25-los-delitos-de-alto-impacto</t>
  </si>
  <si>
    <t>Bajo el liderazgo de la Gobernadora Delfina Gómez Álvarez en la implementación de estrategias de seguridad coordinadas en las Mesas de Paz que encabeza diariamente, en el municipio de Ecatepec disminuyeron 25% los delitos de alto impacto, mientras que el homicidio doloso 33%, del 1 de enero al 28 de diciembre de 2025 comparado con el mismo periodo de 2024, así lo informó la Fiscalía General de Justicia estatal (FGJEM). “Este día, en el #C5 de #Ecatepec, realizamos la Mesa de Paz. En la reunión la Fiscalía General de Justicia del Estado de México compartió que en el municipio existe una disminución de 25% en los delitos de alto impacto y de 33 % en homicidio doloso en lo que va del año, en comparación al 2024. La coordinación y el trabajo en equipo entre todas las autoridades nos permite avanzar en la paz y bienestar para las familias mexiquenses”, dijo la Mandataria mexiquense en sus redes sociales. De acuerdo con cifras de la FGJEM también bajó 37 por ciento el robo de vehículo con violencia, lo que muestra una tendencia a la baja en la incidencia delictiva en esta demarcación como resultado del trabajo entre autoridades estatales, federales y municipales, así como del fortalecimiento de las acciones de prevención, inteligencia y operativos conjuntos. Durante la Mesa de Paz número 242, asistieron Horacio Duarte Olivares, Secretario General de Gobierno; José Luis Cervantes Martínez, Fiscal General de Justicia del Estado de México; Azucena Cisneros Coss, Presidenta Municipal de Ecatepec, así como representantes de la Secretaría de Seguridad, de la Defensa, Marina, Guardia Nacional, del Centro Nacional de Inteligencia y del Instituto Nacional de Migración. No hay etiquetas asociadas a éste artículo.</t>
  </si>
  <si>
    <t>Aplica gobierno de Ecatepec cerca de tres mil pruebas de alcoholímetro</t>
  </si>
  <si>
    <t>2025-12-28 19:16:15</t>
  </si>
  <si>
    <t>https://diarioportal.com/seguridad-y-justicia/aplica-gobierno-de-ecatepec-cerca-de-tres-mil-pruebas-de-alcoholimetro</t>
  </si>
  <si>
    <t>De septiembre a la fecha, el gobierno municipal ha aplicado cerca de tres mil pruebas de alcoholemia y remitido a 66 conductores que excedieron el nivel permitido, con la intención de prevenir accidentes automovilísticos mortales y promover una cultura de conducción responsable. Luis Enrique Serna García, subdirector de Tránsito Municipal precisó que los operativos se aplican en vialidades donde se registran mayores incidentes mortales debido a la conducción de personas en estado etílico como Vía Morelos, López Portillo y avenida Central, y agregó que por festejos decembrinos aumentaban los riesgos de este tipo de accidentes. “Reitaramos a la ciudadanía que si toman haya conductor designado porque es primordial evitar accidentes, ya que si manejan en estado etílico se ponen en pelligro ellos y a los demás”, afirmó. A un par de días de culminar los festejos de cierre de año, el jefe policiaco llamó a la población a tomar conciencia de no conducir si consumen bebidas alcohólicas, respetar límites de velocidad y señalamientos viales para asegurar su bienestar, llegar bien a sus destinos y no poner en riesgo a su familia o a terceras personas. El gobierno municipal aplicó dos operativos Conduce sin Alcohol donde fueron remitidos aquellos conductores que superaron los límites de alcohol en aire expirado, al registrar más de .40 y quienes pueden llamar a algún familiar o persona conocida para que se lleve su auto y evitar que sea remitido a depósito vehicular. El operativo se realizó en avenida Insurgentes, en San Cristóbal Centro con la intervención de Jurídico, así como diversos agrupamientos de la policía municipal: Tránsito, Célula de Búsqueda, Prevención del Delito, Policía Metropolitana y de sector. En la revisión, dos conductores: Carlos N” de 50 años, originiario de Aguascalientes y quien conducía un auto Ford Fusion blanco, superó el grado de alcohol permitido al registrar un nivel de .55;  y otro hombre de 48 años, vecino de Ecatepec, quien manejaba una camioneta Ford Expedition y presentó .75 grados de alcohol, por lo que ambos fueron remitidos al Centro de Detención de Etílicos, y los vehículos entregados a sus familiares. El segundo despliegue operativo se realizó en avenida Central, en la colonia Potrero Chico donde se aplicaron pruebas a 210 conductores y tres de los cuales dieron positivo al superar el límite permitido de alcohol, por lo que fueron trasladados al Centro de Detenciones para cumplir su arresto inconmutable de 12 a 36 horas. “Muy bien bien porque están salvando vidas, es por nuestro bien, es rapidísimo , es correcto lo que hacen, no hay quejas”, señaló Carlos, conductor. No hay etiquetas asociadas a éste artículo.</t>
  </si>
  <si>
    <t>SENTENCIAN A 55 AÑOS DE PRISIÓN A CULPABLE DEL DELITO DE HOMICIDIO EN AGRAVIO DE UN MASCULINO EN EL MUNICIPIO DE NEZAHUALCÓYOTL</t>
  </si>
  <si>
    <t>2025-12-27 15:45:21</t>
  </si>
  <si>
    <t>Nezahualcóyotl</t>
  </si>
  <si>
    <t>https://diarioportal.com/seguridad-y-justicia/sentencian-a-55-anos-de-prision-a-culpable-del-delito-de-homicidio-en-agravio-de-un-masculino-en-el-municipio-de-nezahualcoyotl</t>
  </si>
  <si>
    <t>La Fiscalía General de Justicia del Estado de México (FGJEM) obtuvo una sentencia de 55 años de prisión en contra de Irving Guillermo Gamero Díaz, luego de que acreditará su participación en el delito de homicidio en agravio de un masculino, hechos sucedidos en el municipio de Nezahualcóyotl. De acuerdo a la investigación iniciada por el Agente del Ministerio Público, en diciembre de 2015, la víctima se encontraba afuera de su domicilio, en el municipio de Nezahualcóyotl, lugar al que arribaron el hoy sentenciado y dos sujetos más, quienes la agredieron con armas de fuego provocándole heridas que la privaron de la vida para después huir del lugar. Una vez que se tuvo conocimiento de estos hechos, se iniciaron las pesquisas correspondientes que permitieron identificar y detener a Irving Guillermo Gamero Díaz, quien fue ingresado a un Centro Penitenciario y de Reinserción Social de la zona a disposición de la Autoridad Judicial. Tras analizar los datos recabados y aportados por esta Representación Social, un Juez determinó la culpabilidad de Irving Guillermo Gamero Díaz y lo sentenció a 55 años de prisión, así como la suspensión de sus derechos civiles y políticos. Por estos mismos hechos, en fecha 09 de mayo de 2018 se dictó sentencia de condena en contra de José Guillermo Gamero Saldaña y Emanuel Alejandro Gamero Díaz, imponiéndoles una pena de 55 años de prisión.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</si>
  <si>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CUMPLIMENTA FISCALÍA EDOMÉX ORDEN DE APREHENSIÓN A SUJETO ACUSADO DEL DELITO DE VIOLACIÓN COMETIDO CONTRA UNA MENOR</t>
  </si>
  <si>
    <t>2025-12-27 11:42:02</t>
  </si>
  <si>
    <t>violación</t>
  </si>
  <si>
    <t>https://diarioportal.com/seguridad-y-justicia/cumplimenta-fiscalia-edomex-orden-de-aprehension-a-sujeto-acusado-del-delito-de-violacion-cometido-contra-una-menor</t>
  </si>
  <si>
    <t>Elementos de la Fiscalía General de Justicia del Estado de México dieron cumplimiento a una orden de aprehensión en reclusión en contra de Isidro Gustavo “N”, por su presunta participación en el delito de violación. Luego de que el Agente del Ministerio Público aportara los datos de prueba necesarios para que una Autoridad Judicial emitiera una orden de aprehensión en contra de este sujeto por su posible participación en este ilícito, elementos de la Fiscalía mexiquense cumplimentaron dicho mandamiento en el Centro Penitenciario y de Readaptación Social de Texcoco, toda vez que el hoy investigado se encuentra ingresado en dicho lugar por un hecho diverso de violación. De acuerdo a las investigaciones realizadas por la Fiscalía de Justicia mexiquense, Isidro Gustavo “N” habría agredido sexualmente a una menor de edad el 16 de junio del año 2007, en un cuarto de una vivienda que ambos compartían en la colonia Xocoilan, en Texcoco, amenazándola con causarle daño a ella o a un familiar en caso de denunciar lo ocurrido. Una vez cumplimentado el mandamiento judicial, esta persona quedó a disposición de la autoridad, la cual habrá de definir su situación legal Sin embargo, debe de considerársele inocente hasta que no sea dictada una sentencia condenatoria en su contra, emitida por una autoridad competente.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individuo como probable implicado en otro hecho delictivo, sea denunciado. No hay etiquetas asociadas a éste artículo.</t>
  </si>
  <si>
    <t>Denuncias ciudadanas frenan 78% de extorsiones en Edoméx.</t>
  </si>
  <si>
    <t>2025-12-26 15:18:33</t>
  </si>
  <si>
    <t>https://diarioportal.com/seguridad-y-justicia/denuncias-ciudadanas-frenan-78-de-extorsiones-en-edomex</t>
  </si>
  <si>
    <t>Como parte de la estrategia contra la extorsión, el Gobierno del Estado de México frenó la entrega del 78% por ciento del dinero exigido por este delito del 18 al 24 de diciembre, así se informó en la Mesa de Paz que preside diariamente la Maestra Delfina Gómez Álvarez. “Hoy, en la reunión de Mesa de Paz, que realizamos en el #C5 de Toluca, la Secretaría de Seguridad del Estado de México informó que gracias a las acciones de la Policía Cibernética, se evitó la entrega de más de 6.8 millones de pesos por intentos de extorsión. En equipo, hacemos frente a este delito para el bienestar de las y los mexiquenses. Les invito a denunciar al 089 si ustedes o alguien que conozcan son víctimas”, dijo la Gobernadora Delfina Gómez en sus redes sociales. De acuerdo con la dependencia, el resultado se deriva de las 646 denuncias ciudadanas presentadas en ese periodo, las cuales son importantes para activar de inmediato los protocolos de atención. Del total de reportes recibidos, 279 correspondieron a extorsión telefónica; 202, a fraude telefónico; 37, a llamadas maliciosas; 14, a extorsión electrónica; 14, a amenazas; ocho, a extorsión por derecho de piso; cinco, a extorsión directa, y 87 a otros tipos de ilícitos. Los municipios con mayor incidencia son Ecatepec, Toluca y Naucalpan. El Gobierno de la Maestra Delfina Gómez invita a la ciudadanía a denunciar en el 089 que se encuentra disponible las 24 horas, ya que mediante la confianza de la población es posible combatir la extorsión. A la Mesa de Paz número 241, asistieron Horacio Duarte Olivares, Secretario General de Gobierno; Cristóbal Castañeda Camarillo, Secretario de Seguridad; Maricela López Urbina, Secretaria Técnica, así como representantes de la Fiscalía General de Justicia del Estado de México (FGJEM), Defensa, Marina, Guardia Nacional y el Centro Nacional de Inteligencia No hay etiquetas asociadas a éste artículo.</t>
  </si>
  <si>
    <t>Suspende Gobierno del Estado de México Contingencia Ambiental Atmosférica Fase I</t>
  </si>
  <si>
    <t>2025-12-26 15:06:30</t>
  </si>
  <si>
    <t>https://diarioportal.com/seguridad-y-justicia/suspende-gobierno-del-estado-de-mexico-contingencia-ambiental-atmosferica-fase-i</t>
  </si>
  <si>
    <t>El Gobierno del Estado de México, a través de la Secretaría del Medio Ambiente y Desarrollo Sostenible informa la suspensión de acciones y medidas de la Fase I de Contingencia Ambiental Atmosférica, quedan las correspondientes a la Fase Alerta por partículas en las Zonas Metropolitanas del Valle de Toluca (ZMVT) y Santiago Tianguistenco (ZMST). Lo anterior, en virtud de que a las 10:00 horas se registraron valores máximos de 42 y 37 microgramos por metro cúbico (µg/m3) de partículas PM2.5, en las estaciones de Xonacatlán y Calimaya, en los municipios del mismo nombre. Para el día de hoy, se estima que existan condiciones meteorológicas en la atmósfera que permitirán una mejoría en la calidad del aire. Cabe precisar que la Fase de Alerta es meramente informativa para que la población conozca el estado de la calidad del aire y consideren las medidas necesarias para evitar afectaciones a la salud, tales como: mantenerse en lugares cerrados, con ventanas y puertas cerradas para evitar molestias en ojos, garganta o nariz, y en caso de continuar con molestias se recomienda acudir al médico. Asimismo, en esta fase queda suspendida la restricción vehicular, por lo que el Hoy No Circula opera de manera regular. Se exhorta a la población mexiquense a continuar con acciones que permitan la reducción de emisiones contaminantes, sobre todo evitar la quema de juegos pirotécnicos, leña, fogatas y llantas; disminuir el uso de automóvil, y tomar medidas para reducir la contaminación del aire, por parte de industrias, comercios, servicios y en el hogar. La Secretaría del Medio Ambiente y Desarrollo Sostenible se mantiene atenta a la calidad del aire en la Zona Metropolitana del Valle de Toluca y la Zona Metropolitana de Santiago Tianguistenco. No obstante, la dependencia estatal sugiere estar pendientes sobre la calidad del aire, así como del programa en https://rama.edomex.gob.mx/calidaddelaire y http://proaire.edomex.gob.mx/bibliografia. No hay etiquetas asociadas a éste artículo.</t>
  </si>
  <si>
    <t>Reconoce Gobierno del EdoMéx a la Protectora de Bosques por excelencia en servicios forestales</t>
  </si>
  <si>
    <t>2025-12-26 14:46:58</t>
  </si>
  <si>
    <t>https://diarioportal.com/seguridad-y-justicia/reconoce-gobierno-del-edomex-a-la-protectora-de-bosques-por-excelencia-en-servicios-forestales</t>
  </si>
  <si>
    <t>El Gobierno del Estado de México reconoció a la Protectora de Bosques (PROBOSQUE), organismo descentralizado de la Secretaría del Campo (SeCampo) por su alto desempeño en eficiencia administrativa y atención ciudadana, tras obtener calificaciones superiores al 90 por ciento en la evaluación 2025 de Buenas Prácticas que realiza la Dirección General de Innovación. El dictamen destacó cuatro procesos clave: Capacitación a productoras y productores forestales (99%); Registro de plantación comercial (98%); Notificación de saneamiento (93%) y Resolutivos de aprovechamiento maderable y no maderable (90.5%). Estos resultados colocan a PROBOSQUE entre las dependencias con mejores estándares de gestión en la administración estatal. El Director General, Alejandro Santiago Sánchez Vélez, señaló que estas calificaciones confirman el compromiso de PROBOSQUE con trámites ágiles, claros y certificados bajo la Norma ISO 9001:2015, lo que garantiza procesos transparentes y confiables para las comunidades forestales. El Gobierno de la Maestra Delfina Gómez Álvarez subrayó que este reconocimiento refleja el avance del Estado de México en modernización administrativa y servicios públicos que responden con calidad y cercanía a la ciudadanía. Las prácticas evaluadas ya forman parte del Catálogo de Buenas Prácticas de la Administración Pública Estatal 2025, documento que reúne los casos de éxito más relevantes de la gestión estatal. No hay etiquetas asociadas a éste artículo.</t>
  </si>
  <si>
    <t>Procesan a tres personas por presunto despojo en Valle de Chalco</t>
  </si>
  <si>
    <t>2025-12-26 12:49:45</t>
  </si>
  <si>
    <t>https://diarioportal.com/seguridad-y-justicia/procesan-a-tres-personas-por-presunto-despojo-en-valle-de-chalco</t>
  </si>
  <si>
    <t>Tres personas fueron vinculadas a proceso, una vez que la Fiscalía General de Justicia del Estado de México (FGJEM) estableció su probable intervención en el hecho delictivo de despojo, ilícito registrado el pasado 19 de diciembre en el municipio de Valle de Chalco. Se trata de Edwin “N”, Iván “N” y Marilyn “N”, quienes habrían despojado de un inmueble a uno de sus familiares. De acuerdo con los hechos, el pasado 19 de diciembre la víctima arribó a su domicilio ubicado en la colonia Real de San Martín, del municipio referido y momentos después, de forma violenta, los ahora detenidos ingresaron al lugar, lo sometieron y sacaron para presumiblemente apoderarse de la casa habitación. La víctima solicitó la presencia de elementos de Seguridad Pública que arribaron al lugar y llevaron a cabo la detención de estas tres personas, a quienes les fueron aseguradas armas de fuego y un objeto punzocortante, por lo que fueron presentadas ante el Agente del Ministerio Público, para que fuera iniciada una investigación en su contra por el delito de despojo. Estas tres personas posteriormente fueron puestas a disposición de un Juez del Distrito Judicial de Chalco, quien decretó la legalidad de su detención y luego de revisar los datos de prueba aportados por el Ministerio Público, determinó vincularlos a proceso, con plazo de dos meses para el cierre de investigación complementaria y medida cautelar de presentación periódica al Centro Estatal de Medidas Cautelares (CEMECA). A los detenidos se les debe considerar inocentes hasta que sea dictada una sentencia condenatoria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</si>
  <si>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Navidad Segura en Ecatepec con despliegue masivo de elementos de seguridad</t>
  </si>
  <si>
    <t>2025-12-25 14:38:14</t>
  </si>
  <si>
    <t>https://diarioportal.com/seguridad-y-justicia/navidad-segura-en-ecatepec-con-despliegue-masivo-de-elementos-de-seguridad</t>
  </si>
  <si>
    <t>El gobierno de Ecatepec mantiene un despliegue masivo de elementos de seguridad en las comunidades, con respaldo de fuerzas federales de Marina, Guardia Nacional y Sedena, para garantizar orden y paz a los habitantes durante el día de asueto, tras el festejo de las fiestas navideñas. El despliegue operativo se mantiene en comunidades, principalmente en aquellas zonas consideradas de alta incidencia delictiva o de incidentes violentos, para prevenir ilícitos sobre todo de alto impacto como el robo de vehículo, a casa habitación y homicidios, por lo que continúan operativos con diversos agrupamientos, en coordinación con Marina. La Dirección General de Seguridad Ciudadana y Tránsito Municipal recomendó en estas fechas de asueto y vacacionales tomar diversas medidas preventivas para evitar ser víctimas de ilícitos como la extorsión, ya que suelen presentarse llamadas falsas para solicitar dinero, por lo que es importante mantener comunicación directa y constante con familiares y personas cercanas. Además pidió actuar con discreción al acudir a sucursales bancarias y cajeros, y en la medida de lo posible evitar portar grandes cantidades de efectivo, resguardar tarjetas y datos financieros, y no publicar información ostentosa en redes sociales. Mientras que en el hogar sugirió revisar instalaciones eléctricas y de gas, mantener los espacios libres de obstáculos que puedan provocar accidentes o dificultar una evacuación en caso de emergencia, usar adornos navideños que cumplan con medidas de seguridad y evitar sobrecargas eléctricas. También mantener una supervisión familiar de niñas y niños, quienes siempre deben estar bajo vigilancia de una persona adulta para prevenir caídas, lesiones, quemaduras o extravíos. Al conducir, llamó a respetar el Reglamento de Tránsito, evitar manejar bajo efectos de bebidas alcohólicas y revisar las condiciones mecánicas del vehículo. Al salir de vacaciones informar a una persona de confianza y asegurar puertas y ventanas, mantener a las mascotas en lugares seguros con agua y alimento, y bajo cuidado de alguien, además de no difundir en redes sociales las ausencias en el domicilio y los planes de viaje. No hay etiquetas asociadas a éste artículo.</t>
  </si>
  <si>
    <t>Llaman a extremar precauciones para evitar quemaduras en temporada decembrina</t>
  </si>
  <si>
    <t>2025-12-25 13:44:32</t>
  </si>
  <si>
    <t>https://diarioportal.com/seguridad-y-justicia/llaman-a-extremar-precauciones-para-evitar-quemaduras-en-temporada-decembrina</t>
  </si>
  <si>
    <t>La temporada decembrina es uno de los periodos con mayor incremento en lesiones por quemaduras en México, especialmente en niñas, niños y jóvenes. Tan sólo en los meses de noviembre, diciembre y enero, las quemaduras ocasionadas por pirotecnia representan el 73 por ciento de los casos registrados, indicó la encargada de la titularidad del Secretariado Técnico del Consejo Nacional para la Prevención de Accidentes (STCONAPRA), Estrella Albarrán Suárez. La funcionaria del STCONAPRA señaló que este tipo de lesiones son más graves, debido al manejo inadecuado de cohetes o petardos que pueden provocar daños irreversibles, como la pérdida de extremidades. Albarrán Suárez detalló que el 82 por ciento de las lesiones por pirotecnia se presentan en las manos, seguidas de daños en rostro y ojos. Incluso se han registrado casos en bebés menores de un año, lo que evidencia el nivel de riesgo derivado de la manipulación o cercanía con estos artefactos. Después de la pirotecnia, la segunda causa de quemaduras en esta época es el fuego directo generado por fogatas, anafres o velas encendidas en espacios cerrados o concurridos. Estas lesiones se observan principalmente en manos y brazos de personas jóvenes, y están vinculadas a reuniones familiares y celebraciones navideñas. A esto se suman las quemaduras eléctricas provocadas por la sobrecarga de extensiones, luces decorativas defectuosas o la manipulación de instalaciones de alto voltaje sin el equipo adecuado. Este tipo de lesiones son especialmente peligrosas, ya que la corriente puede atravesar el cuerpo sin dejar marcas superficiales visibles, a diferencia de lo que ocurre en un incendio. Al afirmar que la prevención es la herramienta más eficaz para evitar lesiones, Estrella Albarrán mencionó una serie de recomendaciones clave: evitar la manipulación de pirotecnia, mantener supervisión constante de niñas, niños y personas adultas mayores; no permitir su acceso a la cocina ni el manejo de fuego, aceite o material eléctrico; y evitar el uso de remedios caseros, además de promover el uso responsable de luces y conexiones eléctricas. Por su parte, el especialista Luis Alfredo Reynoso Valverde, indicó que, durante la temporada decembrina, las quemaduras se convierten en una de las principales causas de atención en los servicios de urgencias, ya que hasta 85% de los casos atendidos en estas fechas están relacionados con este tipo de lesiones, principalmente por pirotecnia. El médico pediatra adscrito al Servicio de Urgencias del Hospital General de México “Dr. Eduardo Liceaga” (HGM) sostuvo que, ante una quemadura leve, la aplicación adecuada de los primeros auxilios pueden evitar complicaciones. Detalló que el procedimiento consiste en retirar a la persona de la fuente de calor, irrigar la zona con agua corriente durante 20 minutos y evitar la aplicación de hielo o remedios caseros como aceite, pasta o shampoo. Posteriormente, la herida debe cubrirse únicamente con una gasa, sin ejercer presión. Agregó que cuando la quemadura es profunda o afecta el rostro, las extremidades, los genitales o una zona extensa del cuerpo, es indispensable acudir de inmediato a un servicio de urgencias. La Secretaría de Salud hace un llamado a reforzar la prevención de quemaduras durante esta temporada decembrina y exhorta a madres, padres y personas cuidadoras a supervisar de manera permanente a niñas y niños, evitar que manipulen pirotecnia o encendedores, mantener veladoras alejadas de materiales inflamables y utilizar protectores en estufas y recipientes calientes. No hay etiquetas asociadas a éste artículo.</t>
  </si>
  <si>
    <t>Bajan nueve delitos de alto impacto en el Estado de México durante Navidad</t>
  </si>
  <si>
    <t>2025-12-24 18:16:23</t>
  </si>
  <si>
    <t>https://diarioportal.com/seguridad-y-justicia/bajan-nueve-delitos-de-alto-impacto-en-el-estado-de-mexico-durante-navidad</t>
  </si>
  <si>
    <t>Gracias a las estrategias de seguridad coordinadas diariamente en la Mesa de Paz, encabezada por la Gobernadora Delfina Gómez Álvarez, para procurar el bienestar de las familias mexiquenses, en la recta final del 2025, de acuerdo con el Secretariado Ejecutivo del Sistema Nacional de Seguridad Pública, se mantiene la tendencia a la baja en 9 de 12 delitos de alto impacto en la entidad. Se reporta que en noviembre comparado con octubre hubo una reducción en dichos ilícitos entre los que destaca: secuestro con 50%; homicidio doloso 20%; feminicidio 33%; robo a transportista 14%; robo a negocio con violencia 13% y robo de vehículo con violencia 9%. Estos resultados dan muestra del trabajo en equipo de los tres niveles de gobierno con la implementación de operativos como Bastión, Atarraya y Liberación; la puesta en marcha de programas como Caminemos Seguras, Senderos Seguros y Nos Movemos Seguras; así como la capacitación y equipamiento policial. Estas acciones responden a las necesidades en materia de seguridad de las y los mexiquenses, para que puedan transitar libremente, tener una mejor calidad de vida y un desarrollo integral pleno. En la Mesa de Paz número 240, estuvieron presentes Horacio Duarte Olivares, Secretario General de Gobierno; Maricela López Urbina, Secretaria Técnica; Cristóbal Castañeda Camarillo, Secretario de Seguridad; José Luis Cervantes Martínez, Fiscal General de Justicia del Estado de México (FGJEM), así como representantes de la Defensa, Marina, Guardia Nacional y el Centro Nacional de Inteligencia. No hay etiquetas asociadas a éste artículo.</t>
  </si>
  <si>
    <t>Supervisa Gobierno del EdoMéx módulos del programa Migrante Mexiquense para garantizar atención a paisanos</t>
  </si>
  <si>
    <t>2025-12-24 13:55:06</t>
  </si>
  <si>
    <t>https://diarioportal.com/seguridad-y-justicia/supervisa-gobierno-del-edomex-modulos-del-programa-migrante-mexiquense-para-garantizar-atencion-a-paisanos</t>
  </si>
  <si>
    <t>Con el propósito de garantizar el respeto y la protección de los derechos humanos de las y los mexiquenses que radican en el extranjero, así como de sus familias en sus comunidades de origen o durante el tránsito por territorio estatal, el Gobierno del Estado de México, a través de la Secretaría de la Contraloría supervisa los módulos de atención del Programa Migrante Mexiquense 2025–2026. La Dirección General de Contraloría y Evaluación Social, es la encargada de revisar el adecuado funcionamiento de los 14 módulos, la correcta prestación de servicios —como gestión de documentación oficial, apoyo para doble nacionalidad, vinculación para la localización de personas desaparecidas y asesoría para visas de emergencia— y la coordinación interinstitucional con instancias de seguridad, salud, procuración de justicia y derechos humanos. Esta labor preventiva y de control fortalece la transparencia, la legalidad y la confianza ciudadana, y se asegura que la atención a la población migrante se brinde con enfoque humanista, eficiencia institucional y pleno apego a la normatividad vigente. Para estas acciones se cuenta con el apoyo de la Coordinación de Asuntos Internacionales, la Secretaría de Seguridad Estatal (SSEM), el Instituto de Salud (ISEM), la Fiscalía General de Justicia (FGJEM) y la Comisión de Derechos Humanos del Estado de México (CODHEM). Los 14 módulos operan las 24 horas y están desde el 3 de diciembre de 2025 y hasta el 9 de enero de 2026, se encuentran estratégicamente ubicados en casetas de alta afluencia en Atlacomulco, Temascaltepec, Tenango del Valle y Tepotzotlán, así como en las cabeceras municipales de Acambay, Almoloya de Juárez, Chalco, Chimalhuacán, Ecatepec, Huehuetoca, Ixtapaluca, Naucalpan, Nezahualcóyotl, San Martín de las Pirámides, Santiago Tianguistenco, Toluca, Villa del Carbón, Valle de Bravo, Villa Victoria y Zinacantepec. El programa Migrante Mexiquense brinda atención, acompañamiento y seguridad, mediante rutas seguras, módulos de atención, asistencia vial, servicios de salud, caravanas en el interior del estado y la exención del programa vehicular Hoy No Circula. Además, participan las Secretarías General de Gobierno, Movilidad, Cultura y Turismo, Medio Ambiente, la Coordinación General de Comunicación Social y el Sistema Mexiquense de Medios Públicos. Para mayor información se encuentra disponible la Línea Migrante Mexiquense, que canaliza quejas, denuncias o solicitudes de apoyo a las dependencias correspondientes, las 24 horas del día, los 365 días del año: desde Estados Unidos: +1 877 399 50 05 y en México: 800 696 96 96. No hay etiquetas asociadas a éste artículo.</t>
  </si>
  <si>
    <t>A las calles  personal del  CUSAEM en  protesta por  presunta  violación  a derechos  laborales</t>
  </si>
  <si>
    <t>https://diarioportal.com/seguridad-y-justicia/a-las-calles-personal-del-cusaem-en-protesta-por-presunta-violacion-a-derechos-laborales</t>
  </si>
  <si>
    <t>Tras denunciar una nueva serie de presuntas violaciones a sus derechos laborales, y ante la falta de los compromisos asumidos por las autoridades estatales, elementos del Cuerpo de Seguridad Auxiliar del Estado de México (CUSAEM) anunciaron una manifestación el próximo 8 de enero de 2026. A través del portal Ciudadanos Uniformados A.C., los inconformes informaron que la protesta partirá del llamado edificio de cristal, ubicado sobre Paseo Tollocan, en la capital mexiquense, uno de los principales corredores viales de Toluca. Los denunciantes indicaron que presuntamente fueron engañados por parte del titular de la Secretaría de Seguridad del Estado de México (SSEM), Cristóbal Castañeda Camarillo, pues durante la celebración del Día del Policía Mexiquense les anunció el otorgamiento de un bono de fin de año, sin embargo, posteriormente dicho recurso fue descontado de sus percepciones bajo el argumento de una “equivocación administrativa” Refirieron que el argumento fue que el bono únicamente estaba destinado a elementos sindicalizados, situación que no les fue aclarada oportunamente, lo que genero afectaciones económicas y un clima de descontento entre el personal operativo del CUSAEM, que históricamente ha denunciado condiciones laborales precarias y falta de certeza en sus prestaciones. Indicaron que a esta situación se suma la continuidad de bajas por rescisión de contrato, a pesar de los acuerdos alcanzados previamente con la Secretaría General de Gobierno. Añadieron que para estos compromisos establecieron eļ mesas de trabajo por lo que fueron persuadidos de llevar a cabo la manifestación programada el pasado 3 de diciembre y en espera de soluciones que no han llegado. Por último, advirtieron que ante la falta de respuestas claras y el incumplimiento de los acuerdos, las movilizaciones continuarán hasta que se respeten sus derechos laborales y se garantice certeza en sus condiciones de trabajo. No hay etiquetas asociadas a éste artículo.</t>
  </si>
  <si>
    <t>Caen 25%  delitos de  alto impacto  en Toluca</t>
  </si>
  <si>
    <t>Toluca</t>
  </si>
  <si>
    <t>https://diarioportal.com/seguridad-y-justicia/caen-25-delitos-de-alto-impacto-en-toluca</t>
  </si>
  <si>
    <t>Datos del Secretariado Ejecutivo del Sistema Nacional de Seguridad Pública (SESNSP) indican que Toluca registró una disminución del 25.43% en delitos de alto impacto, como resultado de las acciones emprendidas por el gobierno municipal que encabeza Ricardo Moreno Bastida. Las carpetas de investigación que sirvieron como base para realizar el comparativo, indican que durante el periodo correspondiente a enero-noviembre 2025, en comparación con el año anterior, se muestra un marcado descenso en los llamados delitos de alto impacto vinculados con robo en sus distintas modalidades, homicidio doloso y extorsión, lo cual beneficia de manera directa a toda la población. Esta tendencia a la baja es resultado de la estrategia de seguridad implementada, misma que presenta cifras favorables que inciden de manera directa en la vida cotidiana de la población, al generar mayor tranquilidad en colonias y delegaciones, mejorar la percepción de seguridad y propiciar entornos más adecuados para la convivencia social. Según el informe, el homicidio doloso registró una reducción de 35% en comparación con el mismo periodo de 2024, el secuestro presentó una baja de 50%, el robo de vehículos disminuyó 56.11% y la extorsión cayó 44.74%. Otros delitos que muestran resultados positivos son el robo a casa habitación, con un descenso de 40.57%; el narcomenudeo, con una baja de 43.98%; el robo a negocio, con 25.09%, y el robo en transporte público, con 23.82%. Asimismo, la violencia familiar y las lesiones dolosas presentaron reducciones de 18.65 y 10.18%, respectivamente, situaciones que se traducen en mejores condiciones de bienestar para hombres y mujeres de la capital. La disminución de los delitos de alto impacto que, por 11 meses se ha implementado, permite la recuperación de los espacios públicos como un eje del gobierno municipal, al devolver parques, plazas y calles a las familias, niñas, niños y personas adultas mayores, y arrebatárselos a la delincuencia. Con dichas acciones, el Gobierno de Toluca mantiene una estrategia integral basada en la coordinación con los tres órdenes de gobierno y en la atención a las causas de la violencia, con el propósito de ofrecer condiciones de paz, seguridad y bienestar a las familias toluqueñas. No hay etiquetas asociadas a éste artículo.</t>
  </si>
  <si>
    <t>Se acabó la  espera DGA  anuncia la  rehabilitación  del Periférico   Norte en 2026</t>
  </si>
  <si>
    <t>https://diarioportal.com/seguridad-y-justicia/se-acabo-la-espera-dga-anuncia-la-rehabilitacion-del-periferico-norte-en-2026</t>
  </si>
  <si>
    <t>La gobernadora del Estado de México, Delfina Gómez Álvarez, anunció que en enero de 2026 iniciará la rehabilitación de fondo del Periférico Norte, durante la entrega de la rehabilitación del carril lateral de esta vialidad en Naucalpan. "Arrancaríamos con una obra emblemática que por décadas había sido olvidada. Y esa obra con la que vamos a empezar nosotros el próximo año va a ser, precisamente, la reconstrucción de lo que es el Periférico Norte", expresó la gobernadora Delfina Gómez. Esta obra va a ser una intervención profunda y duradera de ambos sentidos que va a sumar 108 kilómetros de superficie, e incluirá la rehabilitación de luminarias y señalización para fortalecer la seguridad vial. “Nuestro propósito de este año como gobierno estatal es mejorar carreteras, avenidas, calles, lo que podamos mejorar de movilidad”, aseveró la mandataria mexiquense. Reconoció al presidente Municipal de Naucalpan, Isaac Martín Montoya Márquez, por la recuperación de mil 560 metros de esta importante vialidad, desde Río San Joaquín a Avenida Primero de Mayo, la cual tuvo una inversión de 57 millones de pesos. También la rehabilitación de 3.5 kilómetros del Boulevard Luis Donaldo Colosio, así como el mejoramiento de guarniciones y paso peatonales,  con una inversión de 45.3 millones de pesos Con estas obras se contribuye a una movilidad eficiente y segura para miles de automovilistas que transitan por estas vialidades. En la entrega de las vialidades estuvo presente Joel González Toral, Encargado de despacho de la Junta de Caminos del Estado de México y vecinos de la zona. No hay etiquetas asociadas a éste artículo.</t>
  </si>
  <si>
    <t>Contundente  reducción de  homicidios  y robos de  vehículo en  zona oriente  del Edomex,  destaca DGA</t>
  </si>
  <si>
    <t>https://diarioportal.com/seguridad-y-justicia/contundente-reduccion-de-homicidios-y-robos-de-vehiculo-en-zona-oriente-del-edomex-destaca-dga</t>
  </si>
  <si>
    <t>En el Estado de México el robo de vehículo disminuyó 53%, mientras que el homicidio doloso 22%, en casi nueve meses de la implementación del Mando Unificado Oriente en 15 municipios de esa región, así se informó en la Mesa de Paz que encabeza diariamente la Gobernadora Delfina Gómez Álvarez. “Este lunes en la Mesa de Paz, el General Alcántara, Coordinador del Mando Unificado Oriente, compartió que en casi 9 meses de la implementación de esta estrategia, se registra una disminución del 22 % en homicidio doloso y del 53 % en robo de vehículo, en los municipios que integran este mando único. La coordinación entre autoridades de los tres órdenes de gobierno es y será fundamental para seguir adelante en la ruta de paz”, destacó la maestra Delfina Gómez Álvarez en sus redes sociales. De acuerdo con el reporte de la Secretaría de la Defensa Nacional (Defensa), se redujo el robo de vehículos al pasar de 14 mil 423 a 6 mil 795, mientras que el homicidio doloso pasó de 615 a 477 casos. El Mando Unificado Oriente opera en 15 municipios: Chalco, Chicoloapan, Chimalhuacán, Ecatepec, Ixtapaluca,  Cuautitlán Izcalli, Cuautitlán México, Naucalpan, Nezahualcóyotl, La Paz, Texcoco, Tlalnepantla, Valle de Chalco, Tultitlán y Coacalco. La Maestra Delfina Gómez reiteró el compromiso de su gobierno de coordinar acciones entre las instancias de seguridad y procuración de justicia federales y estatales para el bienestar de la población mexiquense. En la Mesa de Paz número 238, estuvieron presentes Horacio Duarte Olivares, Secretario General de Gobierno; Maricela López Urbina, Secretaria Técnica; Cristóbal Castañeda Camarillo, Secretario de Seguridad; José Luis Cervantes Martínez, Fiscal General de Justicia del Estado de México (FGJEM), así como representantes de la Defensa, Marina, Guardia Nacional y el Centro Nacional de Inteligencia. No hay etiquetas asociadas a éste artículo.</t>
  </si>
  <si>
    <t>Celebra Clara Brugada 18% de reducción de delitos en Azcapotzalco</t>
  </si>
  <si>
    <t>2025-12-21 17:29:26</t>
  </si>
  <si>
    <t>Azcapotzalco</t>
  </si>
  <si>
    <t>https://diarioportal.com/seguridad-y-justicia/celebra-clara-brugada-18-de-reduccion-de-delitos-en-azcapotzalco</t>
  </si>
  <si>
    <t>La jefa de gobierno aseguró que continuará la coordinación intergubernamental para fortalecer la seguridad de la población de Azcapotzalco. La demarcación sigue articulando diversas estrategias de inteligencia, territoriales, y colaborativas para la construcción de entornos de paz. La jefa de gobierno de la Ciudad de México, Clara Brugada, sostuvo una reunión de evaluación en materia de seguridad, junto a la titular de la alcaldía Azcapotzalco, Nancy Núñez, la Fiscal General de Justicia, Bertha Alcalde, el Secretario de Seguridad, Pablo Vázquez, y las diversas instancias involucradas en la materia, donde destacó que en la demarcación se ha alcanzado una disminución sostenida del 18% de los delitos de alto impacto. En este contexto, Clara Brugada dijo que continuará el trabajo coordinado en los cuatro sectores que comprenden la demarcación, a fin de brindar a la ciudadanía entornos más seguros y mayor cercanía con los mandos policiacos. Al respecto, en Azcapotzalco ya se ha puesto en marcha la estrategia ‘Tu Ciudad Te Cuida’, con la que la policía sectorial, y auxiliar, en compañía de las áreas sociales del Gobierno de la Ciudad y la Alcaldía recorren casa por casa, las calles de la demarcación, con información pertinente en la materia para las y los vecinos, mejorando la atención directa de la población. “Vamos a trabajar como hasta hoy, con mucho entusiasmo para que tú estés y te sientas más seguro y segura. No están solos, hay un gran equipo que está todos los días trabajando para tu bienestar y tu seguridad”, afirmó Clara Brugada. En Azcapotzalco se siguen articulando acciones estratégicas y coordinadas que abonan a la construcción de paz: territoriales, de inteligencia, seguimientos, colaboración metropolitana y el aumento del estado de fuerza de la policía auxiliar para brindar entornos más seguros a la comunidad chitolola. No hay etiquetas asociadas a éste artículo.</t>
  </si>
  <si>
    <t>Otra más del  transporte  público del  Edomex:  combi choca  en Acolman,  deja 3 heridos</t>
  </si>
  <si>
    <t>https://diarioportal.com/seguridad-y-justicia/otra-mas-del-transporte-publico-del-edomex-combi-choca-en-acolman-deja-3-heridos</t>
  </si>
  <si>
    <t>Fuerte choque de una unidad de transporte público contra un vehículo pesado dejó como saldo 10 personas lesionadas, entre ellos, dos prensados en la carretera federal Lechería-Texcoco a la altura del municipio de Acolman. El accidente ocurrió la mañana de este domingo, cuando una unidad de transporte público circulaba sobre la carretera federal Lechería-Texcoco, con dirección a la López Portillo. Pero al llegar a la altura del puente de la Termoeléctrica, el chófer no logró frenar y se impactó contra un vehículo pesado. Tras el fuerte choque, el conductor y el copiloto quedaron prensados entre los fierros retorcidos, asimismo ocho pasajeros resultaron lesionados. Inmediatamente al lugar se trasladaron los servicios de emergencias y atendieron a los lesionados, mientras que elementos de Protección Civil rescataron a los prensados. Debido a la gravedad de las lesiones que presentaron, fueron trasladados a un hospital de la zona, algunos pasajeros fueron atendidos en el sitio. Ante el aparatoso accidente, la carretera federal Lechería-Texcoco con dirección a Ecatepec presentó severa carga vehicular, por lo que elementos de tránsito llevaron a cabo cortes a la circulación. Tras varias horas, la emergencia fue atendida y posteriormente la carretera fue reabierta. No hay etiquetas asociadas a éste artículo.</t>
  </si>
  <si>
    <t>Gobernadora  envía reforma  para reforzar  investigación  policiaca con  inteligencia  y prevenir  violaciones  de derechos</t>
  </si>
  <si>
    <t>https://diarioportal.com/seguridad-y-justicia/gobernadora-envia-reforma-para-reforzar-investigacion-policiaca-con-inteligencia-y-prevenir-violaciones-de-derechos</t>
  </si>
  <si>
    <t>La gobernadora Delfina Gómez Álvarez envió a la Legislatura del Estado de México una iniciativa de decreto para reformar diversas disposiciones legales en materia de seguridad pública, con el objetivo de consolidar el respeto de los derechos humanos, fortalecer el trabajo de las Mesas de Paz y garantizar un sistema confiable, eficaz y humano. Propone reformar la Constitución Política del Estado de México y la Ley Orgánica de la Administración Pública de la entidad en rubros de seguridad pública, así como la Ley de Seguridad estatal para: Fortalecer las capacidades de investigación de las policías estatales y municipales al precisar y ampliar sus facultades para recabar información, preservar indicios, recibir denuncias y coadyuvar de manera directa en el esclarecimiento de los delitos, siempre bajo la conducción y mando del Ministerio Público. Cumplir con lo establecido en la Ley del Sistema Nacional de Investigación e Inteligencia en Materia de Seguridad y armonizar el marco jurídico estatal con la Ley General del Sistema Nacional de Seguridad Pública, por parte de la Secretaría de Seguridad del Estado de México (SSEM). Reconocer a las Mesas de Paz como instancias de decisión inmediata y articulación operativa, para diseñar e implementar acciones operativas y coordinarse con la Fiscalía General de Justicia del Estado de México (FGJEM) y el Poder Judicial de la entidad. Se propone la integración del Consejo Estatal de Seguridad Pública que será integrado por el Ejecutivo estatal, la Secretaría General de Gobierno, la SSEM y la FGJEM. Sesionará de forma ordinaria una vez al año. Mejorar el servicio profesional de carrera y los esquemas de profesionalización, para que el personal de seguridad cuente con condiciones profesionales dignas, homologadas con el Sistema Nacional de Seguridad Pública. Se determina que las prestaciones de seguridad social contemplen: servicios médicos y hospitalarios; incapacidades; pensiones por invalidez y vida; fondos para retiro; vivienda; prestaciones sociales como guarderías, becas, apoyos para sus familiares, protecciones de riesgo de trabajo, y licencias de maternidad y paternidad. Homologar los perfiles, funciones y requisitos de ingreso y permanencia, así como los procesos de promoción, certificación y evaluación de control de confianza. Promover la participación social con foros, consultas públicas y talleres, donde participen organizaciones, la academia, personas y grupos históricamente discriminados. Sus opiniones serán revisadas y tomadas en cuenta en la construcción de políticas y programas. Garantizar el cumplimiento de los principios de igualdad sustantiva y no discriminación priorizando la prevención, investigación y sanción de las violencias de género. Se propone que la Universidad Mexiquense de Seguridad sea el órgano rector de las academias municipales y certifique al personal de las empresas de seguridad privada. Con esta iniciativa, se garantiza que el actuar de las instituciones y elementos de seguridad pública sea bajo los principios de legalidad, objetividad, eficiencia, profesionalismo, honradez, con perspectiva de género y respeto a los derechos humanos. No hay etiquetas asociadas a éste artículo.</t>
  </si>
  <si>
    <t>SSPC COMPARTE UNA GUÍA PARA PREVENIR FRAUDES DURANTE LA TEMPORADA NAVIDEÑA</t>
  </si>
  <si>
    <t>2025-12-20 18:53:20</t>
  </si>
  <si>
    <t>https://diarioportal.com/seguridad-y-justicia/sspc-comparte-una-guia-para-prevenir-fraudes-durante-la-temporada-navidena</t>
  </si>
  <si>
    <t>La Secretaría de Seguridad y Protección Ciudadana (SSPC), a través de la Unidad de Inteligencia, Investigación Cibernética y Operaciones Tecnológicas, comparte una guía de buenas prácticas para prevenir fraudes durante la temporada navideña. Entre las modalidades de fraude digital más frecuentes se encuentran las reservaciones falsas, alquileres inexistentes, promociones engañosas en redes sociales, clonación de tarjetas, robo de datos personales y suplantación de identidad mediante sitios o perfiles diseñados para imitar comercios legítimos. Asimismo, aumentan los engaños relacionados con boletos de viaje, paquetes turísticos y experiencias con aparentes descuentos exclusivos que buscan aprovechar la confianza de quienes planean sus vacaciones con premura. Para que la ciudadanía no sea víctima de algún tipo de fraude digital la SSPC comparte una guía de buenas prácticas: 1.⁠ ⁠Comprar en línea de forma segura: Verificar siempre el sitio web, buscar el candado de seguridad, revisar que la dirección inicie con “https://” y confirmar que sea la página oficial. Evitar enlaces enviados por correo, mensajes o redes sociales con ofertas irreales. 2.⁠ ⁠Cuidado con tiendas o perfiles nuevos: Desconfiar de páginas que solo aceptan depósitos, transferencias o pagos inmediatos sin ofrecer métodos seguros. 3.⁠ ⁠Mantener cuentas protegidas: Utilizar contraseñas robustas y actualizarlas periódicamente, activar la verificación en dos pasos, evitar usar redes wifi públicas para operaciones bancarias o pagos. 4.⁠ ⁠Precaución con ofertas de viajes, hospedaje o paquetes: Verificar directamente con el proveedor la promoción, en plataformas de hospedaje, revisar el historial del anfitrión, comentarios y fecha de creación de la cuenta, desconfiar si el precio es demasiado bajo para la temporada. 5.⁠ ⁠Compras de regalos y preparativos: Adquirir productos en comercios formales y evitar pagos adelantados sin garantía, en redes sociales, solicitar factura, comprobante de compra y datos del vendedor. 6.⁠ ⁠Proteger la información personal: No compartir número de tarjeta, NIP, códigos de verificación o contraseñas, desconfiar de llamadas que se presentan de instituciones bancarias o empresas para validar datos. 8.⁠ ⁠Cuidar las transacciones bancarias: Revisar los movimientos con regularidad, activar alertas en tu aplicación bancaria, ante un cargo no reconocido, repórtalo de inmediato. 9.⁠ ⁠Asegurar compras presenciales: No perder de vista la tarjeta al pagar, preferir terminales o cajas en zonas visibles, guardar los comprobantes. 10.⁠ ⁠En compras en línea: Tomar capturas de pantalla de conversaciones, anuncios, comprobantes de pago y datos del vendedor, guardar los correos electrónicos y mensajes en caso de realizar una denuncia o reclamación. 12.⁠ ⁠Tomarse un momento para validar la compra: Verificar, comparar y confirmar antes de compartir información o realizar algún depósito. Si se requiere orientación para realizar una denuncia o llamar a la Unidad de Policía Cibernética de la entidad, es seguro y confidencial. Si no conoces el número, en la Ciberguía se puede consultar el apartado directorio, a través de la liga: https://www.gob.mx/sspc/documentos/ciberguia?idiom=es Con estas acciones, la SSPC refrenda su compromiso para la fortalecer el uso responsable de la navegación en línea, así como la prevención de ciberdelitos a través de aplicaciones y redes sociales, que vulneran la seguridad. No hay etiquetas asociadas a éste artículo.</t>
  </si>
  <si>
    <t>Emite Gobierno del EdoMéx recomendaciones para unas fiestas decembrinas seguras</t>
  </si>
  <si>
    <t>2025-12-20 13:53:55</t>
  </si>
  <si>
    <t>https://diarioportal.com/seguridad-y-justicia/emite-gobierno-del-edomex-recomendaciones-para-unas-fiestas-decembrinas-seguras</t>
  </si>
  <si>
    <t>El Gobierno del Estado de México, a través de Protección Civil exhorta a la población a reforzar las medidas preventivas durante la temporada decembrina, con el objetivo de reducir riesgos, evitar accidentes y salvar la integridad de las y los mexiquenses en las celebraciones familiares, comunitarias y eventos públicos. En el hogar, es importante instalar árboles de Navidad y nacimientos sobre superficies firmes y con materiales no inflamables, como metal, vidrio o cemento, y exceder la cantidad de luces, ya que a mayor carga eléctrica, mayor es el riesgo de cortocircuitos. Es fundamental apagar y desconectar series y adornos eléctricos antes de dormir o al salir de casa, así como revisar que cables, extensiones e instalaciones eléctricas se encuentren en buen estado. En el caso de los árboles naturales, se recuerda que después de aproximadamente quince días comienzan a secarse, lo que incrementa significativamente el riesgo de incendio, por lo que se sugiere mantenerlos hidratados. Durante reuniones familiares y celebraciones comunitarias, se hace un llamado para evitar el consumo excesivo de alcohol, no manejar bajo los efectos del mismo, designar conductores responsables, respetar los límites de velocidad y el reglamento de tránsito. En cuanto al uso de pirotecnia, se recomienda no permitir su uso a niñas y niños, evitar encenderla en espacios cerrados o cerca de material inflamable, privilegiando celebraciones seguras. Para las festividades que incluyen piñatas, se aconseja sujetarlas firmemente, delimitar el área de participación y fomentar dinámicas seguras. Se sugiere utilizar piñatas de cartón, evitar las de barro y no rellenarlas con objetos pesados ​​o puntiagudos que puedan provocar lesiones. En materia de vialidad, se deben extremar precauciones durante los traslados, especialmente en zonas con alta afluencia, eventos públicos o celebraciones vecinales. Se recomienda planear los viajes con anticipación, respetar señalamientos, mantener distancia entre vehículos y atender las indicaciones de las autoridades. Finalmente, la Coordinación invita a la población a mantenerse informada a través de fuentes oficiales ya seguir las recomendaciones de Protección Civil en sus municipios, así como llevar consigo los números de emergencia. No hay etiquetas asociadas a éste artículo.</t>
  </si>
  <si>
    <t>VINCULAN A PROCESO A SUJETO POR SU PROBABLE INTERVENCIÓN EN EL DELITO DE EXTORSIÓN EN AGRAVIO DE UN COMERCIANTE DE NOPALTEPEC</t>
  </si>
  <si>
    <t>2025-12-20 12:42:04</t>
  </si>
  <si>
    <t>https://diarioportal.com/seguridad-y-justicia/vinculan-a-proceso-a-sujeto-por-su-probable-intervencion-en-el-delito-de-extorsion-en-agravio-de-un-comerciante-de-nopaltepec</t>
  </si>
  <si>
    <t>Por las pruebas recabadas y presentadas por la Fiscalía General de Justicia del Estado de México (FGJEM), Gilberto “N”, alias “El Gato”, presunto integrante de un grupo delictivo con orígenes en Jalisco, fue vinculado a proceso por su probable intervención en el delito de extorsión. De acuerdo con los hechos, el 25 de septiembre de 2025, la víctima se encontraba en su domicilio, ubicado en la calle Cuauhtémoc, colonia Tlaxixilco, poblado de San Felipe Teotitlán, en el municipio de Nopaltepec, cuando recibió mensajes intimidatorios en su teléfono celular y posteriormente un grupo de sujetos realizaron detonaciones de arma de fuego en contra de su domicilio y sus vehículos. El 15 de octubre del 2025 llegaron a su domicilio cuatro personas del sexo masculino con armas de fuego, a bordo de una camioneta de color blanco, entre ellos Gilberto “N”, de 40 años de edad, quien amenazó a la víctima con hacerle daño a él o a su familia en caso de no cubrir una cuota mensual de 50 mil pesos. La víctima les entregó una cantidad mínima; sin embargo, le dijeron que regresarían por la cantidad acordada, y así lo hicieron el 1 de diciembre de 2025 cuando un sujeto identificado como “El Gato” y otro individuo llegaron a bordo de una motocicleta de color verde. Al tener conocimiento de los hechos, policías de investigación llevaron a cabo las indagatorias de campo y gabinete, que permitieron ubicar e identificar a Gilberto “N”, quien fue detenido e ingresado al Centro Penitenciario y de Reinserción Social de la zona. Al quedar a disposición de la autoridad judicial, se autorizaron dos meses de plazo de cierre de investigación complementaria y se mantuvo como medida cautelar, la prisión preventiva; sin embargo, el detenido debe ser considerado inocente en tanto no se le dicte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</si>
  <si>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FISCALÍA EDOMÉX OBTIENE SENTENCIA DE CONDENA DE 20 AÑOS DE PRISIÓN EN CONTRA DE SUJETO POR ROBO DE VEHÍCULO CON VIOLENCIA</t>
  </si>
  <si>
    <t>2025-12-20 12:36:34</t>
  </si>
  <si>
    <t>https://diarioportal.com/seguridad-y-justicia/fiscalia-edomex-obtiene-sentencia-de-condena-de-20-anos-de-prision-en-contra-de-sujeto-por-robo-de-vehiculo-con-violencia</t>
  </si>
  <si>
    <t>.La Fiscalía General de Justicia del Estado de México (FGJEM) obtuvo sentencia de condena de 20 años de prisión en contra de Marco Antonio García Pichardo por su intervención en el delito de robo de un vehículo con violencia. De acuerdo con las pesquisas iniciadas por hechos ocurridos el pasado 2 de enero de 2019, se pudo precisar que la víctima se encontraba a bordo de un vehículo de la marca Nissan en avenida Acueducto, en la colonia Ampliación, Santa María Tulpetlac, en el municipio de Ecatepec. En ese instante, el hoy sentenciado, Marco Antonio García Pichardo se acercó a la víctima y con un arma punzocortante la amenazó y luego la desapoderó de dinero en efectivo, así como de las llaves de dicha unidad. Sin embargo, al intentar darse a la fuga en el automóvil, se percató de la presencia de elementos de la Secretaría de Seguridad del Estado de México (SSEM) por lo que descendió del vehículo para correr sobre la avenida Cerritos. El imputado cayó al suelo boca abajo, por lo que los policías captores le ayudaron a reincorporarse y en ese momento la víctima se acercó hasta donde estaba detenido, reconociéndolo como la persona que momentos antes lo desapoderó del dinero y del vehículo con violencia. De inmediato fue ingresado al Centro Penitenciario y de Reinserción Social de la zona, a disposición de la autoridad judicial, quien, tras proceso legal le impuso una pena de 20 años de cárcel, y también le fijó una multa de 92 mil 432 pesos y la suspensión de sus derechos políticos y civiles,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</si>
  <si>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Gratifican a 264 servidoras judiciales por excelencia en desempeño</t>
  </si>
  <si>
    <t>2025-12-18 19:16:05</t>
  </si>
  <si>
    <t>https://diarioportal.com/seguridad-y-justicia/gratifican-a-264-servidoras-judiciales-por-excelencia-en-desempeno</t>
  </si>
  <si>
    <t>“Reconocer el trabajo diario de las y los integrantes de la familia judicial, es un acto de justicia, motivo de alegría y fiesta porque ellas y ellos sin importar las adversidades mantienen este Poder Judicial como una gran institución”, expresó el magistrado Héctor Macedo García, presidente del Tribunal Superior de Justicia, al entregar estímulos y recompensas a 264 servidoras y servidores públicos. En el Aula Magna ‘Mgdo. Lic. Gustavo A. Barrera Graf’ de la Escuela Judicial, donde se reconocieron las categorías de: permanencia en el servicio, desempeño destacado, desempeño a servidores públicos operativos, técnicos o profesionales, atención al público, decanato y pin de plata, Macedo García calificó el evento como un acto de justicia para quienes, sin importar las situaciones adversas entregan lo mejor de sí cada día, enalteciendo a la institución. Refrendó su compromiso con las y los trabajadores, subrayando que junto a las y los integrantes del Órgano de Administración Judicial continuarán dignificando su servicio. “El Estado de México es referente nacional en la implementación de una de las reformas de mayor trascendencia que reconfigura la estructura funcional del Poder Judicial, y la forma en que se legitiman a las personas juzgadoras; eso fue y ha sido posible gracias al profesionalismo, entereza y al amor institucional que nos identifica a los más de 6 mil 500 servidoras y servidores que conformamos la familia judicial y que son la base que sostiene la impartición de justicia en la entidad” destacó el magistrado Fernando Díaz Juárez, Presidente del Órgano de Administración Judicial. El magistrado refirió que hoy se celebra el activo más importante que tiene el Poder Judicial, su capital humano “ustedes son quienes hacen posible que en la entidad más importante del pacto federal, la impartición de justicia, sea un referente a nivel nacional” resaltó. “Recibir un estímulo o una recompensa por nuestro trabajo, no es únicamente un motivo de orgullo personal, es un recordatorio del valor que tiene el servicio público ejercido con honestidad, responsabilidad y vocación, cada reconocimiento que hoy se entrega, representa horas de esfuerzo, decisiones tomadas con cuidado, compromiso cotidiano y una profunda convicción de servir a la justicia y a la sociedad mexiquense”, manifestó en nombre de las y los galardonados, la Jueza Mercedes Nájera Jaimes, adscrita al Juzgado de Control Especializado en Cateos y Órdenes de Aprehensión en Línea. Destacó que el reconocimiento que hoy recibe pertenece también a las y los compañeros con quienes se comparten largas jornadas, retos complejos y la responsabilidad de cumplir con la ley y la ciudadanía. Participaron también los Magistrados y Magistradas integrantes del Órgano de Administración Judicial, Elizabeth Rodríguez Colín, María Alejandra Almazán Barrera, Pablo Espinosa Márquez y Hernán Mejía López; así como el Magistrado José Luis Embris Vásquez, Director General de la Escuela Judicial. No hay etiquetas asociadas a éste artículo.</t>
  </si>
  <si>
    <t>Aprehenden a 3 sujetos que habían secuestrado a una joven, la retuvieron en una caja</t>
  </si>
  <si>
    <t>2025-12-17 16:51:59</t>
  </si>
  <si>
    <t>https://diarioportal.com/seguridad-y-justicia/aprehenden-a-3-sujetos-que-habian-secuestrado-a-una-joven-la-retuvieron-en-una-caja</t>
  </si>
  <si>
    <t>Tres sujetos identificados como César Alberto ‘N’, Martín Gerardo ‘N’ y Edgar Eduardo ‘N’ por su probable participación en el delito de privación de la libertad de menores, en agravio de una adolescente, quien había sido reportada como desaparecida en el municipio de Tecámac. De acuerdo a la indagatoria iniciada por estos hechos, el pasado 28 de noviembre del año 2025, la víctima salió de su escuela para dirigirse a un domicilio ubicado en la colonia Ex Hacienda de Paula en el municipio de Temascalapa, el cual era habitado por su pareja sentimental, al no tener conocimiento de su paradero, la madre acudió a la Fiscalía para denunciar la desaparición de su hija por lo que se inició la investigación y los protocolos para su búsqueda. Actos de investigación permitieron ubicar el domicilio en donde podría encontrarse la víctima, por lo que el Agente del Ministerio Público solicitó y obtuvo de una Autoridad Judicial la orden de cateo correspondiente, misma que fue cumplimentada el pasado diez de diciembre, fecha en que elementos de la Fiscalía estatal, de la secretaría estatal y policía municipal se constituyeron en el inmueble ubicado en el municipio de Temascalapa como parte de las acciones de búsqueda de la adolescente. En el lugar se encontraban César Alberto ‘N’, Martín Gerardo ‘N’ y Edgar Eduardo ‘N’, en tanto que la adolescente fue localizada dentro de una caja de madera pintada parcialmente de color negro constituida con dos bocinas tipo bafle. Por estos hechos, el Agente del Ministerio Público solicitó ante la Autoridad Judicial la orden de aprehensión correspondiente, misma que una vez obtenida, fue cumplimentada por elementos de la Fiscalía y de la Secretaría de Seguridad Del Estado de México (SSEM). La víctima fue trasladada al Centro de Justicia de la zona para ser entregada a sus familiares, en tanto que los detenidos fueron ingresados al Centro Penitenciario y de Reinserción Social de Otumba, a disposición de la Autoridad Judicial, quien determinará su situación jurídica. No hay etiquetas asociadas a éste artículo.</t>
  </si>
  <si>
    <t>Se suman 996 nuevos elementos a labor de seguridad en Edomex</t>
  </si>
  <si>
    <t>2025-12-17 16:51:08</t>
  </si>
  <si>
    <t>https://diarioportal.com/seguridad-y-justicia/se-suman-996-nuevos-elementos-a-labor-de-seguridad-en-edomex</t>
  </si>
  <si>
    <t>El gobierno del Estado de México concluyó la formación de 996 nuevos elementos de Policía de Proximidad Estatal, Municipal y Custodios Penitenciarios, quienes se suman de manera directa a las labores de seguridad y atención ciudadana en distintos municipios de la entidad. “Quienes forman parte de esta generación tendrán una tarea muy relevante, pues estarán en zonas estratégicas para apoyar labores de prevención, mejorar la convivencia y ofrecer una respuesta más ágil ante situaciones de riesgo”, expresó la gobernadora Delfina Gómez Álvarez. Durante la ceremonia de clausura de cursos, impartidos por la Universidad Mexiquense de Seguridad, la Mandataria estatal señaló que la incorporación de estos elementos forma parte de la estrategia implementada por su administración, para dar mayor tranquilidad a los y las mexiquenses. Además, reconoció el acompañamiento del gobierno de México y el interés de la Presidenta Claudia Sheinbaum. “Ella me ha expresado personalmente su respeto y reconocimiento hacia la labor que se está realizando en el Estado de México para garantizar la tranquilidad y construir la paz que tanto anhelan las familias mexiquenses”, afirmó la mandataria mexiquense. La formación de los nuevos elementos incluye disciplina, conocimientos técnicos, habilidades operativas y valores éticos, además de actividades complementarias como foros internacionales con especialistas en seguridad y torneos tácticos y deportivos. Del total de egresados, 501 corresponden a Policía de Proximidad Estatal, 276 a Policía de Proximidad Municipal y 219 a Policías Custodios Penitenciarios, quienes se integran a los trabajos de seguridad en beneficio de casi 18 millones de habitantes del Estado de México. Acompañada de Horacio Duarte Olivares, secretario General de Gobierno, la Gobernadora agradeció a las familias de las y los cadetes por su confianza y destacó que el gobierno del Estado de México mantiene inversiones en equipamiento, patrullas y mejores condiciones laborales para quienes integran los cuerpos de seguridad. A esta Clausura de Cursos asistieron Cristóbal Castañeda Camarillo, Secretario de Seguridad; Laura González Hernández, Secretaria de Desarrollo Económico;  José Francisco Vázquez Rodríguez, Presidente de la Junta de Coordinación Política de la LXII Legislatura local; así como representantes de las Secretaría de la Defensa, Guardia Nacional, del Centro Nacional de Inteligencia y familiares de las y los graduados. No hay etiquetas asociadas a éste artículo.</t>
  </si>
  <si>
    <t>Se registran 32% menos homicidios en Edomex durante 2025</t>
  </si>
  <si>
    <t>2025-12-17 16:50:01</t>
  </si>
  <si>
    <t>https://diarioportal.com/seguridad-y-justicia/se-registran-32-menos-homicidios-en-edomex-durante-2025</t>
  </si>
  <si>
    <t>La gobernadora Delfina Gómez Álvarez destacó que la estrategia de seguridad y el trabajo conjunto entre los tres órdenes de gobierno han permitido que el Estado de México registre una reducción del 32% en homicidios dolosos, del 01 enero al 16 de diciembre de 2025, en relación con el mismo periodo del año pasado. Esto representa 707 víctimas de homicidios menos, lo que equivaldría a que no haya homicidios por siete meses. “Hoy, la Mesa de Paz se realizó en el #C5, ubicado en Toluca. Durante la reunión, la Fiscalía General de Justicia del Estado de México destacó que el delito de homicidio doloso registró una disminución de 32.36 % en lo que va del año, en comparación a 2024”, señaló la mandataria mexiquense en redes sociales. De acuerdo con el reporte de la Fiscalía General de Justicia del Estado de México (FGJEM), durante la Mesa de Paz, presidida por la gobernadora Delfina Gómez, el número de víctimas de homicidio doloso pasó de 2 mil 185 en el periodo referido de 2024, a mil 478 en lo que va de este año. El número de eventos también disminuyó (32.36 por ciento), al pasar de mil 899 a mil 273, en el periodo referido. Además, se señaló que noviembre fue el mes más bajo, con 96 casos; la primera vez que fueron menos de 100 desde que la FGJEM tiene registros. “Cada día, las autoridades de los tres órdenes de gobierno trabajamos para coordinar estrategias y acciones por la seguridad de la población de los 125 municipios”, resaltó la gobernadora Delfina Gómez. A la sesión 236 de la Mesa de Paz, asistieron Horacio Duarte Olivares, Secretario General de Gobierno; Héctor Macedo García, Presidente del Tribunal Superior de Justicia del Estado de México; Cristóbal Castañeda Camarillo, Secretario de Seguridad; Maricela López Urbina, Secretaria Técnica; José Luis Cervantes Martínez, Fiscal General de Justicia del Estado de México, así como representantes de Defensa, Marina, Guardia Nacional y el Centro Nacional de Inteligencia. No hay etiquetas asociadas a éste artículo.</t>
  </si>
  <si>
    <t>Inicia proceso  penal contra  16 detenidos  por asaltos,  homicidios   y extorsiones  en carreteras  mexiquenses</t>
  </si>
  <si>
    <t>https://diarioportal.com/seguridad-y-justicia/inicia-proceso-penal-contra-16-detenidos-por-asaltos-homicidios-y-extorsiones-en-carreteras-mexiquenses</t>
  </si>
  <si>
    <t>De los 68 detenidos en la Operación Senda, que combate el robo de transporte de carga en carreteras y vialidades el Estado de México, 16 ya fueron vinculados a proceso, 13 están pendientes de resolver su situación jurídica, 38 ya tienen fecha de audiencia de formulación de imputación y uno será remitido a la Fiscalía General de la República (FGR). Los presuntos delincuentes son investigados por secuestro exprés, homicidio, robo a transporte de carga y robo con violencia, portación de arma de fuego, ataques a las vías de comunicación, entre otros ilícitos. De acuerdo con la Fiscalía General de Justicia del Estado de México (FGJEM), los detenidos fueron ingresados a diversos Centros de Prevención y Readaptación Social de la entidad, en espera de que un juez determine su situación jurídica y les sea dictada una sentencia de condena en su contra. Entre los detenidos destaca Brandon 'N' alias 'Becker', quien presuntamente junto con Luis Alberto Canales Martínez y Julio César 'N', el primero sentenciado a 55 años y el segundo vinculado a proceso,  participaron en un robo registrado en el mes de julio de 2024 sobre la autopista México-Pachuca, cuando realizaron disparos de arma de fuego en contra de un transporte de carga y causaron la muerte de un adolescente de 17 años que viajaba en su interior, hecho delictivo que en su momento fue viralizado en redes sociales y altamente difundido en medios de comunicación. De igual forma fueron detenidos Erik Yair 'N', Daniela 'N', Brayan Moisés 'N', Edgar Giovanni 'N' y Jonathan Uriel 'N' del grupo delictivo autodenominado 'Los Tilicos'; Jesús Guillermo 'N' y Mario Alberto 'N', principales integrantes de 'Los Pantera'; Guadalupe Carolina 'N' y Luis Jaime 'N' de 'Ángel Axel'; Ernesto 'N' de la 'Banda del Kevin'; Diego Armando 'N' de los “Bam Bam”; Edgar 'N' de “La Empresa”; Geovanny 'N' de “Los Marmolejo”; Erika Denisse 'N' de “Toño Tenis”; así como Hugo Raymundo 'N' y Luis Alberto 'N', quienes hasta el momento de su detención fingían como elementos de una corporación de policía municipal. Las acciones operativas se realizaron en 46 municipios mexiquenses y en ellas lograron la detención de 26 objetivos prioritarios relacionados con el robo a transporte de carga, de igual forma fueron asegurados 137 inmuebles, entre los que destacan bodegas, encierros de transportes, casas de seguridad, una empresa de monitoreo satelital y establecimientos comerciales, utilizados en la comisión y planeación de este ilícito. Información de gabinete aportada por la Guardia Nacional, datos proporcionados por las víctimas y  actos de investigación de la FGJEM, identificaron el modus operandi de los principales grupos delictivos dedicados al robo de transporte de carga con presencia en el estado, por lo que entre el 9 y 12 de diciembre pasados desplegaron acciones simultáneas. Para estas acciones contaron con el apoyo del Poder Judicial del Estado de México, que permitió la obtención de órdenes de aprehensión y técnicas de investigación de cateo que posteriormente fueron cumplimentadas y ejecutadas, por lo que la autoridad judicial designó un grupo específico de jueces de control que, durante más de 72 horas consecutivas, realizó el análisis de 82 solicitudes. En las acciones simultáneas se llevaron a cabo detenciones por cumplimiento de orden de aprehensión, en flagrancia, así como técnicas de investigación de cateo e inspecciones, impactando en las actividades delictivas de los grupos criminales autodenominados “Toño Tenis”, “Ángel Axel” y “El Kevin”, vinculados con un grupo criminal con orígenes en Michoacán, así como “Los Tilicos”, “Los Panteras”, “Los Marmolejos”, “Los Bam Bam” y “La Empresa”, relacionados con un grupo criminal con orígenes en Jalisco. Las investigaciones concluyeron que el robo a transporte de carga se lleva a cabo principalmente en caminos locales o estatales, además de utilizar inmuebles ubicados en la periferia de las vías de comunicación mencionadas, incluso con la complicidad de autoridades, así  como de empleados de las propias empresas y de agrupaciones gremiales que aglutinan a transportistas. Entre los modus operandi identificados destaca el que se actualiza en los accesos a los centros de distribución, parques industriales o lugares aledaños, ya que mientras los operadores hacen fila para entregar la mercancía, son amagados por individuos que a pie de calle irrumpen en sus unidades, los privan de la libertad y en ocasiones los abandonan en zonas despobladas, en tanto que las unidades son trasladadas a otro sitio, donde “traspalean” la mercancía a cajas secas sin reporte de robo, mientras que el tractocamión y los remolques robados son vandalizados. Obstruir la circulación en carreteras, ya sea con vehículos, rocas o troncos, así como lanzar objetos desde puentes para dañar el vehículo también son prácticas recurrentes, además de que son utilizadas armas de fuego e incluso realizan disparos en contra de los transportes, particularmente a los parabrisas. También identificaron que a través del uso de uniformes e insignias apócrifas y simulación de vehículos oficiales, realizan supuestos retenes o alcances a los transportistas para detenerlos. Otras prácticas ilícitas en las que incurren es simular o provocar la ponchadura de llantas de las unidades, forzar las chapas para robarlas cuando están estacionadas o impactarlas en circulación, práctica conocida como montachoques. Las indagatorias arrojaron que en algunos restaurantes y comercios que brindan servicios de venta de alimentos, descanso o entretenimiento, ya sean formales o irregulares conocidos como “cachimbas”, los choferes son engañados por sexo servidoras al servicio de células delincuenciales, quienes obtienen datos sobre su carga y ruta. En estos sitios que son utilizados como puntos de reunión y planeación de ilícitos, se comercializan estimulantes y sustancias psicotrópicas para inhibir el sueño de los conductores. La Operación Senda también identificó que empleados de una empresa dedicada al monitoreo satelital de los transportes de carga, mantenían contacto directo con integrantes de las células criminales, a quienes les enviaban información en tiempo real de la ubicación de los vehículos seleccionados para robarlos. Por ello, fueron intervenidas bodegas y comercios informales en los que se localizaron mercancías diversas como semillas, leche en caja, productos de abarrotes, cubetas con aceite, entre otros productos, de los que no acreditó su procedencia lícita, incluso en uno de los inmuebles fue hallada paquetería de la empresa Mercado Libre con reporte de robo. Otros inmuebles asegurados fueron deshuesaderos, en los que se localizaron chasises de tractocamiones, motores y diversas refacciones con medios de identificación alterados o reporte de robo, además de pensiones o encierros utilizados para el ocultamiento y desvalijamiento de unidades robadas, así como el traspaleo de la mercancía. Los 137 inmuebles intervenidos son identificados como 58 bodegas, 23 encierros o pensiones, 23 casas de seguridad o domicilios de objetivos prioritarios, una empresa de monitoreo, tres deshuesaderos, dos comercios de venta irregular, cuatro restaurantes, 22 cachimbas y una empresa de monitoreo, por lo que la Fiscalía Mexiquense ha iniciado con el procedimiento de extinción de dominio en los casos procedentes. Adicionalmente fueron asegurados 178 vehículos, algunos de ellos con medios de identificación alterados e incluso con calcomanías o rótulos de organizaciones sociales con apariencia de sindicato o asociación, en particular los autodenominados ACME, USON, IZGASA, AMOTAC y Sindicatos Unidos Transformando México, unidades presuntamente utilizadas para el traspaleo y traslado de cargamentos robados. También fueron asegurados 49 armas de fuegos, cartuchos útiles y cargadores, 61 mil 294 cajas con mercancías diversas, 535 mil pesos en moneda nacional, yenes y euros, 29 motores, miles de toneladas de chasises y autopartes de camión sin medios de identificación o alterados, placas de circulación y autopartes con reportes de robo, un troquel e insignias apócrifas para simular corporaciones oficiales, equipos de monitoreo satelital e inhibidores de señal, así como diversas dosis de estupefacientes. No hay etiquetas asociadas a éste artículo.</t>
  </si>
  <si>
    <t>Nezahualcóyotl aplica el nuevo Reglamento de Tránsito del Estado de México para salvaguardar la vida de las personas</t>
  </si>
  <si>
    <t>2025-12-17 11:20:43</t>
  </si>
  <si>
    <t>https://diarioportal.com/seguridad-y-justicia/nezahualcoyotl-aplica-el-nuevo-reglamento-de-transito-del-estado-de-mexico-para-salvaguardar-la-vida-de-las-personas</t>
  </si>
  <si>
    <t>En tan solo 22 días en el municipio de Nezahualcóyotl se han aplicado 460 infracciones de acuerdo a la aplicación del nuevo Reglamento de Tránsito del Estado de México para reducir accidentes, prevenir hechos fatales y fomentar una cultura de responsabilidad vial en esta localidad. El gobierno municipal de Nezahualcóyotl informó que desde la entrada en vigor del nuevo Reglamento de Tránsito del Estado de México, se ha reforzado la vigilancia vial con un enfoque preventivo y de ordenamiento del tránsito. Detallaron que en estos primeros 22 días en el municipio de Nezahualcóyotl se han aplicado 460 infracciones de acuerdo a la aplicación del nuevo Reglamento con el objetivo de reducir accidentes, prevenir hechos fatales y fomentar una cultura de responsabilidad vial en esta localidad. Mencionaron que las principales infracciones detectadas están relacionadas con la falta de uso de casco y protección ocular en motociclistas, invasión de carriles confinados, estacionamiento indebido y conducción sin licencia El nuevo ordenamiento establece la jerarquía de la movilidad, que reconoce como prioridad a peatones, posteriormente a ciclistas y usuarios de vehículos no motorizados; enseguida el servicio público de transporte; y finalmente vehículos motorizados particulares. Aseguraron que esto es un reflejo de una política pública orientada, no a la recaudación, sino a reducir accidentes, prevenir hechos fatales y fomentar una cultura de responsabilidad vial, en beneficio de todas las personas que transitan por esta localidad. Sin embargo, las autoridades exhortaron a los peatones y automovilistas respetar el reglamento. No hay etiquetas asociadas a éste artículo.</t>
  </si>
  <si>
    <t>Juez dicta 70 años de cárcel para exalcaldesa de Amanalco por ultimar a un síndico y su escolta</t>
  </si>
  <si>
    <t>2025-12-16 18:25:39</t>
  </si>
  <si>
    <t>https://diarioportal.com/seguridad-y-justicia/juez-dicta-70-anos-de-carcel-para-exalcaldesa-de-amanalco-por-ultimar-a-un-sindico-y-su-escolta</t>
  </si>
  <si>
    <t>Un juez dictó una sentencia de 70 años de prisión en contra de María Elena Martínez Robles, expresidenta municipal de Amanalco, luego de acreditar su participación en el delito de homicidio calificado en agravio del síndico Miguel Ángel Lara de la Cruz y su escolta, Guillermo Jeronimo Roque, registrado el 25 de enero de 2023, quienes fueron privados de la vida por sus órdenes. Además, determinó el pago de una multa como reparación del daño de 207 mil 234 pesos por cada víctima, además de que sus derechos civiles y políticos quedaron suspendidos. De acuerdo con información de la Fiscalía General de Justicia del Estado de México (FGJEM) la investigación de la Operación Enjambre logró precisar que las víctimas, cuando se encontraban en el ejercicio de su función pública, por instrucciones de su superior jerárquica, la entonces presidenta municipal, fueron enviados a una zona de alto riesgo dominada por grupos delincuenciales con presencia en la región, de la cual nunca regresaron con vida. A través de actos de investigación, el Agente del Ministerio Público estableció que Martínez Robles ordenó de manera directa a integrantes de la Familia Michoacana que privaran de la vida al síndico municipal con el fin de poder seguir controlando las decisiones al interior de la administración municipal. Las pesquisas establecieron que la entonces presidenta municipal sostuvo una llamada telefónica con un integrante del grupo criminal, a quien le solicitó privar de la vida al entonces síndico municipal con el fin de quitarlo del camino y poder trabajar bien, por lo que el 25 de enero del 2023 envió a Lara de la Cruz a una reunión al municipio de Zacazonapan. Fue el 26 de enero de 2023 cuando fueron hallados los cuerpos de ambas víctimas al interior de un vehículo sobre la carretera Temascaltepec-Luvianos, a la altura de la comunidad La Alcantarilla perteneciente al municipio de Zacazonapan. La FGJEM también determinó que la expresidenta municipal de Amanalco participó en diversas reuniones con integrantes de la Familia Michoacana con el fin de coordinar la forma de trabajar con la administración municipal. La ahora sentenciada fue detenida como resultado de las acciones operativas y de investigación realizadas por la Fiscalía Mexiquense y la Secretaría de Seguridad y Protección Ciudadana (SSPC), como parte de la Operación Enjambre con el apoyo de la Secretaría de la Defensa Nacional, la Guardia Nacional y de la Secretaría de Seguridad del Estado de México (SSEM). Cabe señalar que esta es la onceava sentencia condenatoria obtenida en contra de los 16 objetivos prioritarios dentro de la Operación Enjambre y que hasta el momento suma 60 presuntos responsables detenidos. No hay etiquetas asociadas a éste artículo.</t>
  </si>
  <si>
    <t>Magistrada Arlen Siu asumirá la presidencia del OPPM del Edomex</t>
  </si>
  <si>
    <t>2025-12-15 19:06:54</t>
  </si>
  <si>
    <t>https://diarioportal.com/seguridad-y-justicia/magistrada-arlen-siu-asumira-la-presidencia-del-oppm-del-edomex</t>
  </si>
  <si>
    <t>“Hoy podemos decir que contribuimos al fortalecimiento de la paridad y que avanzamos hacia una participación más libre, informada y justa para todas,” aseveró la Consejera Presidenta del Instituto Electoral del Estado de México (IEEM) y Presidenta del Observatorio de Participación Política de las Mujeres del Estado de México (OPPMEM), Amalia Pulido Gómez, durante la presentación del Informe de Resultados 2025 del Observatorio. Durante la sesión se designó a Arlen Siu Jaime Merlos, Magistrada Presidenta del Tribunal Electoral del Estado de México (TEEM), como presidenta del OPPMEM, a partir del primero de enero del 2026. Durante la Trigésima Tercera Sesión Ordinaria del OPPMEM, Pulido Gómez destacó que en 2025 las actividades del Observatorio estuvieron marcadas por el Proceso Electoral Judicial Extraordinario mexiquense, pues fue un desafío que exigió más claridad, compromiso y trabajo conjunto para promover una participación política donde la igualdad fuera la regla y la violencia política contra las mujeres en razón de género, la excepción. Pulido informó que, como parte de las actividades del OPPMEM para lograr la igualdad en la contienda, se brindó información y capacitación para el fortalecimiento de habilidades y desarrollo de herramientas sobre participación política de las mujeres; además, se diseñó un Programa de Trabajo con una meta de 209 actividades, la cual fue superada al concretarse 575 acciones; también, desde la Dirección Ejecutiva del OPPMEM, se impulsaron acciones estratégicas que pasaron de siete programadas a 18 realizadas, así como conferencias, talleres y espacios de reflexión. En las redes sociales se realizaron  756 publicaciones, que alcanzaron 179 mil 832 visualizaciones. Pulido Gómez, aseguró que cada conferencia, mensaje, publicación y acompañamiento contribuyó a una participación política de las mujeres más igualitaria, informada y justa. “Este año hicimos mucho más que superar metas. Acompañamos historias, abrimos caminos y fortalecimos la voz de miles de mujeres que hoy participan, deciden y transforman la vida pública del Estado de México”, destacó. En su intervención, Jaime Merlos reiteró su compromiso de fortalecer el camino ya forjado, asumiendo la responsabilidad de privilegiar el diálogo, promover la colaboración interinstitucional y proteger la dignidad y los derechos de las mujeres mexiquenses. Subrayó que, aunque los desafíos son amplios, el OPPMEM es sinónimo de capacidad, sensibilidad y profesionalismo, cuya experiencia lo consolida un organismo que impulsa la promoción de la participación política de las mujeres a nivel nacional. En representación de María Esther Rodríguez Hernández, Secretaria de las Mujeres, e integrante del OPPMEM, Alicia Trejo Patiño, Directora General de Igualdad Sustantiva y enlace de la Dirección Ejecutiva, reconoció el trabajo realizado por el Observatorio en materia de fortalecimiento de la vida democrática en la entidad; la promoción de la inclusión y en garantizar que la participación política sea un derecho plenamente accesible y ejercido por todas las mujeres. Destacó que cada uno de los esfuerzos impulsados desde el OPPMEM contribuye a la construcción de instituciones más abiertas, equitativas y representativas. No hay etiquetas asociadas a éste artículo.</t>
  </si>
  <si>
    <t>Abren proceso penal contra el agresor sexual de una mujer en Nextlalpan</t>
  </si>
  <si>
    <t>2025-12-15 19:02:52</t>
  </si>
  <si>
    <t>https://diarioportal.com/seguridad-y-justicia/abren-proceso-penal-contra-el-agresor-sexual-de-una-mujer-en-nextlalpan</t>
  </si>
  <si>
    <t>La Fiscalía General del Estado de México (FGJEM) obtuvo de un Juez auto de vinculación a proceso en contra de Archibaldo ‘N’, por su probable participación en el delito de violación en agravio de una mujer. De acuerdo a la investigación iniciada por el Agente del Ministerio Público, el ahora detenido ingresó al domicilio de la víctima ubicado en el fraccionamiento Santa Inés, en Nextlalpan, en donde la habría agredido. Una persona se dio cuenta de estos hechos, por lo que solicitó auxilio a la Policía Municipal, quienes arribaron a dicho lugar y lograron detener a Archibaldo ‘N’ al interior del domicilio, por lo que fue trasladado ante el Agente del Ministerio Público. Una vez que el Juez de la causa conoció los hechos denunciados y valoró las pruebas aportadas por esta Fiscalía, determinó la vinculación a proceso de Archibaldo ‘N’ por su probable participación en el delito de violación, además de establecer prisión preventiva oficiosa y un periodo de tres meses para el cierre de la investigación complementaria. No hay etiquetas asociadas a éste artículo.</t>
  </si>
  <si>
    <t>Homicidios y robos de vehículos disminuyen con Mando Unificado en oriente del Edomex</t>
  </si>
  <si>
    <t>2025-12-15 17:28:36</t>
  </si>
  <si>
    <t>https://diarioportal.com/seguridad-y-justicia/homicidios-y-robos-de-vehiculos-disminuyen-con-mando-unificado-en-oriente-del-edomex</t>
  </si>
  <si>
    <t>El trabajo coordinado del Mando Unificado Oriente, integrado por los tres órdenes de gobierno, que forma parte de la estrategia de la Mesa de Paz que encabeza la gobernadora Delfina Gómez Álvarez, permitió la reducción del 53% en el robo de vehículos y 22% el homicidio doloso, en 265 días de su implementación en 15 municipios, en comparación con el mismo periodo previo a la puesta en marcha. “Esta mañana, encabecé la Mesa de Paz en el #C5 de Toluca. En esta reunión, el General Alcántara, Coordinador del Mando Unificado Oriente, compartió que a 265 días de la implementación de esta estrategia, se tiene la disminución de 53% en robo de vehículos y de 22% en homicidio doloso en los municipios que la integran. En coordinación, los tres órdenes de gobierno trabajamos por la tranquilidad de las familias de la Zona Oriente. #ElPoderDeServir”, señaló la Gobernadora en sus redes sociales. El Mando Unificado Oriente avanza gracias a acciones tácticas como capacitación policial, operativos, detenciones y aseguramientos, así como mejoras al entorno urbano, resultado del trabajo en equipo para combatir el crimen. De esta forma, se logra la mejora en la calidad de vida de las y los mexiquenses de Chalco, Chicoloapan, Chimalhuacán, Coacalco, Cuautitlán Izcalli, Cuautitlán México, Ecatepec, Ixtapaluca, Naucalpan, Nezahualcóyotl, La Paz, Texcoco, Tlalnepantla, Valle de Chalco y Tultitlán. A la Mesa de Paz 234 asistieron Horacio Duarte Olivares, Secretario General de Gobierno; Cristóbal Castañeda Camarillo, Secretario de Seguridad; Maricela López Urbina, Secretaria Técnica, así como representantes de la Defensa, Marina, Guardia Nacional y el Centro Nacional de Inteligencia. No hay etiquetas asociadas a éste artículo.</t>
  </si>
  <si>
    <t>Duro golpe contra robo a transporte de carga en 21 municipios del Edomex</t>
  </si>
  <si>
    <t>2025-12-14 22:10:34</t>
  </si>
  <si>
    <t>https://diarioportal.com/seguridad-y-justicia/duro-golpe-contra-robo-a-transporte-de-carga-en-21-municipios-del-edomex</t>
  </si>
  <si>
    <t>Un total de 68 personas que formaban parte de ocho bandas especializadas en el robo de transporte de carga fueron detenidas en el marco de la Operación ‘Senda’, acción implementada contra este delito, anunciada por el Gabinete de Seguridad Nacional. La acción implementada entre los gobierno federal y estatal fue ejecutada en 46 municipios del Estado de México entre el 9 y 12 de diciembre, después de cinco meses de investigación donde las autoridades trabajaron con dueños de camiones y transportistas para identificar las zonas más peligrosas de la entidad mexiquense y las bandas responsables. De acuerdo con la Fiscalía General de Justicia del Estado de México (FGJEM), de las 68 personas detenidas e integrantes de las bandas dedicadas a robar camiones, 24 eran objetivos con orden de aprehensión y 44 fueron detenidos en flagrancia. Asimismo, fueron asegurados 137 inmuebles tras concretar 63 cateos y 74 inspecciones. Las acciones se enfocaron en la zona donde colindan el Estado de México e Hidalgo, pues las bandas operaban principalmente en carreteras federales como la 130, la 135 y el Arco Norte. Las investigaciones identificaron a ocho organizaciones criminales dedicadas al robo de camiones de carga y que son los Tilicos y/o Saldívar, los Pantera, los Marmolejo, la Empresa, Toño Tennis, Del Ángel Axel, Bam Bam y el Kevin. Estas bandas operaban principalmente en los municipios de Tlalnepantla, Tultitlán, Cuautitlán Izcalli, Polotitlán, Jilotepec, Soyaniquilpan, Otumba, Huehuetoca, Naucalpan, Atizapán de Zaragoza, Tlalnepantla, Cuautitlán, Zumpango, Teoloyucan, Chimalhuacán, La Paz, Nezahualcóyotl, Nopaltepec, Nextlalpan, Ecatepec y Tecámac. Los inmuebles asegurados son 58 bodegas, cuatro restaurantes, 23 lugares de encierro, dos lugares de venta irregular, 23 domicilios particulares, tres deshuesaderos, 22 cachimbas y una empresa de monitor. Durante la operación fueron asegurados 178 vehículos de transporte, 49 armas de fuego, cartuchos útiles y cargadores, 29 motores de tractocamión sin medios de identificación o alterados, 61 mil 294 cajas con mercancías diversas, además de aproximadamente 535 mil pesos en moneda nacional y extranjera, También fueron asegurados troquel e insignias para simular corporaciones oficiales, diversas autopartes como chasises y refacciones de camiones y trailers, equipos de monitoreo satelital e inhibidores de señales, placas de circulación de vehículos con reporte de robo, así como dosis de estupefacientes tipo cristal y mariguana. Los delitos que se les imputan a los detenidos son secuestro exprés, robos de mercancía y vehículo con violencia, homicidio, robo en transporte público, contra la salud, encubrimiento por receptación, cohecho, ataques contra las vías de comunicación y portación de arma de fuego. Entre los detenidos destaca Mario Iván ‘N’, identificado como el líder de una célula criminal que operaba en el Estado de México e Hidalgo. Fue capturado junto con otros 11 miembros de su organización durante los cateos realizados en siete propiedades. Cabe señalar que la Operación Senda es un esfuerzo coordinado entre autoridades federales, estatales y el sector del autotransporte para combatir un delito que afecta la economía y seguridad de las carreteras. Operativos que continuará como parte de la Estrategia Nacional contra el Robo al Autotransporte. No hay etiquetas asociadas a éste artículo.</t>
  </si>
  <si>
    <t>Sentenciada  exalcaldesa  de Amanalco  por asesinato  de un síndico   y su escolta</t>
  </si>
  <si>
    <t>https://diarioportal.com/seguridad-y-justicia/sentenciada-exalcaldesa-de-amanalco-por-asesinato-de-un-sindico-y-su-escolta</t>
  </si>
  <si>
    <t>La expresidenta municipal de Amanalco, María Elena Martínez Robles, fue encontrada culpable por el homicidio calificado en agravio del síndico Miguel Ángel Lara de la Cruz y su escolta, Guillermo Jeronimo, hechos registrados el 25 de enero de 2023. De acuerdo con información de la Fiscalía General de Justicia del Estado de México (FGJEM), la exalcaldesa ordenó a integrantes de la Familia Michoacana ultimar a ambas personas. La Autoridad Judicial determinó la responsabilidad penal de la exalcaldesa, ya que las investigaciones arrojaron que las víctimas, en el ejercicio de su función pública, por instrucciones de la entonces presidenta municipal, fueron enviados a una zona de alto riesgo dominada por grupos delincuenciales con presencia en la región, de la cual nunca regresaron con vida. Las indagatorias de la Fiscalía Mexiquense establecieron que Martínez Robles ordenó de manera directa a integrantes de un grupo criminal con orígenes en Michoacán, que privaran de la vida al síndico municipal con el fin de poder seguir controlando las decisiones al interior del ayuntamiento. La ahora sentenciada fue detenida como resultado de las acciones operativas y de investigación realizadas por la Fiscalía del Estado de México y la Secretaría de Seguridad y Protección Ciudadana (SSPC), como parte de la Operación Enjambre con el apoyo de la Secretaría de la Defensa Nacional, la Guardia Nacional y de la Secretaría de Seguridad estatal (SSEM). Con los datos de prueba aportados, la autoridad judicial determinó la culpabilidad de María Elena Martínez Robles en este ilícito, y fijó el próximo martes como fecha para la audiencia de individualización de sanciones. Cabe señalar que hasta el momento, y derivado de las acciones de la Operación 'Enjambre', realizadas de manera conjunta por el gobierno de México y el gobierno del Estado de México, han permitido obtener sentencias condenatorias contra10 de los 16 objetivos detenidos. La exservidora pública municipal fue detenida en el marco de la dicha operación, estrategia que tiene como propósito combatir diversas expresiones delincuenciales al interior de las administraciones municipales y sobre todo, hacer frente a la penetración del crimen organizado en las mismas. No hay etiquetas asociadas a éste artículo.</t>
  </si>
  <si>
    <t>Más de 600 policías resguardarán la final entre Toluca y Tigres</t>
  </si>
  <si>
    <t>2025-12-14 11:35:33</t>
  </si>
  <si>
    <t>https://diarioportal.com/seguridad-y-justicia/mas-de-600-policias-resguardaran-la-final-entre-toluca-y-tigres</t>
  </si>
  <si>
    <t>Con motivo de la final del futbol mexicano que se disputará la noche de este domingo en el estadio Nemesio Diez, entre los Diablos Rojos del Toluca y los Tigres de Nuevo León, el Gobierno de Toluca pondrá en marcha un operativo integral de seguridad y protección ciudadana. El dispositivo contará con la participación de más de 600 elementos de la Dirección General de Seguridad y Protección de Toluca, en coordinación con corporaciones de la policía estatal, ello con el propósito de salvaguardar la integridad de asistentes, jugadores, cuerpos técnicos y personal operativo, además de preservar el orden público antes, durante y después del encuentro. El despliegue incluirá vigilancia permanente en el interior y exterior del estadio, patrullajes preventivos en colonias aledañas, principales vialidades de acceso y zonas de concentración de aficionados, así como la instalación de torres móviles de videovigilancia y el apoyo de unidades motorizadas para atender cualquier eventualidad de manera inmediata. Las autoridades municipales han exhortado a la afición a arribar con anticipación, acatar las indicaciones del personal de seguridad y mantener una conducta responsable, con el fin de que la final se desarrolle en un ambiente de paz, respeto y convivencia familiar. Con este operativo, el Gobierno municipal de Toluca reafirmó su responsabilidad institucional con la seguridad y el bienestar de la población, a través de acciones coordinadas que permiten la realización de eventos de gran afluencia en condiciones de orden y tranquilidad. No hay etiquetas asociadas a éste artículo.</t>
  </si>
  <si>
    <t>Magistrada Mónica Aralí Soto Fregoso asume funciones en la Comisión de Venecia, perteneciente al Consejo de Europa</t>
  </si>
  <si>
    <t>2025-12-13 15:28:48</t>
  </si>
  <si>
    <t>https://diarioportal.com/seguridad-y-justicia/magistrada-monica-arali-soto-fregoso-asume-funciones-en-la-comision-de-venecia-perteneciente-al-consejo-de-europa</t>
  </si>
  <si>
    <t>Este sábado, en sesión plenaria de la Comisión de Venecia, la magistrada de la Sala Superior del Tribunal Electoral de Poder Judicial de la Federación, Mónica Aralí Soto Fregoso fue electa como vicepresidenta de la Subcomisión de las Instituciones de Defensoría del Pueblo (Ombudsman) e integrante titular del Consejo para las Elecciones Democráticas. La Comisión Europea para la Democracia a través del Derecho, conocida como la Comisión de Venecia, es un órgano consultivo del Consejo de Europa. Su misión es ayudar a los Estados a mejorar sus sistemas constitucionales, legislativos e institucionales conforme a los principios de la democracia, los derechos humanos y el Estado de derecho, mediante dictámenes jurídicos independientes y cooperación internacional. El Consejo para las Elecciones Democráticas es un órgano especializado de la Comisión de Venecia que brinda asesoría en materia electoral. Su función principal es promover elecciones libres, justas y transparentes mediante el análisis de legislaciones electorales, la elaboración de informes y recomendaciones, así como la interpretación de estándares democráticos internacionales, como el Código de Buenas Prácticas en Materia Electoral. La Subcomisión para las Instituciones del Ombudsman examina informes sobre temas de la competencia de estos órganos, sus marcos jurídicos, la promoción de buenas prácticas y el fortalecimiento de la independencia y eficacia de estas instituciones. No hay etiquetas asociadas a éste artículo.</t>
  </si>
  <si>
    <t>Impiden a criminales cobrar más de 12 mdp por fraude y extorsión en Edomex</t>
  </si>
  <si>
    <t>2025-12-12 18:39:18</t>
  </si>
  <si>
    <t>https://diarioportal.com/seguridad-y-justicia/impiden-a-criminales-cobrar-mas-de-12-mdp-por-fraude-y-extorsion-en-edomex</t>
  </si>
  <si>
    <t>En la Mesa de Paz que preside la gobernadora Delfina Gómez Álvarez se informó que, como resultado de la estrategia estatal contra la extorsión y el fraude, y de la coordinación permanente con el Gobierno de México, en el Estado de México se evitó el pago del 93.3% del dinero exigido por quienes cometen estos delitos, lo que representa una efectividad cercana al 100% para impedir que las víctimas entregaran recursos a la delincuencia. “Encabecé la Mesa de Paz de este día, donde la Secretaría de Seguridad del Estado de México informó que, gracias a las acciones de la Policía Cibernética, del 4 al 10 de diciembre se evitó el pago en el 93.3% de las denuncias por extorsión”, señaló la mandataria mexiquense a través de sus redes sociales. De acuerdo con el análisis de la Secretaría de Seguridad, este nivel de efectividad evitó que 12 millones 026 mil 529 pesos llegaran a manos de la delincuencia. Asimismo, se destacó que las 748 denuncias ciudadanas presentadas en ese periodo fueron determinantes para activar de inmediato los protocolos de atención y contención. En términos operativos, el resultado equivale a una efectividad prácticamente total en la contención del pago exigido, al impedir que el 93.3% de los recursos reclamados por extorsión y fraude fueran entregados a los delincuentes, lo que confirma la capacidad de respuesta inmediata de las autoridades y la relevancia de la denuncia ciudadana. Del total de reportes recibidos, 317 correspondieron a extorsión telefónica; 218, a fraude telefónico; 36, a llamadas maliciosas; 17, a extorsión electrónica; 12, a amenazas; nueve, a extorsión por derecho de piso; una, a extorsión directa, y 138 a otros tipos de ilícitos. “En el 089 pueden llamar y reportar si ustedes o alguien cercano están siendo víctimas de extorsión. ¡Juntas y juntos combatimos este delito! #ElPoderDeServir #EdoMexVSLaExtorsión”, agregó la gobernadora Delfina Gómez Álvarez en sus plataformas digitales. La Secretaría de Seguridad del Estado de México advirtió que la mayoría de las denuncias se relacionan con llamadas en las que los delincuentes afirman que las personas están bajo investigación y lanzan amenazas de daño (266 casos), con defraudadores que se hacen pasar por un familiar o conocido (68), llamadas maliciosas (36), extorsionadores que se presentan como víctimas (27), amenazas directas (12), además de otros reportes de diversa índole. No hay etiquetas asociadas a éste artículo.</t>
  </si>
  <si>
    <t>Cesan a cuatro  verificadores  sanitarios por  corrupción;  procede FGJEM  contra uno   por extorsión</t>
  </si>
  <si>
    <t>https://diarioportal.com/seguridad-y-justicia/cesan-a-cuatro-verificadores-sanitarios-por-corrupcion-procede-fgjem-contra-uno-por-extorsion</t>
  </si>
  <si>
    <t>En lo que va de la actual administración estatal, cuatro verificadores sanitarios han incurrido en actos de cohecho y extorsión a comercio, informó Gerardo Valdés Martínez, Coordinador de Regulación Sanitaria del Estado de México. Explicó que de estos cuatro verificadores, tres han incurrido en temas de cohecho y ya fueron separados de la institución, mientras que el cuarto servidor público que incurrió en asuntos de extorsión a comercio ya fue procesado por la Fiscalía General de Justicia del Estado de México (FGJEM). Agregó que para combatir los temas de corrupción y abusos, la Coordinación de Regulación Sanitaria del Estado de México, desde hace seis meses ha implementado el uso de cámaras personales de video durante las verificaciones a establecimientos comerciales. Especificó que para estar en la misma sintonía con la federación, el personal de la dependencia a su cargo usa dispositivos de grabación durante las diligencias que realiza su personal. Sin embargo, Valdés Martínez indicó que requieren la autorización del locatario para realizar la filmación y quede evidencia del trabajo del verificador, quien no puede manipular el vídeo que se almacena, pero en caso de que se requiera puede consultar sin problema. Indicó que los videos que se graban previa autorización de los dueños de establecimientos comerciales sirven para sustentar el trabajo de los verificadores en caso de que exista alguna inconformidad del sector empresarial con el desempeño de los servidores públicos, por lo que es solo en ese momento cuando pueden acceder a la base de datos para la consulta de la autoridad sanitaria. Finalmente, refirió que la Coordinación de Regulación Sanitaria del Estado de México cuenta con sólo 27 cámaras, las cuales operan en varios municipios mexiquenses, entre ellos, Nezahualcóyotl, Toluca, Atizapán de Zaragoza, Naucalpan y Ecatepec. No hay etiquetas asociadas a éste artículo.</t>
  </si>
  <si>
    <t>Hallan un cuerpo embolsado y sin vida en Tultitlán</t>
  </si>
  <si>
    <t>2025-12-12 13:15:59</t>
  </si>
  <si>
    <t>https://diarioportal.com/seguridad-y-justicia/hallan-un-cuerpo-embolsado-y-sin-vida-en-tultitlan</t>
  </si>
  <si>
    <t>Esta mañana fue hallado el cuerpo de una mujer embolsado y sin vida sobre la avenida Estado de México, municipio de Tultitlán, hasta el momento se desconoce la identidad de la mujer. Fue minutos antes del mediodía que vecinos de la colonia Buenavista, los que reportaron un bulto de bolsas tirado sobre la avenida Estado de México esquina con Coyote. Inmediatamente al lugar arribaron los servicios de emergencias y policías municipales quienes al llegar corroboraron que al interior de las bolsas se encontraba el cuerpo de una mujer. Los paramédicos certificaron que ya no contaba con signos vitales, por su parte los uniformados acordonaron la zona. Asimismo dieron viso al Ministerio Público quien arribó al sitio y dio fe de lo ocurrido y ordenó el levantamiento del cuerpo. Hasta el momento se desconoce el móvil del crimen y la identidad de la víctima. No hay etiquetas asociadas a éste artículo.</t>
  </si>
  <si>
    <t>Implementan  operativo de  protección a   peregrinación   guadalupana  en el Edomex</t>
  </si>
  <si>
    <t>https://diarioportal.com/seguridad-y-justicia/implementan-operativo-de-proteccion-a-peregrinacion-guadalupana-en-el-edomex</t>
  </si>
  <si>
    <t>Con el objetivo de brindar seguridad y asistencia a las y los peregrinos que transitan por la entidad rumbo a la Basílica de Guadalupe, Protección Civil del gobierno mexiquense desplegará un operativo especial en la carretera Peñón–Texcoco, uno de los puntos con mayor concentración de personas en estas fechas. “Se desarrolla para anticipar riesgos y brindar asistencia a quienes recorren largas distancias. La presencia continua en territorio, el trabajo coordinado entre los tres órdenes de gobierno y la capacidad de respuesta inmediata permiten proteger a los peregrinos en los momentos de mayor concentración. Nuestro compromiso es acompañar este esfuerzo colectivo con profesionalismo y cercanía”, destacó el Coordinador General, Adrián Hernández Romero. En el dispositivo participarán 22 elementos de la dependencia, apoyados con un centro de coordinación, una ambulancia, dos unidades de rescate y cinco camionetas tipo pickup, utilizadas para realizar recorridos preventivos, supervisión de tramos carreteros, traslado de insumos y apoyo logístico ante posibles incidentes. El personal está preparado para brindar atención médica prehospitalaria por malestares frecuentes en peregrinaciones de larga distancia, como deshidratación, fatiga, ampollas, irritaciones cutáneas, dolor muscular, mareos o síncope por agotamiento. De manera paralela, se reforzará la supervisión vial ante el tránsito simultáneo de contingentes a pie, en bicicleta y en caravanas vehiculares, con el fin de reducir el riesgo de accidentes en zonas de cruce y concentración. Se prevé que la mayor afluencia se presente entre las 21:00 horas de este jueves y las 03:00 horas del 12 de diciembre, periodo en el que se intensificará la presencia operativa de Protección Civil. Para la atención de emergencias que requieran el traslado de pacientes a unidades hospitalarias, se mantiene un enlace permanente con el Centro Regulador de Urgencias Médicas del Estado de México, así como comunicación directa con el C5, Policía Estatal, Grupo Relámpagos, Guardia Nacional y autoridades municipales. No hay etiquetas asociadas a éste artículo.</t>
  </si>
  <si>
    <t>Cae cabecilla de un grupo dedicado a la extorsión y despojo en 4 municipios</t>
  </si>
  <si>
    <t>2025-12-10 16:21:54</t>
  </si>
  <si>
    <t>https://diarioportal.com/seguridad-y-justicia/cae-cabecilla-de-un-grupo-dedicado-a-la-extorsion-y-despojo-en-4-municipios</t>
  </si>
  <si>
    <t>Por su presunta participación en el delito de extorsión, Carlos Iván ‘N’ fue aprehendido por elementos de la Fiscalía General de Justicia del Estado de México (FGJEM), al ser considerado un objetivo prioritario dentro de la Operación ‘Restitución’ y quien es integrante de un grupo criminal conocido como ‘Los Souverbielle’. De acuerdo con la investigación de la Fiscalía mexiquense, el 17 de septiembre de 2024, el hoy detenido, junto con dos masculinos más, amenazaron con un arma de fuego a la víctima y le exigieron 800 mil pesos para devolverle una casa que previamente le habían despojado, exigencia que se repitió otras dos veces, el 3 de junio y el 31 de julio del 2025. Carlos Iván ‘N’ ya había sido aprehendido el pasado 4 de junio en Texcoco, por presuntamente ser el autor material de despojo en contra una víctima, quien, junto a sus dos hijos, rentaba una vivienda en este mismo municipio. El día de los hechos, el investigado llegó junto con otras 49 personas portando un arma de fuego y herramientas con la cual golpearon y rompieron la puerta de un inmueble ingresando varios de los individuos, una vez dentro agredieron verbalmente a la víctima para después pasar a la agresión física, amenazándola de que si no salía de la casa le harían daño a un familiar, logrando expulsar a los legítimos ocupantes, tras lo cual le colocaron una cadena nueva al portón. Por este hecho la Fiscalía obtuvo vinculación a proceso y la imposición de una garantía de 50 mil pesos, además de no acercarse a la víctima y la prohibición de salir del país. En un hecho diverso, esta Representación Social obtuvo orden de aprehensión en contra de Carlos Iván ‘N’ por su probable intervención en el delito de extorsión, ya que el 1 de junio arribó, acompañado de otros dos sujetos, a una casa ubicada en Acolman, donde se encontraba la persona que la habita, a quien amenazaron con arma de fuego, advirtiéndole que si no abandonaba el domicilio le causarían daño. A la organización criminal identificada como ‘Los Souverbielle’ se le relaciona con delitos como la extorsión, despojo y delitos contra la propiedad en sus diferentes modalidades. Principalmente operan en municipios como Texcoco, San Vicente Chicoloapan, Chimalhuacán y Acolman. Labores de inteligencia de esta Fiscalía han permitido aprehender en diferentes momentos a 51 de sus integrantes, entre ellos a su líder identificado como Sergio ‘N’. No hay etiquetas asociadas a éste artículo.</t>
  </si>
  <si>
    <t>Listo blindaje a peregrinos guadalupanos en Ecatepec; Azucena pide prudencia de automovilistas</t>
  </si>
  <si>
    <t>2025-12-10 15:01:35</t>
  </si>
  <si>
    <t>https://diarioportal.com/seguridad-y-justicia/listo-blindaje-a-peregrinos-guadalupanos-en-ecatepec-azucena-pide-prudencia-de-automovilistas</t>
  </si>
  <si>
    <t>Más de 300 elementos de Seguridad Pública y Tránsito, así como de Protección Civil, distribuidos en seis puntos de auxilio, vigilarán el paso de más de un millón de peregrinos que cruzarán el municipio de Ecatepec con dirección a la Basílica de Guadalupe, informó la presidenta municipal Azucena Cisneros Coss. La mañana de este miércoles, la alcaldesa Azucena Cisneros Coss dio el banderazo al operativo Peregrino Seguro, que contará con más de 300 elementos que vigilarán el paso de los devotos de la Virgen de Guadalupe que, como cada año, acuden a la Basílica el 12 de diciembre. Explicó que los 300 elementos se desplegarán en seis puntos esenciales, donde se les otorgará a los peregrinos agua, naranjas, lunchs, atención médica y acompañamiento. Detalló que esté año esperan que más de un millón de personas pasen por el municipio de Ecatepec, por lo que pidió a los automovilistas respetar el paso de los feligreses. “Estos días esperamos a más de un millón de peregrinos que pasen por Ecatepec, nosotros somos un municipio de paso de los feligreses, estamos hablando de Veracruz, Hidalgo, Tlaxcala, entre otros”, dijo. Agradeció a todo el personal que participará en el Operativo Peregrino Seguro, por su dedicación y trabajo en beneficio y seguridad de los habitantes de Ecatepec y municipios aledaños. Explicó que los módulos se instalaron en la Avenida Central, Vía Morelos y los uniformados apoyan a los que puedan circular sobre la autopista México-Pachuca. Exhortó a los automovilistas a respetar a los feligreses, manejar con precaución y no exceder los límites de velocidad. No hay etiquetas asociadas a éste artículo.</t>
  </si>
  <si>
    <t>Garantizada la seguridad durante las festividades decembrinas en Toluca: Jorge Ayón</t>
  </si>
  <si>
    <t>2025-12-10 14:59:38</t>
  </si>
  <si>
    <t>https://diarioportal.com/seguridad-y-justicia/garantizada-la-seguridad-durante-las-festividades-decembrinas-en-toluca-jorge-ayon</t>
  </si>
  <si>
    <t>Un total de mil 300 elementos de los tres órdenes de gobierno participan en un operativo interinstitucional con motivo de las fiestas navideñas, pago de prestaciones económicas y desplazamiento de visitantes, que cubrirá delegaciones y colonias de las zonas norte, centro y sur de la capital mexiquense. El director general de Seguridad y Protección de Toluca, Jorge Alberto Ayón, dio a conocer que en este operativo participan fuerzas del Ejército Mexicano, Guardia Nacional, Secretaría de Seguridad del Estado de México (SSEM) y la corporación municipal a su mando. Explicó que además de los recorridos a pie y el contacto directo con vecinos, la operación reforzará la vigilancia en puntos carreteros estratégicos, así como en filtros y zonas de revisión, con el objetivo de inhibir delitos, detectar vehículos irregulares y mejorar el control territorial. Resaltó que lejos de limitarse a una presencia disuasiva, la jornada incluye acciones de diálogo comunitario, visitas a comercios, supervisión de zonas escolares y recorridos por corredores con alta movilidad. “El mensaje es claro: estar presentes, coordinados y cerca de la gente. Hoy no solo patrullamos: escuchamos, atendemos y construimos confianza. La seguridad se fortalece trabajando directamente con la ciudadanía”, añadió. Alberto Ayón explicó que las células mixtas han sido desplegadas en arterias carreteras clave, accesos a la ciudad y avenidas que conectan con municipios vecinos, mientras que equipos de proximidad social caminan por colonias del norte, como San Pablo Autopan y Tlacotepec, barrios del centro histórico y zonas comerciales del sur. Reiteró que el objetivo es romper inercias, reducir factores de riesgo y consolidar la coordinación interinstitucional en zonas donde históricamente han operado de forma fragmentada. Finalmente, informó que este modelo de intervención territorial, que combina proximidad social, control carretero y vigilancia estratégica, continuará de manera periódica y será evaluado mediante informes técnicos para ajustar tácticas y consolidar una estrategia de seguridad más cercana, coordinada e integral. No hay etiquetas asociadas a éste artículo.</t>
  </si>
  <si>
    <t>Consolida  Edomex  tendencia  a la baja en   delitos de  alto impacto</t>
  </si>
  <si>
    <t>https://diarioportal.com/seguridad-y-justicia/consolida-edomex-tendencia-a-la-baja-en-delitos-de-alto-impacto</t>
  </si>
  <si>
    <t>Con estrategias focalizadas emanadas de la Mesa de Paz, que encabeza diariamente la Gobernadora Delfina Gómez Álvarez, durante el mes de noviembre en comparación con octubre, el Estado de México registra tendencia a la baja en los delitos de alto impacto. De acuerdo con la Secretaría de Seguridad estatal (SSEM), el descenso se reflejó en los ilícitos que afectan directamente la vida cotidiana de la población. El robo a transportista con violencia bajó 11%, asociado a los operativos coordinados en carreteras y vías principales de la entidad mexiquense. Otros que mostraron reducciones fueron el robo a negocio, con una caída del 10%; el robo de vehículo, con una disminución del 6%; y el robo al transporte público, que bajó 5%, con lo que se consolida una tendencia sostenida a la baja gracias a la coordinación entre fuerzas federales, estatales y municipales. A la sesión de la Mesa de Paz número 230, realizada en el Salón 'Guadalupe Victoria' de Palacio de Gobierno, asistieron Horacio Duarte Olivares, Secretario General de Gobierno; Cristóbal Castañeda Camarillo, Secretario de Seguridad; Maricela López Urbina, Secretaria Técnica; así como representantes de la Fiscalía Mexiquense, Defensa, Marina, Guardia Nacional y el Centro Nacional de Inteligencia. No hay etiquetas asociadas a éste artículo.</t>
  </si>
  <si>
    <t>Localizan vehículo de carga robado en la autopista México-Pachuca</t>
  </si>
  <si>
    <t>2025-12-08 19:31:49</t>
  </si>
  <si>
    <t>https://diarioportal.com/seguridad-y-justicia/localizan-vehiculo-de-carga-robado-en-la-autopista-mexicopachuca</t>
  </si>
  <si>
    <t>Elementos de la Fiscalía General de Justicia del Estado de México (FGJEM), en coordinación con la Secretaría de Seguridad estatal (SSEM), ejecutaron una técnica de investigación de cateo en un inmueble ubicado en la colonia San Pedro Atzompa en donde recuperaron un auto transporte y mercancía con reporte de robo. Esta diligencia fue practicada derivado de una denuncia por hechos ocurridos el pasado 28 de noviembre, cuando la víctima conducía un automotor de carga en la autopista México-Pachuca, a la altura de la colonia San Martín Azcatepec, de Tecámac, en el cual transportaba material diverso, propiedad de una empresa particular cuando un automóvil blanco le cerró el paso del cual descendieron dos sujetos, quienes amenazaron a la víctima a la que subieron al vehículo, privándola de su libertad por espacio de una hora, para después liberarla en un predio baldío en el municipio de Tizayuca, en el Estado de Hidalgo. Una vez que tuvo conocimiento de estos hechos, el Agente del Ministerio Público inició la investigación que permitió ubicar el posible paradero de la unidad robada, por lo que solicitó y obtuvo de una Autoridad Judicial la orden de cateo correspondiente. Al contar con la orden obsequiada por el juez, los elementos de la Fiscalía y la Secretaría de Seguridad estatal se constituyeron en el predio ubicado en la colonia San Pedro Atzompa, en Tecámac, en donde fue localizado un vehículo marca Ford, submarca F350, tipo camión, con reporte de robo, objetivo del cateo, unidad que presentaba huellas de desvalijamiento. Una vez concluida la diligencia, el predio fue asegurado, para preservar el lugar y continuar con las investigaciones correspondientes. No hay etiquetas asociadas a éste artículo.</t>
  </si>
  <si>
    <t>Reconoce el GEM la vocación, valentía y entrega de la Policía mexiquense</t>
  </si>
  <si>
    <t>2025-12-08 17:37:25</t>
  </si>
  <si>
    <t>https://diarioportal.com/seguridad-y-justicia/reconoce-el-gem-la-vocacion-valentia-y-entrega-de-la-policia-mexiquense</t>
  </si>
  <si>
    <t>En el marco de la conmemoración del Día del Policía Mexiquense, en representación de la gobernadora del Estado de México, Delfina Gómez Álvarez, el secretario de Seguridad, Cristóbal Castañeda Camarillo, reconoció a las y los policías que diariamente salen a las calles con la misión de salvaguardar a la población. “Ser policía es sinónimo de vocación, valentía y entrega. Es construir en cada acción justicia, orden y paz social. Es levantarse todos los días con la firme convicción de servir y de renunciar a las necesidades propias para buscar un bien superior: la seguridad de la ciudadanía mexiquense”, destacó el Secretario de Seguridad. El titular de la dependencia señaló que la SSEM está integrada por mujeres y hombres cuyos valores están bien cimentados, lo que la convierte en una institución humana, cuya labor trasciende e impacta de manera positiva y profunda en el tejido social. “En cada uno de los 125 municipios que conforman el estado, sepan que la Secretaría de Seguridad mantiene su compromiso de hacer de la institución policial un referente de buenas prácticas a nivel nacional, con policías mejor preparados, capacitados y especializados en sus funciones, actuando siempre en favor de la ciudadanía”, señaló Cristóbal Castañeda. En el Centro de Control, Comando, Comunicación, Cómputo y Calidad (C5) de la entidad, Paola Monserrat García Paz, ganadora del Mérito Deportivo, destacó el apoyo y liderazgo de la Gobernadora y del Secretario de Seguridad, evidentes por el respaldo que actualmente brindan a las fuerzas del orden. “Agradezco el respaldo y compromiso de nuestras autoridades. Gracias a nuestra Gobernadora, maestra Delfina Gómez Álvarez, por el apoyo a esta institución, por dignificar nuestra labor y procurar nuestro bienestar. También agradezco a nuestro Secretario de Seguridad, Maestro Cristóbal Castañeda Camarillo, por su liderazgo al frente de esta institución”, dijo la galardonada. Durante la ceremonia se reconoció a oficiales por su destacada labor en las categorías de Policía del Año; Mérito Policial Primera y Segunda Clase; Custodio del Año; Mérito Social y Deportivo; así como el Título Post Mortem. Con estas acciones, el gobierno del Estado de México reafirma su compromiso con las y los policías para continuar con el trabajo de reconstrucción social, así como para fortalecer la proximidad con la ciudadanía, tal como lo establece el Plan de Desarrollo Estatal 2023-2029. En el evento estuvieron presentes el Representante de la 22ª Zona Militar, General de Brigada Armando López Esquivel; el Subsecretario de la Policía Estatal, Carlos Alberto Hernández Leyva; el Subsecretario de Control Penitenciario, Víctor Manuel Martínez, y el Director General de Información, Víctor Antonio Cisneros Díaz. No hay etiquetas asociadas a éste artículo.</t>
  </si>
  <si>
    <t>Detiene FGR al priista César Duarte por saquear a Chihuahua cuando fue gobernador</t>
  </si>
  <si>
    <t>2025-12-08 17:22:33</t>
  </si>
  <si>
    <t>https://diarioportal.com/seguridad-y-justicia/detiene-fgr-al-priista-cesar-duarte-por-saquear-a-chihuahua-cuando-fue-gobernador</t>
  </si>
  <si>
    <t>El exgobernador priista de Chihuahua, César Duarte, fue detenido por agentes de la Fiscalía General de la República, ahora comandada por Ernestina Godoy, quien investiga su presunta responsabilidad en lavado de dinero posiblemente sustraído del erario público del estado cuando estuvo en funciones. Así lo dio a conocer la FGR a través de redes sociales, donde postula que “César ‘N’, había sido detenido previamente el 8 de julio de 2020 en Miami, Florida, y extraditado a México el 2 de junio de 2022, por los delitos de peculado y asociación delictuosa, investigado por la Fiscalía del estado de Chihuahua”. La fiscalía acotó en el mensaje que la órden de aprehensión, cumplimentada este lunes, fue emitida el 16 de mayo del año pasado. Asimismo, informa que “El 4 de octubre de 2024, se tramitó ante el Gobierno de los #EUA la autorización para poder procesarlo por un delito distinto a los de peculado y asociación delictuosa, misma que fue concedida el 4 de diciembre de 2025”. De acuerdo con el breve comunicado, el exgobernador “es investigado por su probable intervención como servidor público en Chihuahua, en un esquema de lavado de dinero, en el que pretendió ocultar recursos de procedencia ilícita desviados de las arcas estatales, utilizando para ello el Sistema Financiero Mexicano”. No hay etiquetas asociadas a éste artículo.</t>
  </si>
  <si>
    <t>Llaga al 50% habilitación de vialidades seguras para mujeres en 3 municipios  con Alerta de Género</t>
  </si>
  <si>
    <t>https://diarioportal.com/seguridad-y-justicia/llaga-al-50-habilitacion-de-vialidades-seguras-para-mujeres-en-3-municipios-con-alerta-de-genero</t>
  </si>
  <si>
    <t>Como parte del Programa ‘Caminemos Seguras’, el gobierno del Estado de México avanza en el mejoramiento urbano con perspectiva de género en calles de los municipios de Tlalnepantla, Cuautitlán Izcalli y Naucalpan, proyectos que priorizan la iluminación de estos espacios. Durante la supervisión de las obras, Carlos Maza Lara, Secretario de Desarrollo Urbano e Infraestructura (Sedui), destacó que estos proyectos llevan un avance del 50% y se realizan en coordinación con la Secretaría de las Mujeres. Explicó que, en la Avenida Acueducto de Tlalnepantla, las cuadrillas se enfocan en la rehabilitación de banquetas y guarniciones, así como la instalación de tecnología de seguridad como cámaras de videovigilancia y botones de pánico. El funcionario también recorrió la Avenida Primero de Mayo en Cuautitlán Izcalli, donde se mejoran banquetas y guarniciones, además de un importante cruce peatonal para garantizar la movilidad segura. En la Avenida Jardines de San Mateo, en Naucalpan, se mejora la iluminación pública y se rehabilitan banquetas para que las mujeres y la ciudadanía en general dispongan de entornos más seguros. Los trabajos forman parte de la estrategia estatal para rehabilitar y colocar nueva infraestructura urbana en 13 calles de Chalco, Chimalhuacán, Cuautitlán Izcalli, Ecatepec, Ixtapaluca, Naucalpan, Tlalnepantla, Tultitlán, Valle de Chalco, Nezahualcóyotl y Toluca, municipios con Alerta de Violencia de Género. No hay etiquetas asociadas a éste artículo.</t>
  </si>
  <si>
    <t>Continúa la restitución de predios que habían despojados a legítimos propietarios</t>
  </si>
  <si>
    <t>2025-12-07 16:47:11</t>
  </si>
  <si>
    <t>https://diarioportal.com/seguridad-y-justicia/continua-la-restitucion-de-predios-que-habian-despojados-a-legitimos-propietarios</t>
  </si>
  <si>
    <t>Desde que fue implementada la Operación Restitución en el pasado mes de abril, las autoridades de seguridad han asegurado 1 mil 266 inmuebles relacionados con el delito de despojo y contra la propiedad en 63 municipios del Estado de México, de los que 747çv De acuerdo con la Fiscalía General de Justicia del Estado de México (FGJEM), del periodo que comprende del 29 de noviembre al 6 de diciembre, autoridades de los tres órdenes de gobierno realizaron acciones operativas en 16 municipios consistentes en técnicas de investigación de cateo e inspecciones en donde fueron aseguradas 38 propiedades. Estas acciones permanentes han permitido que, del mes de abril, cuando inició la Operación Restitución, como parte de la Estrategia para la Restitución de la Propiedad, a la fecha, del total de los inmuebles asegurados, 747 hayan sido restituidos a quienes han acreditado legítimamente su propiedad. Lo anterior, con base en las determinaciones de los Agentes del Ministerio Público de la Fiscalía del Estado de México, lo que ha permitido agilizar los procesos para que las víctimas recuperen sus propiedades sin requerir esperar el fallo de la Autoridad Judicial. De los 747 inmuebles devueltos hasta el momento, 682 de ellos son casas habitación, 63 predios y dos inmuebles dedicados a locales comerciales. Además, el representante social continúa recibiendo documentación con la que los legítimos dueños acrediten la propiedad con el fin de concretar su restitución. Cabe señalar que desde el comienzo de las acciones de dicho operativo, se han registrado diversas denuncias por la comisión de hechos constitutivos de delito relacionados con despojos que fueron realizados en el 2024 y años previos. Además, la Operación Restitución forma parte de la estrategia para la restitución de la propiedad, impulsada desde la Mesa de Coordinación para la Construcción de la Paz, que en la entidad encabeza la gobernadora Delfina Gómez Álvarez, misma en la que participan la Secretaría de la Defensa, la Secretaría de Marina, la Guardia Nacional, así como la Secretaría de Seguridad del Estado de México. No hay etiquetas asociadas a éste artículo.</t>
  </si>
  <si>
    <t>Mujer es sentenciada a 40 años de prisión por el delito de homicidio en agravio de un hombre</t>
  </si>
  <si>
    <t>2025-12-06 14:13:49</t>
  </si>
  <si>
    <t>https://diarioportal.com/seguridad-y-justicia/mujer-es-sentenciada-a-40-anos-de-prision-por-el-delito-de-homicidio-en-agravio-de-un-hombre</t>
  </si>
  <si>
    <t>Una mujer identificada como Olivia Gálvez Vázquez fue condenada a 40 años de prisión, luego de que la Fiscalía General de Justicia del Estado de México (FGJEM), acreditó su participación en el delito de homicidio en agravio de un masculino, hechos ocurridos en este municipio. Con el avance en la investigación ministerial, fue posible determinar que alrededor de la medianoche del 8 y 9 de diciembre del 2023, la víctima se encontraba dentro de su domicilio ubicado en la colonia La Cañada, en Tultepec, cuando la hoy sentenciada y un masculino ingresaron a dicho inmueble en donde la sometieron para después agredirla con un objeto metálico, provocándole la muerte, para posteriormente huir en un vehículo propiedad de la víctima. Al recabar información, la Fiscalía pudo conocer la identidad de los posibles responsables, solicitando ante el Juez una orden de aprehensión, con la cual, pudieron detener e ingresar al Centro Penitenciario y de Reinserción Social de la zona a Olivia Gálvez Vázquez, para quedar a disposición de la autoridad. Con las pruebas presentadas por el Ministerio Público, el Órgano Jurisdiccional pudo determinar la culpabilidad de la detenida, a quien sentenció a 40 años de prisión, imponiéndole una multa por 72 mil 268 pesos y el pago de 172 mil 870 pesos por concepto de reparación del daño.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</si>
  <si>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Fiscalía Edoméx y Secretaría de Seguridad estatal recuperan transporte de carga con reporte de robo en un inmueble de Tecámac</t>
  </si>
  <si>
    <t>2025-12-06 14:12:26</t>
  </si>
  <si>
    <t>https://diarioportal.com/seguridad-y-justicia/fiscalia-edomex-y-secretaria-de-seguridad-estatal-recuperan-transporte-de-carga-con-reporte-de-robo-en-un-inmueble-de-tecamac</t>
  </si>
  <si>
    <t>- Elementos de la Fiscalía General de Justicia del Estado de México (FGJEM), en coordinación con la Secretaría de Seguridad estatal (SSEM), ejecutaron una técnica de investigación de cateo en un inmueble ubicado en la colonia San Pedro Atzompa en donde recuperaron un auto transporte y mercancía con reporte de robo. Esta diligencia fue practicada derivado de una denuncia por hechos ocurridos el pasado 28 de noviembre, cuando la víctima conducía un automotor de carga en la autopista México-Pachuca, a la altura de la colonia San Martín Azcatepec, de Tecámac, en el cual transportaba material diverso, propiedad de una empresa particular cuando un automóvil blanco le cerró el paso del cual descendieron dos sujetos, quienes amenazaron a la víctima a la que subieron al vehículo, privándola de su libertad por espacio de una hora, para después liberarla en un predio baldío en el municipio de Tizayuca, en el Estado de Hidalgo. Una vez que tuvo conocimiento de estos hechos, el Agente del Ministerio Público inició la investigación que permitió ubicar el posible paradero de la unidad robada, por lo que solicitó y obtuvo de una Autoridad Judicial la orden de cateo correspondiente. Al contar con la orden obsequiada por el Juez, los elementos de la Fiscalía y la Secretaría de Seguridad estatal se constituyeron en el predio ubicado en la colonia San Pedro Atzompa, en Tecámac, en donde fue localizado un vehículo marca Ford, submarca F350, tipo camión, con reporte de robo, objetivo del cateo, unidad que presentaba huellas de desvalijamiento. Una vez concluida la diligencia, el predio fue asegurado, para preservar el lugar y continuar con las investigaciones correspondientes.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</si>
  <si>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Fiscalía del Edoméx obtiene vinculación a proceso contra dos sujetos por su probable participación en robo a casa habitación con violencia</t>
  </si>
  <si>
    <t>2025-12-06 14:08:03</t>
  </si>
  <si>
    <t>https://diarioportal.com/seguridad-y-justicia/fiscalia-del-edomex-obtiene-vinculacion-a-proceso-contra-dos-sujetos-por-su-probable-participacion-en-robo-a-casa-habitacion-con-violencia</t>
  </si>
  <si>
    <t>- Brayan Isaí “N” y Manuel “N” fueron vinculados a proceso por su probable intervención en el delito de robo a casa habitación, una vez que la Fiscalía General de Justicia del Estado de México (FGJEM) aportó ante la Autoridad Judicial los datos necesarios para acreditar su participación en este ilícito. De acuerdo con la investigación iniciada por esta Representación Social, el pasado 20 de septiembre de 2024, la víctima se encontraba en su domicilio ubicado en la colonia San Juan, perteneciente al municipio de Chiautla, lugar al que ingresaron ambos imputados, en compañía de otros masculinos, y le apuntaron a la cara con un arma de fuego. Luego de amenazarla, registraron la vivienda para hurtar dinero y objetos de valor para después huir del lugar con rumbo desconocido. Al tener conocimiento del ilícito, el Agente del Ministerio Público inició la investigación que permitió ubicar a Brayan Isaí “N” y Manuel “N” como posibles partícipes de estos hechos, por lo que una vez que consiguió de una Autoridad Judicial la orden de aprehensión en su contra, los detuvo e ingresó al Centro Penitenciario y de Reinserción Social de la zona. Luego de analizar los datos aportados por esta Representación Social, la Autoridad Judicial estableció como medida cautelar la prisión preventiva y se fijó un plazo de dos meses de investigación complementaria. A los dos investigados se les debe considerar inocentes en tanto no se les dicte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</si>
  <si>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Presunto responsable de secuestro exprés con fines de robo en la carretera México–Querétaro es vinculado a proceso</t>
  </si>
  <si>
    <t>2025-12-06 14:04:50</t>
  </si>
  <si>
    <t>https://diarioportal.com/seguridad-y-justicia/presunto-responsable-de-secuestro-expres-con-fines-de-robo-en-la-carretera-mexicoqueretaro-es-vinculado-a-proceso</t>
  </si>
  <si>
    <t>La Fiscalía General de Justicia del Estado de México (FGJEM) obtuvo vinculación a proceso en contra de Heriberto “N” por su probable intervención en el delito de secuestro exprés con fines de robo, en agravio de tres personas. De acuerdo con los hechos, el 26 de noviembre del 2025, las víctimas circulaban sobre la autopista México-Querétaro a bordo de un camión de la marca Freightliner, modelo 2017, color blanco, cargado con mercancía consistente en telefonía celular, con un valor estimado en 54 millones 910 mil 987 pesos propiedad de una empresa privada. Al llegar a la colonia Generalísimo José María Morelos y Pavón, en el municipio de Cuautitlán Izcalli, dos vehículos, uno de color gris y otro blanco con luces que simulaban ser de un vehículo oficial los interceptaron y les marcaron el alto. Del automóvil sedán, color gris, descendió Heriberto “N” en compañía de otro sujeto, con el propósito de privar de la libertad a las víctimas, en el área del camarote del vehículo Freightliner, llevándolos a otro lugar. Debido a que el camión desvió su ruta, elementos de la Fiscalía mexiquense y de la Policía Municipal de Cuautitlán Izcalli, quienes realizaban recorridos de seguridad, fueron alertados por lo que implementaron una acción operativa en el lugar donde marcaba el GPS de la unidad. Al llegar a la calle Lirio, colonia las Conchitas, municipio de Cuautitlán Izcalli, ubicaron el vehículo, del cual bajó corriendo Heriberto “N”, quien se encontraba cuidando a las víctimas, y al intentar huir se aventó a un canal de aguas negras, pero es perseguido y detenido en flagrancia en calle Girasol, esquina calle Clavel por elementos de la Policía de Investigación. Una vez detenido, los elementos de la Policía Municipal de Cuautitlán Izcalli liberaron a las víctimas. El Juez del Distrito Judicial de Cuautitlán le dictó auto de vinculación a proceso, y fijó como medida cautelar la prisión preventiva justificada, además, concedió dos meses de investigación complementaria.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</si>
  <si>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Joel González  será encargado  de despacho  en la Junta de   Caminos tras  renuncia de  Ariel Juárez</t>
  </si>
  <si>
    <t>https://diarioportal.com/seguridad-y-justicia/joel-gonzalez-sera-encargado-de-despacho-en-la-junta-de-caminos-tras-renuncia-de-ariel-juarez</t>
  </si>
  <si>
    <t>La gobernadora Delfina Gómez Álvarez formalizó el nombramiento de Joel González Toral como encargado de despacho de la Junta de Caminos del Estado de México, tras la renuncia de Mario Ariel Juárez Rodríguez el pasado miércoles. El ahora encargado de despacho es ingeniero civil egresado del Instituto Politécnico Nacional (IPN), cuenta con estudios de posgrado en Alta Dirección, Inteligencia Estratégica y Administración Pública, formación que respalda una trayectoria vinculada al desarrollo de infraestructura vial. Su experiencia laboral  abarca tanto la iniciativa pública como la privada, con participación destacada en proyectos orientados a la modernización de puentes y carreteras. En el servicio público se ha desempeñado como director de Obras Públicas en el municipio de Nezahualcóyotl y recientemente como director de Vialidad en la Secretaría de Movilidad del Estado de México, desde donde impulsó mejoras operativas en la red estatal. De acuerdo con lo anunciado por la gobernadora, González Toral asumirá la responsabilidad de uno de los proyectos más relevantes para el 2026 que es la rehabilitación de 55 kilómetros del Periférico Norte y que iniciará a principios del próximo año. Con esta obra se busca mejorar la movilidad de más de siete millones de habitantes de los municipios de Naucalpan, Tlalnepantla, Cuautitlán Izcalli, Cuautitlán y Tepotzotlán, zona cuya congestión vial ha sido señalada como una de las más críticas del Valle de México. Cabe señalar que el relevo en la Junta de Caminos ocurre luego de que Mario Ariel Juárez Rodríguez presentara su renuncia después de verse involucrado en un incidente público junto al diputado federal Wblester Santiago Pineda, tras una discusión al interior de un centro comercial en Metepec, hecho que generó cuestionamientos sobre su continuidad en el cargo. No hay etiquetas asociadas a éste artículo.</t>
  </si>
  <si>
    <t>Detienen a sujeto por presunto huachicoleo en Tepetlaoxtoc</t>
  </si>
  <si>
    <t>2025-12-04 16:19:21</t>
  </si>
  <si>
    <t>https://diarioportal.com/seguridad-y-justicia/detienen-a-sujeto-por-presunto-huachicoleo-en-tepetlaoxtoc</t>
  </si>
  <si>
    <t>Elementos de la Guardia Nacional (GN) detuvieron a un sujeto por presunto robo de hidrocarburo y lograron el aseguramiento de dos camionetas acondicionadas con tanques "hechizos" para el transporte ilegal de Gas L.P. en el municipio de Tepetlaoxtoc. El hecho ocurrió cuando elementos de la Guardia Nacional detectaron a los tripulantes de dos camionetas manejando de manera sospechosa cuando circulaban por calles del municipio de Tepetlaoxtoc, por lo que le indicaron que se detuvieran. Sin embargo ignoraron el señalamiento y aceleraron a toda velocidad, lo que generó una persecución pero al llegar a las calles de Santo Tomás Apipilhuasco, en el municipio de Tepetlaoxtoc, fueron interceptados. En ese momento varias personas descendieron de las camionetas corrieron en diferentes direcciones, inmediatamente los oficiales intentaron detenerlos, pero sólo lograron capturar de uno e ellos, identificado como David “N”, de 34 años. Tras la inspección en las camionetas Ford las autoridades descubrieron en su interior se hallaron tanques estacionarios adaptados de forma artesanal. Cada tanque tenía una capacidad aproximada de 2 mil 200 litros, sumando un total estimado de 4 mil 400 litros de capacidad para el trasiego de combustible ilícito. El sujeto junto con los vehículos fueron trasladados y puestos a disposición del Ministerio Público para deslindar su responsabilidad. No hay etiquetas asociadas a éste artículo.</t>
  </si>
  <si>
    <t>Asegura la GN  2 camionetas  con combustible  robado, arresta   a un presunto  "huachicolero"  en Tepetlaoxtoc</t>
  </si>
  <si>
    <t>https://diarioportal.com/seguridad-y-justicia/asegura-la-gn-2-camionetas-con-combustible-robado-arresta-a-un-presunto-huachicolero-en-tepetlaoxtoc</t>
  </si>
  <si>
    <t>Elementos de la Guardia Nacional (GN) detuvieron a un sujeto por presunto robo de hidrocarburo y lograron el aseguramiento de dos camionetas acondicionadas con tanques 'hechizos' para el transporte ilegal de Gas L.P. en el municipio de Tepetlaoxtoc. El hecho ocurrió cuando elementos de la Guardia Nacional detectaron a los tripulantes de dos camionetas manejando de manera sospechosa cuando circulaban por calles del municipio de Tepetlaoxtoc, por lo que le indicaron que se detuvieran. Sin embargo ignoraron el señalamiento y aceleraron a toda velocidad, lo que generó una persecución pero al llegar a las calles de Santo Tomás Apipilhuasco, en el municipio de Tepetlaoxtoc, fueron interceptados. En ese momento, varias personas descendieron de las camionetas y corrieron en diferentes direcciones, inmediatamente los oficiales intentaron detenerlos, pero sólo lograron capturar a uno de ellos, identificado como David 'N', de 34 años. Tras la inspección en las camionetas Ford, las autoridades descubrieron en su interior tanques estacionarios adaptados de forma artesanal. Cada tanque tenía una capacidad aproximada de 2 mil 200 litros, sumando un total estimado de 4 mil 400 litros de capacidad para el trasiego de combustible ilícito. El sujeto junto con los vehículos fueron trasladados y puestos a disposición del Ministerio Público para deslindar su responsabilidad. No hay etiquetas asociadas a éste artículo.</t>
  </si>
  <si>
    <t>Vinculados a proceso penal por robo de agua funcionarios y supuestos líderes de sindicatos</t>
  </si>
  <si>
    <t>2025-12-01 18:57:35</t>
  </si>
  <si>
    <t>https://diarioportal.com/seguridad-y-justicia/vinculados-a-proceso-penal-por-robo-de-agua-funcionarios-y-supuestos-lideres-de-sindicatos</t>
  </si>
  <si>
    <t>La Fiscalía General de Justicia del Estado de México (FGJEM) obtuvo seis vinculaciones a proceso contra servidores públicos y líderes de sindicatos detenidos por el robo de agua en la entidad en el marco de la Operación Caudal. Los detenidos son identificados como objetivos prioritarios por su probable participación como ordenadores de actividades delictivas en la cadena ilícita de extracción, distribución y venta de agua en la entidad, por lo que son investigados por delitos contra el servicio público y distribución del agua, homicidio, secuestro, extorsión, robo con violencia, despojo de propiedades, disparo de arma de fuego y contra la salud, entre otros. Los vinculados a proceso eran líderes o integrantes relevantes de las organizaciones sociales con fachada de sindicatos autodenominadas Sindicato 22 de Octubre, Federación Internacional de Trabajadoras y Trabajadores Asalariados de México (FITTAM), Sindicatos Unidos por la Transformación de México (SUTMEX), La Chokiza y Somos Mayas, Somos Fuertes y/o Los Mayas. Estos grupos están relacionados con hechos delictivos de homicidio, secuestro, extorsión, robo con violencia, despojo de propiedades, disparo de arma de fuego, contra la salud, así como contra el servicio público y distribución del agua en los municipios de Acolman, Chalco, Chicoloapan, Chimalhuacán, Coacalco, Ecatepec, Ixtapaluca, La Paz, Nezahualcóyotl, Tecámac, Teotihuacán, Texcoco y Valle de Chalco, principalmente. Christian Jesús ‘N’ alias “Gimy” y/o ‘Jimmy’, sexto Regidor en el municipio de Chalco, es identificado como líder del Sindicato 22 de Octubre y utilizaba su grupo delictivo para acaparar la distribución y venta ilegal de agua a través pipas irregulares, propiedad de sus integrantes. Juan ‘N’, identificado como secretario general de la FITTAM y vocero del SUTMEX acaparaba la distribución y el cobro ilícito del agua, ordenaba agresiones y robos con violencia en agravio de propietarios de purificadoras, así como conductores o dueños de pipas ajenas a sus grupos. Guillermo ‘N’ recibía instrucciones directas de alias ‘Gimy’ y/o ‘Jimmy’ para instalar tomas clandestinas de agua potable en las redes oficiales y administrar la venta y distribución de la ordeña” con el uso de pipas irregulares operadas por sus agremiados. Ricardo ‘N’, presunto integrante de La Chokiza, fungía como propietario de pipas del referido grupo criminal y era el encargado de administrar tomas de agua clandestinas. Juan Manuel ‘N’ alias ‘El Maya’, presunto líder de la organización Somos Mayas, Somos Fuertes y/o Los Mayas, hasta antes de su captura era identificado como generador de violencia en el municipio de Ecatepec. Finalmente, a María del Carmen ‘N’ se le relaciona con actividades delictivas de despojo porque facilitaba predios invadidos para que funcionaran como pensiones de pipas de agua y otros vehículos, además de ocupar viviendas de manera ilegal. Cabe señalar que los detenidos fueron vinculados a proceso y permanecerán en prisión preventiva hasta que situación jurídica sea resuelta. No hay etiquetas asociadas a éste artículo.</t>
  </si>
  <si>
    <t>2025, el año con menor índice de homicidios desde 2017 en Edomex</t>
  </si>
  <si>
    <t>2025-12-01 16:16:27</t>
  </si>
  <si>
    <t>https://diarioportal.com/seguridad-y-justicia/2025-el-ano-con-menor-indice-de-homicidios-desde-2017-en-edomex</t>
  </si>
  <si>
    <t>Resultado de las estrategias de seguridad que se trabajan a diario en la Mesa de Paz encabezada por la gobernadora Delfina Gómez Álvarez, noviembre de 2025 se convierte en el mes con menos víctimas de homicidios dolosos desde 2017, de acuerdo con la Fiscalía General de Justicia del Estado de México (FGJEM), el punto más bajo de una caída sostenida en este delito de alto impacto en los once meses del año. “En #Nezahualcóyotl encabecé la Mesa de Paz en la cual la Fiscalía General de Justicia del Estado de México reportó que este noviembre fue el mes con menor incidencia de homicidio doloso que se tiene registrado. Seguimos sumando esfuerzos por la paz y tranquilidad de las y los mexiquenses. #ElPoderDeServir”, dijo la gobernadora Delfina Gómez Álvarez en sus redes sociales. De enero a noviembre de 2025, hubo reducciones mensuales de entre 25% y 45% respecto al mismo periodo del 2024, confirmando que la labor coordinada de los tres niveles de gobierno en el tema de seguridad ha logrado cambios estructurales, evitando repuntes significativos en dicho delito con un promedio diario aproximado de menos 50%. Cabe destacar que el acumulado anual de homicidios dolosos de 2025 es el menor desde el 2017, resultado de las acciones implementadas como operativos, programas, equipamiento y capacitación a policías, mayor tecnología, la denuncia ciudadana, la atención a víctimas y seguimiento de casos. A la sesión 225 de la Mesa de Paz, asistieron Horacio Duarte Olivares, Secretario General de Gobierno; Cristóbal Castañeda Camarillo, Secretario de Seguridad; Maricela López Urbina, Secretaria Técnica; José Luis Cervantes Martínez, Fiscal General de Justicia del Estado de México; Adolfo Cerqueda Rebollo, Presidente Municipal de Nezahualcóyotl, así como representantes de Defensa, Marina, Guardia Nacional y el Centro Nacional de Inteligencia. No hay etiquetas asociadas a éste artículo.</t>
  </si>
  <si>
    <t>Bajan en 30% crímenes de alto impacto tras limpia en la policía de Tlalnepantla</t>
  </si>
  <si>
    <t>2025-11-30 17:40:53</t>
  </si>
  <si>
    <t>Tlalnepantla de Baz</t>
  </si>
  <si>
    <t>https://diarioportal.com/seguridad-y-justicia/bajan-en-30-crimenes-de-alto-impacto-tras-limpia-en-la-policia-de-tlalnepantla</t>
  </si>
  <si>
    <t>Durante su primer año de gobierno, el presidente municipal de Tlalnepantla, Raciel Pérez Cruz, reportó una reducción del 30% en los delitos de alto impacto, resultado de una estrategia integral enfocada en la proximidad social, la inteligencia operativa, la prevención de violencias y la depuración de los cuerpos policiacos. El alcalde recordó que recibió una corporación policiaca deteriorada y con poca confianza ciudadana; por ello, se impulsó un proceso de reestructuración que incluyó la aplicación de mil 215 exámenes psicológicos y toxicológicos, la baja de 100 elementos por conductas indebidas y la profesionalización de la fuerza municipal. En este periodo, se abrieron 610 expedientes y se solicitaron procedimientos administrativos ante la Comisión de Honor y Justicia, de los cuales 81 fueron formalizados y 35 avanzan en revisión, con 12 resoluciones emitidas. En cuanto a resultados operativos, Pérez Cruz informó avances relevantes en comparación con 2024: los feminicidios disminuyeron 33%, los homicidios dolosos 29%, las lesiones dolosas 15%, el robo a casa habitación 58%, el robo a transeúnte 26%, el robo a transporte de carga 28% y el robo de vehículos 40%. Asimismo, fueron puestos a disposición del Ministerio Público 778 presuntos responsables de delitos de alto impacto, mientras que 1,780 infractores fueron remitidos al juez cívico. El edil destacó que la estrategia se diseñó “desde el territorio y para el territorio”, analizando factores como densidad poblacional, nivel de riesgo, dinámicas comunitarias y patrones delictivos, lo que permitió focalizar recursos y fortalecer la presencia policial en las zonas prioritarias. Como parte de la profesionalización, 200 policías fueron capacitados en Competencias Básicas de la Función Policial y 300 participaron en los cursos de Informe Policial Homologado y Registro Nacional de Detenciones. Informó que se adquirieron 160 unidades, 20 motocicletas y se entregaron 2,500 uniformes a 1,241 elementos, con una inversión superior a 220 millones de pesos. Pérez Cruz subrayó que estos resultados sientan las bases para consolidar la Construcción de Paz en Tlalnepantla y recuperar la confianza de la ciudadanía en sus cuerpos de seguridad. No hay etiquetas asociadas a éste artículo.</t>
  </si>
  <si>
    <t>Ya son 725 los predios restituidos a legítimos propietarios en Edomex tras despojo</t>
  </si>
  <si>
    <t>2025-11-30 17:37:09</t>
  </si>
  <si>
    <t>https://diarioportal.com/seguridad-y-justicia/ya-son-725-los-predios-restituidos-a-legitimos-propietarios-en-edomex-tras-despojo</t>
  </si>
  <si>
    <t>Desde el mes de abril, cuando se implementó la Operación Restitución, a la fecha, han sido asegurados 1 mil 228 inmuebles relacionados con el delito de despojo y contra la propiedad en 63 municipios mexiquenses, de los que 725 han sido restituidos a sus legítimos dueños. De acuerdo con la Fiscalía General de Justicia del Estado de México (FGJEM) las determinaciones de los agentes del Ministerio Público han permitido agilizar los procesos para que las víctimas recuperen sus propiedades sin tener que esperar el fallo de la autoridad judicial. De los 725 inmuebles devueltos hasta el momento, 664 de ellos son casas habitación, 59 predios y dos inmuebles dedicados a locales comerciales, sin embargo, el representante social continúa recibiendo documentación con la que los legítimos dueños están acreditando la propiedad con el fin de concretar su restitución. Además, en el periodo que comprende del 22 al 29 de noviembre, autoridades de los tres órdenes de gobierno realizaron acciones operativas en 13 municipios consistentes en técnicas de investigación de cateo e inspecciones en donde fueron aseguradas 38 propiedades. De acuerdo con la dependencia, con estas acciones permanentes que forman parte de la Estrategia para la Restitución de la Propiedad, además de que el representante social continúa recibiendo documentación con la que los legítimos dueños acrediten la propiedad con el fin de concretar su restitución. Las denuncias por la comisión de hechos constitutivos de delito relacionados con despojos fueron realizadas desde el año 2024 y años previos. En la Operación Restitución participan, además de la FGJEM, la Secretaría de la Defensa Nacional (DEFENSA), la Secretaría de Marina (MARINA), la Guardia Nacional (GN), la Secretaría de Seguridad estatal (SSEM) y policías municipales. No hay etiquetas asociadas a éste artículo.</t>
  </si>
  <si>
    <t>Abren línea de asesoría telefónica a conductores infraccionados por faltas al  reglamento de tránsito</t>
  </si>
  <si>
    <t>https://diarioportal.com/seguridad-y-justicia/abren-linea-de-asesoria-telefonica-a-conductores-infraccionados-por-faltas-al-reglamento-de-transito</t>
  </si>
  <si>
    <t>La Secretaría de Seguridad del Estado de México (SSEM) habilitó asesoría telefónica y módulos de atención para consultar infracciones de tránsito, el fin es contar con canales de comunicación en los cuales se puedan externar dudas técnicas y jurídicas relacionadas con el Reglamento de Tránsito de la entidad que ya entró en vigor, así como realizar algún reporte ante actos de corrupción. La ‘Línea de Infracción Transparente’ 800 900 3300, está disponible los 365 días del año, las 24 horas del día. De igual manera, se instalaron seis módulos de atención que tienen un horario de 9:00 a 18:00 horas, de lunes a viernes, en estos últimos se podrá verificar si su vehículo cuenta con una infracción en la entidad, imprimir recibo de pago, reportar cualquier hecho de corrupción, y obtener asesoría, las direcciones son: 1.- Toluca, calle Urawa Núm. 100, puerta A-1 Col. Izcalli IPIEM, C.P. 50150. 2.- Valle de Bravo, boulevard Juan Herrera y Piña Núm. 101, Col. El Calvario, C.P. 51200. 3.- Atlacomulco, avenida Ing. Luis Galindo Ruíz Núm. 312, Edif. B puerta B-102 Col. Isidro Fabela, C.P. 50454. 4.-Cuautitlán Izcalli, avenida Primero de Mayo sin núm. Col. Centro Urbano, C.P. 54700. 5.- Naucalpan, Paseo de los Mexicas Núm. 63, Col. Santa Cruz Acatlán, C.P. 53150. 6.- Nezahualcóyotl, avenida Sor Juana Inés de la Cruz Núm. 100, Col. Metropolitana Segunda Sec., C.P. 57740. Es importante mencionar que en completo apego a la norma, la persona que cuente con una multa obtiene el 50% de descuento dentro de los quince días hábiles siguientes a la emisión o notificación en domicilio de la infracción. No hay etiquetas asociadas a éste artículo.</t>
  </si>
  <si>
    <t>POR DESAPARICIÓN FORZADA DE PERSONAS Y HOMICIDIO DE UN CIUDADANO DE ORIGEN CHINO, FISCALÍA EDOMÉX OBTIENE VINCULACIÓN A PROCESO CONTRA UN SUJETO</t>
  </si>
  <si>
    <t>2025-11-29 15:59:14</t>
  </si>
  <si>
    <t>https://diarioportal.com/seguridad-y-justicia/por-desaparicion-forzada-de-personas-y-homicidio-de-un-ciudadano-de-origen-chino-fiscalia-edomex-obtiene-vinculacion-a-proceso-contra-un-sujeto</t>
  </si>
  <si>
    <t>Un Juez con sede en Tlalnepantla, dictó auto de vinculación a proceso en contra de Eduardo “N”, luego de que la Fiscalía General de Justicia del Estado de México (FGJEM) aportara los elementos suficientes que demuestran su presunta responsabilidad en los delitos de robo de vehículo con violencia; desaparición cometida por particulares con la agravante de que la persona falleció a consecuencia de la desaparición y de que mantenía una relación laboral con la víctima. Según se ha podido establecer mediante las investigaciones efectuadas por esta Institución, el 31 de octubre de 2020, las víctimas, un hombre y una mujer, ambos de nacionalidad china, circulaban a bordo de un vehículo en la vialidad Sendero Escolar, Rancho Blanco, Espíritu Santo perteneciente al municipio de Jilotzingo, en compañía de uno de sus empleados y otros sujetos más, entre ellos el hoy detenido, quienes en algún momento amenazaron con armas de fuego y luego agredieron las víctimas. Después, privaron de la libertad a la víctima de sexo masculino, en tanto que a la mujer la golpearon, amordazaron y la abandonaron en un lugar boscoso. La mujer logró pedir ayuda y alertar a las autoridades quienes iniciaron la investigación correspondiente, en tanto que el cuerpo del masculino fue encontrado días después. Con el avance en las investigaciones ministeriales, fue posible determinar la identidad de los posibles partícipes en estos hechos, entre ellos Eduardo “N”, quien fue detenido e ingresado al Centro Penitenciario y de Reinserción Social de la zona, a disposición de la Autoridad Judicial, quien, tras valorar las pruebas ofrecidas por la Fiscalía de Justicia del Estado, determinó vincularlo a proceso. Por tal motivo estableció un plazo de tres meses para el cierre de la investigación complementaria y le fijó como medida cautelar al imputado, prisión preventiva. A esta persona se le deberá considerar inocente hasta en tanto una autoridad determine lo contrario.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</si>
  <si>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OBTIENE FISCALÍA EDOMÉX VINCULACIÓN A PROCESO EN CONTRA DE GUILLERMO “N”, OBJETIVO PRIORITARIO DE LA OPERACIÓN "CAUDAL"</t>
  </si>
  <si>
    <t>2025-11-29 15:53:02</t>
  </si>
  <si>
    <t>https://diarioportal.com/seguridad-y-justicia/obtiene-fiscalia-edomex-vinculacion-a-proceso-en-contra-de-guillermo-n-objetivo-prioritario-de-la-operacion-caudal</t>
  </si>
  <si>
    <t>.La Fiscalía General de Justicia del Estado de México (FGJEM), obtuvo vinculación a proceso en contra de Guillermo “N”, por su presunta participación en el delito de extorsión, y quien era considerado un objetivo prioritario dentro de la Operación “Caudal”. Este sujeto fue detenido por el delito de extorsión por hechos presuntamente cometidos en agravio de una femenina en el municipio de Nezahualcóyotl y es investigado por su probable participación como ordenador de actividades delictivas en la cadena ilícita de extracción, distribución y venta de agua en la entidad. De acuerdo a información recabada a través de actos de investigación, Guillermo “N” recibía instrucciones directas de alias “Gimy” y/o “Jimmy”, para instalar tomas clandestinas de agua potable en las redes oficiales y “administrar la venta y distribución de la ordeña” con el uso de pipas irregulares operadas por sus agremiados. Por lo anterior, Guillermo “N” es señalado como un integrante relevante del “Sindicato 22 de Octubre”. Luego de analizar los datos recabados y aportados por el Agente del Ministerio Público, la Autoridad Judicial inició proceso legal en su contra y estableció un plazo para el cierre de investigación complementaria de dos meses, además ratificó la medida cautelar de prisión preventiva.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</si>
  <si>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Frustran 90% de extorsiones en Edomex; impiden pagos por 10 mdp a criminales</t>
  </si>
  <si>
    <t>https://diarioportal.com/seguridad-y-justicia/frustran-90-de-extorsiones-en-edomex-impiden-pagos-por-10-mdp-a-criminales</t>
  </si>
  <si>
    <t>El trabajo coordinado entre los tres órdenes de gobierno, que se impulsa en las Mesas de Paz encabezadas por la gobernadora Delfina Gómez Álvarez, permitió que en el Estado de México se evitara que casi 10 millones de pesos llegaran a manos de extorsionadores. En el reporte presentado por la Secretaría de Seguridad del Estado de México, se informó que esta cifra corresponde al periodo del 20 al 26 de noviembre y representa el 90% del total exigido, lo que es posible gracias a la oportuna denuncia ciudadana que ayuda a las autoridades a actuar de manera inmediata. Además, se dio a conocer que se han recibido 860 denuncias relacionadas con extorsión y fraude telefónico, lo que ayuda a generar alertas tempranas y afinar las estrategias de prevención. El modo de operación más recurrente es la emisión de amenazas o mensajes de intimidación para presionar a las víctimas, seguido de casos donde personas delincuentes se hacen pasar por familiares o conocidos. Los municipios con mayor incidencia fueron Ecatepec, Toluca y Naucalpan, por lo que se refuerzan las acciones de inteligencia, prevención y difusión de medidas de autoprotección en esas zonas. Las autoridades hicieron un llamado a la población a denunciar cualquier intento de extorsión o llamada sospechosa al 089 y 911, recordando que la denuncia es la herramienta más efectiva para combatir estos delitos. También se invitó a compartir la información con familiares y conocidos, a fin de prevenir que más personas sean víctimas. En la sesión 224 de la Mesa de Paz participaron Horacio Duarte Olivares, Secretario General de Gobierno; Cristóbal Castañeda Camarillo, Secretario de Seguridad; Maricela López Urbina, Secretaria Técnica; José Luis Cervantes Martínez, Fiscal General de Justicia del Estado de México; así como representantes de Defensa, Marina, Guardia Nacional y el Centro Nacional de Inteligencia. No hay etiquetas asociadas a éste artículo.</t>
  </si>
  <si>
    <t>Integra GEM  a personas  sordas en  equipo de  seguridad</t>
  </si>
  <si>
    <t>https://diarioportal.com/seguridad-y-justicia/integra-gem-a-personas-sordas-en-equipo-de-seguridad</t>
  </si>
  <si>
    <t>El gobierno del Estado de México fomenta la inclusión y brinda las mismas oportunidades a todos los sectores de la población; por ello, cuenta con un grupo de personas sordas que apoyan en el combate a delitos al realizar labores de vigilancia e investigación en la Secretaría de Seguridad del Estado de México (SSEM). En el marco del Día Nacional de las Personas Sordas, la SSEM señala que este grupo especializado de vigilancia se encuentra en el Centro de Control, Comando, Comunicación, Cómputo y Calidad (C5) con sede en Toluca y está conformado por 13 personas: mujeres y hombres que se desempeñan en el área de inteligencia para tratar eventos de alto impacto, como robo de vehículos. Su discapacidad ha generado que sentidos como la vista se desarrollen en mayor medida, una cualidad que los ha llevado a que el 35% de los casos de éxito en el combate al robo de vehículo en la región de Valle de Toluca, que tiene el C5, sean de este equipo. En este entorno donde convergen tecnologías críticas, protocolos de seguridad y atención operativa permanente, la participación del personal sordo aporta valor estratégico y operativo, especialmente cuando se le brinda acceso equitativo a la capacitación institucional. Es importante destacar que, para eficientar las labores, se cuenta con disponibilidad de intérpretes especializados en Lengua de Señas Mexicana (LSM) durante cursos, talleres y programas de formación, lo que garantiza que el personal sordo reciba la misma información técnica, procedimental y normativa que el resto del personal operativo y administrativo. Asimismo, existe acceso a contenidos críticos de operación, tales como protocolos de emergencia, lineamientos de seguridad, uso de plataformas tecnológicas, herramientas de despacho, sistemas de videovigilancia y software especializado. Esto asegura que su desempeño sea competente, seguro y alineado con los estándares institucionales. La inclusión plena del personal sordo en el ámbito laboral no solo constituye un mandato legal y un compromiso institucional con los derechos humanos, sino que también fortalece de manera significativa la operación, la calidad del servicio y el desarrollo profesional. Con estas acciones, el Gobierno de la Maestra Delfina Gómez Álvarez refrenda su compromiso para continuar la adhesión de personas que abonen a la construcción y fortalecimiento del tejido social. No hay etiquetas asociadas a éste artículo.</t>
  </si>
  <si>
    <t>Detienen a cuatro sujetos integrantes de una banda delictiva en Nezahualcóyotl</t>
  </si>
  <si>
    <t>2025-11-28 12:42:06</t>
  </si>
  <si>
    <t>https://diarioportal.com/seguridad-y-justicia/detienen-a-cuatro-sujetos-integrantes-de-una-banda-delictiva-en-nezahualcoyotl</t>
  </si>
  <si>
    <t>Cuatro sujetos integrantes de una banda delictiva fueron detenidos por delitos contra la salud, portación de arma de fuego y robo de motocicletas en el municipio de Nezahualcóyotl, la aeronave Coyote 1 apoyo a la ubicación de los individuos. Los hechos ocurrieron cuando policías del Grupo Metropolitano “Titanes”, realizaban un recorrido de seguridad por las calles de la colonia General Vicente Villada, donde observaron a varios sujetos a bordo de un vehículo portando un arma de fuego. Por lo que los uniformados les marcaron el alto, sin embargo los sujetos hicieron caso omiso y huyeron a toda velocidad, ante ello la policía pidió el apoyo del personal del helicóptero Coyote 1 quienes los ubicaron llegando a un domicilio. Ahí fueron detenidos cuatro sujetos identificados como Jimmy “N”, Eliud Arturo “N”, Sergio “N”. y Jesús Armando “N”, a quienes tras ser revisados se les localizó un arma de fuego hechiza calibre .22 con cartuchos, además de envoltorios con hierba verde con características de marihuana y otros envoltorios con una sustancia similar al cristal. Los individuos fueron detenidos y trasladados al Ministerio Público donde se determinará su situación jurídica por los delitos contra la salud, portación de arma prohibida y su posible relación con robo de motocicleta. De acuerdo a las autoridades se presume que los sujetos podrían estar vinculados a otros hchos delictivos. No hay etiquetas asociadas a éste artículo.</t>
  </si>
  <si>
    <t>Otro ridículo   de la FGR:  Isidro Pastor  queda libre  por falta   de pruebas</t>
  </si>
  <si>
    <t>https://diarioportal.com/seguridad-y-justicia/otro-ridiculo-de-la-fgr-isidro-pastor-queda-libre-por-falta-de-pruebas</t>
  </si>
  <si>
    <t>Tras permanecer cinco días recluido en el Centro Penitenciario de Reinserción Social Santiaguito en Almoloya de Juárez, acusado por el delito de operaciones con recursos de procedencia ilícita, la madrugada de este martes el exdirigente estatal del Partido Revolucionario Institucional (PRI) y excandidato independiente a la gubernatura del Estado de México, Isidro Pastor Medrado quedó en libertad. Durante la audiencia celebrada el día de ayer, la jueza María Yasmín Ambriz López determinó que los elementos presentados por la Fiscalía General de la República (FGR) no fueron suficientes para acreditar la responsabilidad del político mexiquense, por lo que negó la vinculación a proceso y ordenó su salida inmediata de dicho penal, lo que dio a conocer el Pastor Medrano a través de un vídeo difundido en sus redes sociales. El exdirigente estatal del PRI fue detenido la tarde del pasado viernes en cumplimiento de una orden de aprehensión por elementos de la Secretaría de Seguridad y Protección Ciudadana (SSPC) en la colonia Nueva Santa María, entre Toluca y Metepec, mientras se trasladaba a bordo de su vehículo a una reunión, por lo que fue interceptado en la carretera Toluca-Tenango, entre las calles Calvario y Juan Monroy. Los señalamientos que enfrentaba eran por operaciones con recursos de procedencia ilícita, pues las investigaciones apuntaban a que en 2013 adquirió un inmueble valuado en más de 40 millones de pesos, además de haber recibido depósitos bancarios de origen no comprobado. La Fiscalía General de la República (FGR) buscaba esclarecer el origen de estos recursos y determinar las responsabilidades legales correspondientes. Según fuentes oficiales, el caso formaba parte de una investigación más amplia sobre presuntas irregularidades financieras vinculadas a exfuncionarios mexiquenses. No hay etiquetas asociadas a éste artículo.</t>
  </si>
  <si>
    <t>Agresiones  a oficiales  de tránsito  ameritan  multas de  hasta 4 mil  500 pesos</t>
  </si>
  <si>
    <t>https://diarioportal.com/seguridad-y-justicia/agresiones-a-oficiales-de-transito-ameritan-multas-de-hasta-4-mil-500-pesos</t>
  </si>
  <si>
    <t>Con la entrada en vigor de la actualización al Reglamento de Tránsito, solo las mujeres policías de tránsito de la Secretaría de Seguridad del Estado de México (SSEM) estarán facultadas para imponer infracciones en las calles primarias del estado. Con esta medida, el gobierno del Estado de México deja claras las atribuciones de las agentes encargadas de detectar, calificar y sancionar faltas viales. La actualización del ordenamiento establece que insultar, denigrar, intimidar o agredir físicamente a las oficiales de tránsito será sancionado con multas de entre 30 y 40 UMA. Estas medidas aplican para cualquier tipo de violencia: desde amenazas verbales y agresiones físicas, hasta maniobras con el vehículo destinadas a intimidar o causar daño, tanto a las agentes como a cualquier otra persona usuaria de la vía. Las oficiales pueden identificarse por su pantalón azul, camisola blanca con distintivos naranja, así como por las unidades móviles con el mismo balizamiento. Además, cada agente cuenta con una terminal electrónica handheld, equipada con cámara e impresora, que genera la boleta de infracción en el momento, con fundamento legal, motivo de la falta, número de agente y ubicación exacta. Para brindar mayor certeza y combatir cualquier intento de corrupción, la SSEM pone a disposición la Línea de Infracción Transparente 800-900-33-00, disponible las 24 horas del día, los 365 días del año, donde las personas pueden: •	Resolver dudas sobre multas y Hoy No Circula. •	Denunciar posibles actos de corrupción por parte de agentes de tránsito. La ciudadanía puede consultar el reglamento completo en la Gaceta del Gobierno estatal en: https://legislacion.edomex.gob.mx/sites/legislacion.edomex.gob.mx/files/files/pdf/rgl/vig/rglvig079.pdf. No hay etiquetas asociadas a éste artículo.</t>
  </si>
  <si>
    <t>Caen 6 líderes de red criminal que opera en 13 municipios mexiquenses</t>
  </si>
  <si>
    <t>2025-11-25 15:47:41</t>
  </si>
  <si>
    <t>https://diarioportal.com/seguridad-y-justicia/caen-6-lideres-de-red-criminal-que-opera-en-13-municipios-mexiquenses</t>
  </si>
  <si>
    <t>Elementos de la Fiscalía General de Justicia del Estado de México (FGJEM) cumplieron un orden de aprehensión contra Cristian Jesús ‘N’ alias el ‘Gimy’ y/o ‘Jimmy’, Juan ‘N’, Guillermo ‘N’, Ricardo ‘N’, Juan Manuel ‘N’ alias “El Maya” y María del Carmen ‘N’, objetivos prioritarios de la Operación Caudal por su probable participación al ordenar la extracción, distribución y venta de agua de manera ilícita en la entidad. Los detenidos son investigados por delitos contra el servicio público y distribución del agua, homicidio, secuestro, extorsión, robo con violencia, despojo de propiedades, disparo de arma de fuego y contra la salud, por lo que podrían alcanzar penas de hasta 100 años de prisión. Eran líderes o integrantes relevantes de las organizaciones sociales con fachada de sindicatos autodenominadas Sindicato 22 de Octubre, Federación Internacional de Trabajadoras y Trabajadores Asalariados de México (FITTAM), Sindicatos Unidos por la Transformación de México (SUTMEX), La Chokiza y Somos Mayas, Somos Fuertes y/o Los Mayas, estas dos últimas aliadas de la Unión de Sindicatos y Organizaciones Nacionales de la República Mexicana (USON). Estos grupos operaban principalmente en los municipios de Acolman, Chalco, Chicoloapan, Chimalhuacán, Coacalco, Ecatepec, Ixtapaluca, La Paz, Nezahualcóyotl, Tecámac, Teotihuacán, Texcoco y Valle de Chalco. Christian Jesús “N” alias “Gimy” y/o “Jimmy”, es sexto regidor en el municipio de Chalco, es identificado como líder del Sindicato 22 de Octubre y de acuerdo con las investigaciones utilizaba su grupo delictivo para acaparar la distribución y venta ilegal de agua a través pipas irregulares, propiedad de sus integrantes, además ordenaba agredir a conductores de vehículos ajenos a su organización. Se le relaciona con la invasión de predios que, en algunos casos contaban con pozos de donde, sin los permisos oficiales, extraían agua para su comercialización, en otros casos eran viviendas despojadas a sus legítimos propietarios y entregadas a integrantes de su organización criminal, es investigado por su probable participación en la comisión de hechos delictivos de homicidio, secuestro, extorsión, robo con violencia y narcomenudeo, fue detenido el pasado 21 de noviembre. En la misma fecha fue detenido Juan ‘N’, identificado como secretario general de la FITTAM y vocero del SUTMEX, las indagatorias indican que con el fin de acaparar la distribución y el cobro ilícito del agua, ordenaba agresiones y robos con violencia en agravio de propietarios de purificadoras, así como conductores o dueños de pipas ajenas a sus grupos. Al momento de su detención le fueron aseguradas armas de fuego, cartuchos útiles de diferentes calibres y cargadores, así como bolsas con hierba verde con características similares a la marihuana. Otro detenido es Guillermo ‘N’, recibía instrucciones directas de alias “Gimy” y/o “Jimmy”, para instalar tomas clandestinas en las redes oficiales y administrar la venta y distribución del agua con el uso de pipas irregulares operadas por sus agremiados. Es señalado como un integrante relevante del Sindicato 22 de Octubre. También fue detenido Ricardo ‘N’, quien, como presunto integrante de La Chokiza, fungía como propietario de pipas y era el encargado de administrar tomas de agua clandestinas, ordenaba agresiones a conductores de pipas ajenas a su organización cometidas a través de la actividad conocida como “monta choques”, disparo de arma de fuego o privación de la libertad. Juan Manuel ‘N’ alias “El Maya”, presunto líder de la organización Somos Mayas, Somos Fuertes y/o Los Mayas, quién hasta antes de su captura era identificado como generador de violencia en Ecatepec, se desempeñó como elemento de la policía municipal de este municipio. Fue detenido el pasado 24 de noviembre y le fueron aseguradas armas de fuego y cartuchos útiles, narcóticos, una camioneta de alta gama, un vehículo y prendas de vestir con las que simulaba pertenecer a corporaciones oficiales, así como diversos identificadores de su grupo delictivo. De igual manera, fue detenida María del Carmen ‘N’, a quien se le relaciona con actividades delictivas de despojo porque facilitaba predios invadidos para que funcionarán como pensiones de pipas de agua y otros vehículos, además de ocupar viviendas de manera ilegal. Presuntamente, el 14 de diciembre del 2024, alias “El Maya” y María del Carmen “N”, junto con integrantes de Los Mayas, con la amenaza de invadir una casa-habitación ubicada en la colonia Jardines de Morelos, en Ecatepec, exigieron 200 mil pesos al legítimo propietario, pago que debía realizar a más tardar el 10 de enero del 2025, pero al no hacer el pago lo desalojaron de su inmueble amagándolo con armas de fuego. Los seis detenidos fueron ingresados a Centros Preventivos y de Readaptación Social estatales ubicados en Nezahualcóyotl, Otumba, Ecatepec y Almoloya de Juárez, donde quedaron a disposición de la Autoridad Judicial y quien definirá su situación jurídica. No hay etiquetas asociadas a éste artículo.</t>
  </si>
  <si>
    <t>Detectan  posible  desfalco  en órgano  municipal   de agua en  Ecatepec</t>
  </si>
  <si>
    <t>https://diarioportal.com/seguridad-y-justicia/detectan-posible-desfalco-en-organo-municipal-de-agua-en-ecatepec</t>
  </si>
  <si>
    <t>Una auditoría del Órgano Superior de Fiscalización del Estado de México (OSFEM), aplicada a Sapase de Ecatepec, organismo entonces dirigido por Elí Benjamín Hernández Rodríguez, detectó anomalías en el uso de 67 millones 137 mil seiscientos pesos que fueron auditados y que arrojaron 81 observaciones de conductas del Sistema Anticorrupción. La auditoría detectó erogación indebida de recursos, desvío y anomalías financieras en el presupuesto 2024 esto durante el periodo encabezado por el expresidente ahora diputado federal Fernando Vilchis Contreras. Entre las anomalías financieras destacan la inexistencia de obras, erogación indebida de recursos públicos, la no acreditación que pruebe la aplicación de los bienes adquiridos, la falta de contratos, la falta de verificación de los registros contables, la inexistencia de documentación financiera original comprobatoria y justificativa del gasto, el uso y destino de los recursos, afectación contable de la partida presupuestal. En el análisis financiero de los recursos se detectó que el organismo del agua Sapase, no ejerció la totalidad de los recursos públicos financieros autorizados para la inversión física, pudiendo haber causado un daño a la Hacienda Pública Municipal, al desconocerse el uso y destino final de los recursos. En la auditoría se enumeran múltiples adquisiones o trabajos donde no se contó con ningún elemento que acreditara la aplicación de los bienes adquiridos y que no contaban con contrato como: suministros de refacciones y materiales para realizar diferentes mantenimientos en tanques; suministro materiales de acero para cambio de coladeras, adquisición de pintura y accesorios para pozos y tanques y suministro de materiales para mantenimiento en oficinas de dicha dependencia. Ademàs de la compra de juntas de diversos tamaños y materiales para reparaciones de fugas de agua en tanques, adquisición de material para la reparación del socavones en diversas colonias, la rehabilitación de equipo de bombeo sumergible para pozos, reparación de motor eléctrico para tanques, reparación de equipo de bombeo de cárcamos y tanques Otras anomalías que se detectaron fueron compra de coladeras pluviales banqueta con rejilla de concreto, reparaciones y rehabilitaciones de diversas bombas sumergibles; diversas maniobras de instalación y desinstalación, reparaciones, rehabilitaciones de diversas bombas y tomas de videograbación, servicios de perforación de pozos de todo tipo y clase, equipamiento y los trabajos posteriores, la perforación de pozo profundo Cruz Roja y John F. Kenedy; entre otros. Esta auditoría se suma a una de tantas anomalías que el Órgano Superior de Fiscalización del Estado de México (OSFEM) detectó por millones de pesos durante la administración encabezada por el expresidente municipal Fernando Vilchis Contreras. No hay etiquetas asociadas a éste artículo.</t>
  </si>
  <si>
    <t>Se sostiene reducción de violencia en el Edomex</t>
  </si>
  <si>
    <t>2025-11-25 13:43:54</t>
  </si>
  <si>
    <t>https://diarioportal.com/seguridad-y-justicia/se-sostiene-reduccion-de-violencia-en-el-edomex</t>
  </si>
  <si>
    <t>En la Mesa de Paz, encabezada por la gobernadora Delfina Gómez Álvarez, se informó que el Estado de México acumula dos años consecutivos con reducciones sostenidas en los delitos relacionados con violencia de género, logrando una baja global del 13% del 1 de enero al 24 de noviembre de 2025, en comparación con el mismo periodo de 2024. De acuerdo con datos de la Fiscalía General de Justicia del Estado de México (FGJEM), las denuncias por delitos de violencia de género también mostraron una reducción significativa: en 2024 disminuyeron 4 mil 107 denuncias, mientras que, en 2025, la baja fue de 9 mil 362 denuncias. Por otra parte, en lo que va del año, la tendencia también es descendente por tipo de delito: feminicidio (25%), lesiones dolosas contra mujeres (20%), hostigamiento y acoso sexual (18%), homicidio doloso de mujeres (14%), violación (10%), violencia familiar (8%) e incumplimiento de obligaciones alimentarias (15%). Estos resultados se fortalecen con estrategias integrales como el Operativo Violeta, con 140 despliegues en 26 municipios, que ha beneficiado a más de 48 mil personas mediante patrullajes reforzados, atención de auxilios y recuperación de espacios públicos; y el programa Nos Movemos Seguras, que ha mejorado la respuesta ante casos de acoso en Mexibús, Mexicable y rutas concesionadas, incrementando la denuncia y la confianza de las usuarias. En la sesión 222 de la Mesa de Paz participaron Horacio Duarte Olivares, Secretario General de Gobierno; Cristóbal Castañeda Camarillo, Secretario de Seguridad; Maricela López Urbina, Secretaria Técnica; José Luis Cervantes Martínez, Fiscal General de Justicia del Estado de México; Héctor Macedo García, Presidente del Tribunal Superior de Justicia del Estado de México (TSJEM); así como representantes de Defensa, Marina, Guardia Nacional y el Centro Nacional de Inteligencia. No hay etiquetas asociadas a éste artículo.</t>
  </si>
  <si>
    <t>Líder vinculado con criminales usa protestas  transportistas para blindarse ante la ley</t>
  </si>
  <si>
    <t>bloqueo</t>
  </si>
  <si>
    <t>https://diarioportal.com/seguridad-y-justicia/lider-vinculado-con-criminales-usa-protestas-transportistas-para-blindarse-ante-la-ley</t>
  </si>
  <si>
    <t>En Ecatepec, José Neri Ortega Blancas, líder del Sindicato del Cemento, líder vinculado con Guillermo Fragoso, líder del Sindicato 25 de Marzo y USON, estaría utilizando el Mega bloqueo nacional que se lleva a cabo este día para negociar protección. Aunque son legítimas las demandas de los transportistas y campesinos, que convocaron la movilización en diversos estados del país, por la inseguridad, la extorsión y los robos que enfrentan en las carreteras y el fortalecimiento de la agricultura nacional, el caso de Ecatepec es punto y aparte. Debido a que José Neri Ortega Blancas, líder del Sindicato del Cemento, encabeza con un tinte político, los bloqueos de transportistas sobre la vía José López Portillo y la carretera Texcoco-Lechería del municipio de Ecatepec. También en el bloqueo de la carretera Texcoco-Lechería participan las rutas “Grupo Flecha Azul S.A de C.V, Ruta 95, Autobuses del Valle de México (AVM). ¿Y quién es José Neri Ortega Blancas?, pues uno de los hombres que tiene una cercanía directa con Guillermo Fragoso, líder del Sindicato 25 de marzo y USON, quien actualmente cuenta con una orden de aprehensión por delincuencia organizada y está prófugo de la justicia. Además, sostenía negocios con Juan Ortiz, líder de la Federación Internacional de Trabajadoras y Trabajadores Asalariados de México (FITTAM), quien fue detenido en días pasados por la Fiscalía General de Justicia del Estado de México (FGJEM) por los delitos de extorsión, despojo y robo de agua potable. Este trío forma parte de los Sindicatos Unidos por la Transformación de México (SUTMEX). Por ello, la movilización que encabeza en Ecatepec, sería una estrategia para presionar al Gobierno Federal y Estatal, a fin de negociar protección y evitar que salga una orden de aprensión en su contra. No hay etiquetas asociadas a éste artículo.</t>
  </si>
  <si>
    <t>Implementan  pago digital de  infracciones  con reforma  al reglamento  de tránsito  en Edomex</t>
  </si>
  <si>
    <t>https://diarioportal.com/seguridad-y-justicia/implementan-pago-digital-de-infracciones-con-reforma-al-reglamento-de-transito-en-edomex</t>
  </si>
  <si>
    <t>Con la puesta en operación este 25 de noviembre de la reforma al Reglamento de Tránsito en la entidad, las Secretarías de Seguridad y Finanzas dispondrán de diferentes formas de pago de infracciones, así como el 50% de descuento para quienes liquiden al momento o dentro de los 15 días hábiles a partir de la fecha en la que se emita o notifique la multa. En vías primarias cuando las agentes de tránsito expidan la falta, entregarán al ciudadano el original de la misma para proceder al pago, el cual podrá cubrirse de tres formas: una de ellas de manera inmediata, mediante la terminal electrónica que las agentes portan, llamada 'Handheld', la cual acepta pago con tarjeta, ya sea de crédito o débito. La segunda es en los establecimientos autorizados por la Secretaría de Finanzas, publicados en su página, como tiendas de conveniencia e instituciones bancarias. Finalmente, por medio del sitio web https://sseguridad.edomex.gob.mx, en el apartado Infracción Transparente, sección en la que se encontrará un enlace que redireccionará a un portal de la Secretaría de Finanzas. Respecto a las infracciones que derivan de equipos o sistemas tecnológicos por invasión del carril confinado y exceso de velocidad en el carril contiguo del Mexibús, se contará con un descuento del 50% dentro de los 15 días hábiles siguientes, a partir de la fecha en que la infracción haya sido notificada en el domicilio de la persona que se encuentra registrada como propietaria en el registro público vehicular correspondiente. Otra cuestión a considerar es que, cuando un vehículo tenga placas que no sean del Estado de México y no se pueda pagar la sanción al momento, las agentes de tránsito están facultadas para retener la tarjeta de circulación, licencia del conductor o la placa, como una medida que garantice el pago. Finalmente, dichos documentos podrán ser recuperados en los Servicios Administrativos más cercanos a donde se haga la retención. No hay etiquetas asociadas a éste artículo.</t>
  </si>
  <si>
    <t>Restituidos a legítimos dueños 710 inmuebles de los 1,190 asegurados por despojo en Edomex</t>
  </si>
  <si>
    <t>2025-11-23 15:55:58</t>
  </si>
  <si>
    <t>https://diarioportal.com/seguridad-y-justicia/restituidos-a-legitimos-duenos-710-inmuebles-de-los-1190-asegurados-por-despojo-en-edomex</t>
  </si>
  <si>
    <t>Desde abril hasta la fecha, a través de la Operación Restitución, en el Estado de México han sido asegurados un total de mil 190 inmuebles relacionados con el delito de despojo y contra la propiedad en 63 municipios mexiquenses, de los que 710 han sido devueltos a sus dueños legítimos. De acuerdo con la Fiscalía General de Justicia del Estado de México (FGJEM), de los 710 inmuebles devueltos hasta el momento, 650 son casa-habitación, 58 predios y dos inmuebles dedicados a locales comerciales, aunque el representante social continúa recibiendo documentación con la que los legítimos dueños acrediten la propiedad con el fin de concretar su restitución. En el periodo que comprende del 16 al 21 de noviembre, autoridades de los tres órdenes de gobierno realizaron acciones operativas en 18 municipios consistentes en técnicas de investigación de cateo e inspecciones en donde fueron aseguradas 41 propiedades. Además, desde el comienzo de las acciones de la Operación Restitución, que forma parte de la Estrategia para la Restitución de la Propiedad, se han registrado diversas denuncias por la comisión de hechos constitutivos de delito relacionados con despojos que fueron realizados en el 2024 y años previos. Para la restitución de las propiedades a sus legítimos dueños es con base en las determinaciones de los Agentes del Ministerio Público de la Fiscalía Mexiquense, lo que ha permitido agilizar los procesos para que las víctimas recuperen sus propiedades sin requerir esperar el fallo de la Autoridad Judicial. La FGJEM ha puesto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Diversos grupos delictivos, que a menudo operan bajo la fachada de sindicatos u organizaciones sociales, se han visto involucrados en el delito de despojo en el Estado de México. Estos grupos actúan en connivencia con posibles funcionarios públicos corruptos y se concentran principalmente en los municipios conurbados del Valle de México y la zona oriente de la entidad. Por ello, desde que se implementó dicha operación en la entidad, la FGJEM ha identificado al menos a cinco células delictivas dedicadas al despojo y la extorsión en 14 municipios mexiquenses. Tras las investigaciones, las autoridades han arremetido contra dirigentes de las organizaciones delictivas denominadas la Unión de Sindicatos y Organizaciones Nacionales (USON), Gestión y Organización Popular Emiliano Zapata (GOPEZ), la Unión 300 y/o Los 300, el Sindicato 22 de octubre y los Gastones. Los ataques a la propiedad privada se cometían principalmente en municipios como Atizapán de Zaragoza, Coacalco, Cuautitlán Izcalli, Ecatepec, Huehuetoca, Tecámac, Tlalnepantla y Zumpango. Es de destacar que el caso de doña Carlota, la mujer de la tercera edad que atacó a balazos a presuntos invasores de su vivienda el pasado 1 de abril, causando la muerte de dos hombres, ocurrido en el municipio de Chalco, destapó todo un entramado criminal que obligó a las autoridades a combatir el delito de despojo en el Estado de México. El despojo ha sido uno de los delitos con mayor crecimiento en territorio mexiquense, de acuerdo con datos del Secretariado Ejecutivo del Sistema Nacional de Seguridad Pública (SESNSP) advierten que el ilícito incrementó más del 68% en la entidad mexiquense. No hay etiquetas asociadas a éste artículo.</t>
  </si>
  <si>
    <t>Fiscalía Edoméx logra condena de 46 años 6 meses contra exdirector de Seguridad Pública de Acambay</t>
  </si>
  <si>
    <t>2025-11-22 14:06:50</t>
  </si>
  <si>
    <t>https://diarioportal.com/seguridad-y-justicia/fiscalia-edomex-logra-condena-de-46-anos-6-meses-contra-exdirector-de-seguridad-publica-de-acambay</t>
  </si>
  <si>
    <t>De acuerdo a la investigación iniciada por el Agente del Ministerio Público, en el mes de junio de 2024, Eulises González Hernández contrató a las víctimas para realizar diversos trabajos, por lo que, en el mes de agosto del mismo año, les ordenó vigilar una pollería ubicada en el municipio y “levantar” al dueño de dicho establecimiento. Para este hecho, el entonces comisario de Seguridad Pública de Acambay, les entregó armas de fuego. Al negarse las víctimas, el hoy sentenciado los amenazó con “meterlos a la cárcel” y hacerles daño a sus familiares. Una vez que se tuvo conocimiento de estos hechos, la Fiscalía inició la investigación que permitió identificar a Eulises como partícipe de estos hechos, por lo que fue detenido en el marco de la Operación “Enjambre”. Tras analizar los datos recabados y aportados por esta Fiscalía, un Juez emitió fallo de condena tras acreditarse la participación de Eulises en el delito de extorsión. Eulises también se encuentra dentro de las investigaciones realizadas por la Fiscalía General de Justicia del Estado de México conjuntamente con las autoridades que integran la Mesa para la Construcción de la Paz, derivado de la desaparición del Comisario de Seguridad Pública del municipio de Temascalcingo, Agustín “N”, así como de su escolta, Juan Carlos “N”. Cabe señalar que el pasado 27 de octubre, el ex servidor público fue sentenciado a 68 años y 6 meses de prisión por el delito de desaparición forzada de personas en agravio del ex Comisario de Seguridad Pública de Temascalcingo y su escolta. La Operación “Enjambre” investiga la probable relación de individuos principalmente servidores o ex servidores públicos municipales con delitos de alto impacto cometidos en la entidad por grupos criminales generadores de violencia.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</si>
  <si>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Detienen al exlíder del PRI, Isidro Pastor, por operaciones con recursos de dudosa procedencia</t>
  </si>
  <si>
    <t>2025-11-21 19:23:57</t>
  </si>
  <si>
    <t>https://diarioportal.com/seguridad-y-justicia/detienen-al-exlider-del-pri-isidro-pastor-por-operaciones-con-recursos-de-dudosa-procedencia</t>
  </si>
  <si>
    <t>El exdirigente estatal del Partido Revolucionario Institucional (PRI) en el Estado de México, Isidro Pastor Medrano, fue detenido la tarde de este viernes en cumplimiento de una orden de aprehensión por el delito de operaciones con recursos de procedencia ilícita. La detención fue realizada por elementos de la Secretaría de Seguridad y Protección Ciudadana (SSPC) en la colonia Nueva Santa María, entre Toluca y Metepec, mientras se trasladaba a bordo de su vehículo a una reunión, por lo que fue interceptado en la carretera Toluca-Tenango, entre las calles Calvario y Juan Monroy. Pastor Medrano enfrenta señalamientos por operaciones con recursos de procedencia ilícita. Las investigaciones apuntan a que en 2013 adquirió un inmueble valuado en más de 40 millones de pesos, además de haber recibido depósitos bancarios de origen no comprobado. La Fiscalía General de la República (FGR) busca esclarecer el origen de estos recursos y determinar las responsabilidades legales correspondientes. Según fuentes oficiales, el caso forma parte de una investigación más amplia sobre presuntas irregularidades financieras vinculadas a exfuncionarios mexiquenses. Después de su detención, fue remitido al Centro Penitenciario de Reinserción Social Santiaguito en Almoloya de Juárez, donde quedó a disposición de un juez federal. Pastor Medrano fue diputado local y presidente de la Gran Comisión de la LIV Legislatura del Estado de México, durante la gestión de Arturo Montiel Rojas. También fue dirigente estatal del PRI, durante su gestión organizó las elecciones de 2003 para diputados y presidentes municipales. En 2005 buscó la candidatura de su partido a la gubernatura, pero Enrique Peña Nieto le ganó la nominación, lo que le generó un distanciamiento con el tricolor, quien incluso lo llegó a expulsar como militante. Además, fue titular de la Secretaría de Movilidad (antes del Transporte) durante el sexenio de Eruviel Ávila Villegas, así como secretario de Desarrollo Metropolitano en el mismo sexenio. En 2017 buscó la candidatura a la gubernatura del Estado de México por la vía independiente, pero su candidatura fue cancelada con el argumento de que varias firmas de respaldo que había entregado al Instituto Electoral del Estado de México (IEEM) eran de personas ya fallecidas. Después de este episodio, Pastor Medrano se alejó de la política un par de años y en el año 2020 regresó como presidente del Partido Encuentro Social, donde solo estuvo unos meses. Desde junio de este año, Isidro Pastor regresó a la escena pública haciendo comentarios en las redes sociales sobre el acontecer político y social del estado. Recientemente participó en fiestas y celebraciones por el cumpleaños del exgobernador del Estado de México, Arturo Montiel Rojas, a quién le refrendó su agradecimiento y lealtad. No hay etiquetas asociadas a éste artículo.</t>
  </si>
  <si>
    <t>'Cayo de Hacha'  irá al registro de violentadores  de género por  ofensas contra  síndica en redes</t>
  </si>
  <si>
    <t>https://diarioportal.com/seguridad-y-justicia/cayo-de-hacha-ira-al-registro-de-violentadores-de-genero-por-ofensas-contra-sindica-en-redes</t>
  </si>
  <si>
    <t>El Pleno del Tribunal Electoral del Estado de México (TEEM) resolvió que el influencer Jorge Roberto Avilés Vázquez, conocido como 'Callo de Hacha' y administradores de varias páginas de Facebook, incurrieron en violencia política de género contra la primera síndica municipal del Ayuntamiento de Tlalnepantla, Yanett Maribel Soto Díaz. Por ello, ordenó que una vez que cause ejecutoria la sentencia del Procedimiento Especial Sancionador CA/51/2025, deberán ser inscritos en el Registro Estatal de Personas Sancionadas en Materia de Violencia Política Contra las Mujeres en Razón de Género durante un año y retirar de manera inmediata las publicaciones denunciadas. Además, los sancionados deberán brindar una disculpa pública y participar en un curso sobre perspectiva de género y derechos políticos de las mujeres. Soto Díaz denunció actos sistemáticos de hostigamiento, discriminación y descalificación por lo que el órgano jurisdiccional impuso sanciones contra Avilés Vázquez y los administradores de los perfiles de Facebook “Torres Piña Ricardo”, “Realeza Tlalnepantla”, “Pepe Toño R” y “Smart News”, quienes cometieron violencia política en razón de género en su vertiente simbólica, psicológica y digital, en contra de la primera síndica municipal. También hicieron alusiones a su intimidad, se denigró su capacidad profesional y se redujo su valor a “objeto”, estigmatizando su participación política bajo estereotipos de género. Por ello, el Pleno determinó que las expresiones hechas en diversas publicaciones de las redes sociales Facebook y “X”, antes Twitter, perjudicaron la dignidad e imagen pública, invisibilizaron las capacidades de la denunciante y atacaron su derecho a la intimidad, además de que incitaron a que otros internautas realizaran comentarios que la denigraron. Finalmente, determinó que Vicente Daniel Camargo Torres y el perfil de Facebook “José Hernández” no cometieron infracción alguna. Cabe señalar que los magistrados que integran el Pleno del TEEM resolvieron 15 juicios para la ciudadanía local, un procedimiento especial sancionador y un procedimiento especial ordinario. No hay etiquetas asociadas a éste artículo.</t>
  </si>
  <si>
    <t>Detienen a   7 escoltas  de Carlos  Manzo por  su probable  implicación  en su asesinato</t>
  </si>
  <si>
    <t>https://diarioportal.com/seguridad-y-justicia/detienen-a-7-escoltas-de-carlos-manzo-por-su-probable-implicacion-en-su-asesinato</t>
  </si>
  <si>
    <t>Este miércoles, la Fiscalía General de Justicia de Michoacán informó que 7 elementos de la policía municipal de Uruapan, que formaban parte del grupo de protección de Carlos Manzo, fueron detenidos por su posible participación en el homicidio de su protegido. De acuerdo con la investigación, el 1 de noviembre, durante el Festival de Velas de Uruapan, el ejecutor del alcalde se acercó, dió siete disparos a Manzo y después fue neutralizado y desarmado por los escoltas; no obstante, fue ejecutado segundos después en un presunto forcejeo. Ante los hechos, los agentes municipales fueron detenidos para indagar sobre el abatimiento sin justificación aparentemente de una pieza clave para esclarecer el caso. "Cumplimentamos orden de aprehensión en contra de siete servidores públicos del municipio de Uruapan, por su probable participación en el delito de homicidio calificado, en comisión por omisión, en agravio del presidente municipal Carlos Alberto Manzo Rodríguez", publicó la fiscalía michoacana en su cuenta de X. Cabe destacar que en días pasados se dió a conocer la captura de Jorge Armando, alias 'El Licenciado', quien habría organizado el ataque en coordinación con Ramiro 'N' y Josué 'N' (encontrados muertos en la carretera Uruapan-Paracho el 11 de noviembre), acompañando al ejecutor de Manzo, el joven de 17 años, Victor Manuel 'N', ultimado momentos después de disparar contra Manzo. Igualmente, es de resaltar que el secretario de la Defensa Nacional, General Trevilla Trejo, señaló en la conferencia de prensa del 2 de noviembre, un día después del asesinato de Manzo, que era el propio alcalde quien elegía a sus custodios; mientras que elementos de la Guardia Nacional sólo brindaban protección periférica al munícipe de Uruapan. No hay etiquetas asociadas a éste artículo.</t>
  </si>
  <si>
    <t>La democracia será sólida sólo con la garantía de igualdad entre mujeres y hombres: Gilberto Bátiz</t>
  </si>
  <si>
    <t>2025-11-20 21:54:13</t>
  </si>
  <si>
    <t>https://diarioportal.com/seguridad-y-justicia/la-democracia-sera-solida-solo-con-la-garantia-de-igualdad-entre-mujeres-y-hombres-gilberto-batiz</t>
  </si>
  <si>
    <t>La perspectiva de género no es una opción, sino una obligación judicial para eliminar desigualdades estructurales, aseguró el magistrado presidente del Tribunal Electoral del Poder Judicial de la Federación (TEPJF), Gilberto Bátiz García, en el marco de la sesión de instalación del Observatorio de Participación Política de las Mujeres en México (OPPMM). En la sede del Instituto Nacional Electoral (INE), ante la presidenta de ese organismo, Guadalupe Taddei Zavala, quien preside el OPPMM, la directora general de Relaciones Interinstitucionales, Participación Política y Social de la Secretaría de las Mujeres, Susana Ángeles Quezada, a nombre de la titular de esa dependencia, Minerva Citlalli Hernández Mora, así como representantes de la sociedad civil; Gilberto Bátiz, en su carácter de integrante permanente del organismo, refrendó el compromiso del TEPJF como aliado de las mujeres en favor de sus derechos. “La democracia mexicana será sólida en la medida que sea más igualitaria, y será más igualitaria en la medida en que las mujeres no solo participen sino que ejerzan el poder en libertad, sin violencia, sin simulaciones y con plenitud”, indicó al destacar que el TEPJF ha construido, con sentencias, criterios y estándares de desempeño con perspectiva de género, un piso jurídico en favor de la participación política de las mujeres. Enumeró los compromisos institucionales que habrán de guiar la participación del TEPJF en el OPPMM: Defender la paridad como principio constitucional irrenunciable; garantizar la tutela efectiva frente a la violencia política; impulsar criterios que reconozcan los contextos diferenciados al considerar la vulnerabilidad de las mujeres; enriquecer estándares con evidencia que haya sido generada por este propio Observatorio, y avanzar hacia una justicia electoral que sea más clara, más cercana y, sobre todo, más útil para las mujeres. Gilberto Bátiz hizo un reconocimiento a la gestión de la magistrada Mónica Soto Fregoso, cuyo trabajo, dijo, fue determinante para que “hoy hablemos de una justicia electoral que se mira y se ejerce con lentes violeta”. Bajo su mandato, agregó, se consolidaron criterios que hoy son referencia nacional y su visión como presidenta ayudó a situar la dignidad de las personas en el centro del actuar jurisdiccional y a posicionar al TEPJF como un órgano verdaderamente garante e incluyente. Al tomar la palabra, la consejera presidenta del INE, Guadalupe Taddei, resaltó que este Observatorio tiene el objetivo de renovar un pacto por la igualdad, la democracia y la justicia, y ser un referente para las niñas, las jóvenes y las mujeres, con el propósito de que se apropien del conocimiento sobre el significado y la importancia de la participación política de las mujeres. Para ello, adelantó que impulsará cuatro compromisos al frente del OPPMM: transparencia para que la ciudadanía pueda evaluar los avances en la materia; el fortalecimiento de las agendas en cada entidad federativa para que la paridad sea una realidad; la prevención y atención de la violencia política digital contra las mujeres en razón de género, y ampliar la coordinación interinstitucional para homologar criterios y rutas de prevención, atención y eliminación de la violencia política y continuar avanzando en la paridad. En tanto, la representante de la Secretaría de las Mujeres, Susana Ángeles Quezada, resaltó la importancia de las tareas que realiza el OPPMM, como monitorear los avances y los retrocesos para impulsar los derechos políticos de las mujeres, generar datos con perspectiva de género y diseñar mejores políticas públicas que permitan alcanzar y garantizar que más mujeres lleguen a cargos públicos y, sobre todo, se mantengan en el poder. Planteó la oportunidad de que el OPPMM se convierta en el espacio de articulación por excelencia para empujar el avance de los derechos políticos de las mujeres a partir de la cooperación interinstitucional de las distintas dependencias de gobierno y la sociedad civil que convergen en este organismo. El OPPMM surgió con la iniciativa del Instituto Nacional de las Mujeres (Inmujeres), hoy Secretaría de las Mujeres, el TEPJF y el INE, el 15 de octubre de 2014, en el marco del 61 Aniversario del Voto de las Mujeres en México. Su objetivo: Coordinar acciones encaminadas a promover la participación de las mujeres en espacios de toma de decisiones en el ámbito público en México, con la finalidad de lograr sinergias que cierren las brechas de género, desde un enfoque de igualdad sustantiva entre mujeres y hombres. No hay etiquetas asociadas a éste artículo.</t>
  </si>
  <si>
    <t>Se acabó el  suministro  de agua para  empresarios   que evaden  pagar servicio  en Ecatepec</t>
  </si>
  <si>
    <t>https://diarioportal.com/seguridad-y-justicia/se-acabo-el-suministro-de-agua-para-empresarios-que-evaden-pagar-servicio-en-ecatepec</t>
  </si>
  <si>
    <t>El gobierno de Ecatepec restringió el servicio de agua y drenaje a una tienda de comercio Oxxo y a la Clínica Hacienda Santa Clara por no no pagar y hacer caso omiso para su regularización, autoridades exhortaron a empresarios a regularizar sus establecimientos. Esta tarde el personal de Sapase y de Ejecución Fiscal acudieron a la tienda Oxxo ubicada en la Avenida México 127, colonia Jardines de Cerro Gordo donde colocaron sellos de restricción de servicios de drenaje y agua. Los funcionarios detallaron con anterioridad que se les había emitido un citatorio para acudir a las oficinas de Sapase a revisar su situación ante la falta de pagos y regularización. Sin embargo, ante la omisión, se procedió a la colocación de dichos sellos con el folio DCF/UNO/016/2025, número de cuenta 164053, así como la restricción de los servicios de drenaje y agua. “Ya se les había notificado, hicieron caso omiso y no acudieron a Sapase Por eso se les restringió, la encargada dice que no sabía nada, que es nueva”, comentaron. Paralelamente el personal de Sapase y del ayuntamiento en la calle Mar del Norte casi esquina con Golfo Corinto en la colonia Prados de Santa Clara, colocaron sellos de restricción de servicios a la Clínica Hacienda Santa Clara ante la falta de pago y omisión de regularización. Dicha clínica es un Centro de Rehabilitación el cual, de acuerdo con su página de Facebook, cuenta con alberca y múltiples áreas. El personal del ayuntamiento explicó que dicha acción se realiza con fundamento en la normativa vigente en materia de prestación del servicio de drenaje y alcantarillado y cumplimiento fiscal en el Estado de México. Señalaron que esta situación representa un grave incumplimiento que afecta directamente la operación del sistema hidráulico municipal, por lo que se han iniciado acciones firmes para recuperar adeudos históricos y garantizar el uso responsable de los servicios de agua y drenaje en el municipio. Días anteriores al ayuntamiento restringió los servicios a una tintorería, a una universidad Insurgentes y una empresa llamada Coacalco Park los cuales solo tenían una sola toma de agua y drenaje y debían más de un millón 300 mil pesos. El gobierno de Ecatepec exhorta a los empresarios y microempresarios a regularizar los servicios de sus  establecimientos, y que no habrá tolerancia al incumplimiento, especialmente cuando se trata de servicios esenciales. No hay etiquetas asociadas a éste artículo.</t>
  </si>
  <si>
    <t>Logra Toluca   la reducción  en robos de  vehículo más  contundente a  nivel nacional</t>
  </si>
  <si>
    <t>https://diarioportal.com/seguridad-y-justicia/logra-toluca-la-reduccion-en-robos-de-vehiculo-mas-contundente-a-nivel-nacional</t>
  </si>
  <si>
    <t>Toluca obtuvo el primer lugar nacional en la disminución porcentual del robo de vehículos, al registrar una reducción del 56.57%, informó el presidente municipal, Ricardo Moreno Bastida. Agregó que esta cifra coloca a la capital mexiquense por encima de ciudades como Mérida, Chihuahua, San Luis Potosí, Mexicali, León, Monterrey, Querétaro, Tijuana y Guadalajara, todas con poblaciones superiores a los 900 mil habitantes. Incluso, dijo, Toluca desplazó a municipios mexiquenses con mayor densidad poblacional, como Nezahualcóyotl y Ecatepec, tradicionalmente ubicados por encima en los índices de reducción de delitos. Moreno Bastida explicó que los resultados obedecen al trabajo coordinado entre los tres órdenes de gobierno, acción que han permitido fortalecer las labores de inteligencia, mejorar los tiempos de respuesta y optimizar los patrullajes preventivos en zonas de mayor incidencia. Finalmente, puntualizó que otro factor que ha sido determinante en la reducción de manera sostenida de este delito es la desarticulación de más de diez bandas dedicadas al robo de automotores, acción que también contribuyó a mejorar la percepción de seguridad entre la ciudadanía. No hay etiquetas asociadas a éste artículo.</t>
  </si>
  <si>
    <t>Sólo mujeres  policías de  tránsito serán  habilitadas  para levantar  infracciones</t>
  </si>
  <si>
    <t>https://diarioportal.com/seguridad-y-justicia/solo-mujeres-policias-de-transito-seran-habilitadas-para-levantar-infracciones</t>
  </si>
  <si>
    <t>El próximo 25 de noviembre, con la entrada en vigor de la reforma al Reglamento de Tránsito del Estado de México, las agentes de tránsito únicamente van a aplicar la infracción mínima a quienes comentan alguna falta en calles mexiquenses. De acuerdo con la publicación del Periódico Oficial Gaceta del Gobierno, la Secretaría de Seguridad del Estado de México (SSEM), conforme al artículo 122, tiene un lapso no mayor a un año desde de la puesta en marcha del ordenamiento para crear un sistema o base de datos sobre las multas cometidas por infractores. Una vez concluido, en ese tiempo o antes, la dependencia estará en posibilidad de aplicar las sanciones de rango medio y máximo previstas. Recordar que, en un ánimo colaborativo con quien cumpla su sanción, la nueva normativa elimina las multas fijas y las sustituye por rango mínimo, medio y máximo, según el historial de infracciones no liquidadas del conductor. De esta forma, quien cumple paga menos y quien acumula sanciones, paga más. Es importante mencionar que dicho sistema tendrá que contar con mecanismos de interoperabilidad con los ayuntamientos, es decir, que tenga la capacidad para intercambiar datos y compartir información, lo anterior se va a establecer mediante convenios de coordinación para homologar procedimientos y fortalecer la gestión administrativa en la materia. Asimismo, las Secretarías de Seguridad y de Movilidad brindarán a los ayuntamientos la asesoría y capacitación necesarias para facilitar su interconexión y la operación técnica del sistema. No hay etiquetas asociadas a éste artículo.</t>
  </si>
  <si>
    <t>Impiden robos por más de 500 mil pesos y detienen a 155 personas en operativos por Buen Fin</t>
  </si>
  <si>
    <t>2025-11-18 19:14:25</t>
  </si>
  <si>
    <t>robo con violencia</t>
  </si>
  <si>
    <t>https://diarioportal.com/seguridad-y-justicia/impiden-robos-por-mas-de-500-mil-pesos-y-detienen-a-155-personas-en-operativos-por-buen-fin</t>
  </si>
  <si>
    <t>Durante el operativo implementado por el Buen Fin 2025 se registró un total de 155 personas detenidas por presunta comisión de diversos delitos, así como la recuperación de más de 120 mil pesos en mercancía y casi medio millón de pesos en efectivo. De acuerdo con la Secretaría de Seguridad del Estado de México (SSEM), de las personas aseguradas, 24 estuvieron relacionadas a delitos de alto impacto como robo con violencia, extorsión, delitos contra la salud, secuestro exprés, robo a comercio, así como portación, tráfico y acopio de armas prohibidas, además de y 131 personas detenidas por delitos convencionales. Durante los cinco días en que se desarrolló dicho operativo, fueron recuperados 120 mil 343 pesos en mercancía y 496 mil 279 pesos en dinero en efectivo. Los aseguramientos involucraron artículos que habían sido sustraídos sin pago o detectados en procesos de revisión al momento de la salida de los establecimientos. También fueron aseguradas 12 armas blancas, dos réplicas de pistola, un par de armas cortas y diversos cartuchos, así como el aseguramiento de sustancias prohibidas. De igual manera, fueron remitidos 36 vehículos sin reporte de robo, de los cuáles, 15 son automóviles, 18 motocicletas y tres tractocamiones. El despliegue operativo que se implementó del 13 al 17 de noviembre contó con un estado de fuerza por parte de la SSEM de tres mil 290 elementos, 255 unidades motorizadas, 25 binomios equinos y 25 caninos. La cobertura se registró en 410 centros comerciales, 576 instituciones bancarias y dos mil 413 cajeros automáticos. Cabe mencionar que en acciones fueron apoyadas con las cámaras de videovigilancia, monitoreadas a través del Centro de Control, Comando, Comunicación, Cómputo y Calidad (C5) con sede en Toluca y Ecatepec. No hay etiquetas asociadas a éste artículo.</t>
  </si>
  <si>
    <t>Van contra  abusos de  autoridad y  corrupción  con reforma  a la FGJEM</t>
  </si>
  <si>
    <t>https://diarioportal.com/seguridad-y-justicia/van-contra-abusos-de-autoridad-y-corrupcion-con-reforma-a-la-fgjem</t>
  </si>
  <si>
    <t>Tras señalar que la Fiscalía General de Justicia del Estado de México (FGJEM) opera bajo “un modelo rancio, acartonado y con muchas irregularidades”, el diputado Octavio Martínez Vargas, presidente de la comisión Para el Seguimiento al Plan de Desarrollo del Estado de México, anunció que en próximos días presentará una iniciativa para una nueva Ley Orgánica de la Fiscalía Mexiquense. Durante el desarrollo del foro Análisis para reformar la Ley de Amnistía del Estado de México, advirtió que mientras el Poder Judicial avanza con nuevas magistraturas, jueces, órganos disciplinarios y mecanismos de administración, la FGJEM mantiene prácticas que derivan en fabricación de delitos, inconsistencias procesales y abusos documentados en todo el territorio mexiquense. “No puede seguir funcionando un viejo esquema de Fiscalía en un nuevo gobierno y un nuevo Poder Judicial”, afirmó. Adelantó que la iniciativa que presentará busca transformar a la institución a través de una reingeniería administrativa integral, controles internos eficaces, responsabilidades claras para sancionar conductas indebidas, así como la alineación con el eje uno del Plan de Desarrollo estatal: Cero Corrupción, Estado de Derecho, Gobierno del Pueblo y para el Pueblo. La propuesta surge, dijo, a partir de las denuncias y testimonios de víctimas que narran omisiones, negligencias y corrupción dentro de la Fiscalía Mexiquense. Tras resaltar que en la Ley de Amnistía estatal las víctimas irán al centro del análisis, Martínez Vargas destacó que la población penitenciaria creció de 18 mil personas en 2015 a 39 mil en 2025, sin mejoras proporcionales en infraestructura o procesos de investigación. Recordó que el Congreso Mexiquense ya tipificó diversas conductas, entre ellas, el despojo que ahora es delito grave, los montachoques que ya tendrán una penalización específica, la usura que fue incorporada al Código Penal y esta por aprobarse el delito de fabricación de delito para servidores públicos de la FGJEM y del Poder Judicial. Resaltó que este foro debe ser el inicio de soluciones, por lo que reconoció el esfuerzo de quienes viajaron desde múltiples municipios y aseguró que el Congreso trabajará para materializar reformas concretas, tanto a la Ley de Amnistía como a la estructura de la Fiscalía Mexiquense. “Hoy inicia una ruta para corregir injusticias y responder a lo que las víctimas han vivido durante años”, concluyó. Cabe señalar que al foro asistieron familiares de personas privadas de la libertad, defensores públicos, organizaciones civiles y especialistas en la materia. No hay etiquetas asociadas a éste artículo.</t>
  </si>
  <si>
    <t>Cochinero  de Vilchis  en Ecatepec : detectan  gasto de  1,516 mdp  sin justificar  durante su  gestión en  ayuntamiento</t>
  </si>
  <si>
    <t>https://diarioportal.com/seguridad-y-justicia/cochinero-de-vilchis-en-ecatepec-detectan-gasto-de-1516-mdp-sin-justificar-durante-su-gestion-en-ayuntamiento</t>
  </si>
  <si>
    <t>Dos auditorías realizadas por el Órgano Superior de Fiscalización del Estado de México (OSFEM) revelaron irregularidades por un monto conjunto de mil 516 millones 801 pesos en el gobierno municipal de Ecatepec, durante el periodo 2024 que encabezó el exalcalde, Fernando Vilchis Contreras. De acuerdo con el documento, las severas anomalías financieras fueron en 69 observaciones relacionadas con el Sistema Anticorrupción, durante el periodo 2024 que encabezó el hoy diputado federal por el PT Fernado Vilchis y el presidente interino Jesús Palacios. Entre las anomalías financieras destacan la erogación de recursos sin la existencia de contratos y sin comprobar que los servicios u obras se hayan realizado, utilización de partidas de gasto incorrectas, traspasos presupuestarios externos, modificación al presupuesto, falta de documentación financiera original comprobatoria y justificativa del gasto, verificación de los registros contables y la inexistencia ejecución de los trabajos objeto del contrato. Las auditorías corresponden al 'Estado de Situación Financiera', donde se auditaron 944 millones 367 mil pesos y en la auditoría de 'Inversión Física' se auditaron 572 millones 434 mil pesos del presupuesto anual que en 2024 ascendió a 6 mil 786 millones 970.6 pesos. Además, una auditoría se advierte que el análisis financiero se concluye que el ayuntamiento ejerció indebidamente recursos públicos, superiores a lo señalado, además de que durante la ejecución de los trabajos de auditoría, no contó con evidencia legal que compruebe y justifique la aplicación del supuesto normativo. En efecto las auditorías en conjunto equivalen a un monto de mil 516 millones 801 pesos, de las cuales no contó con evidencia documental legal que compruebe las fuentes de ingresos y el monto específico para cubrir el balance presupuestario negativo. Asimismo en el documento de la auditoría de 'Inversión Física' se detectaron 50 anomalías entre las que destacan la adquirió de mezcla asfáltica en caliente, bacheo de pavimento de concreto, emulsión asfáltica para bacheo y programa de reciclado de vialidades, que adquirió y pagó. También hay observaciones en las que supuestamente adquirió luminarias Tlahuilli del programa de alumbrado público donde se detectó que se erogó indebidamente recursos públicos financieros propios ya que no se contó con ningún elemento legal comprobatorio o justificativo original que acredite la existencia del contrato. Otros rubros donde hubo anomalías son el servicio de cambio de caja de inspección con botonera de cabina y cable viajero de un elevador que se ubica en palacio municipal, renta de vactor para trabajos de desazolve, renta de malacate. Así como el mantenimiento preventivo de 3 elevadores ubicados en el interior de palacio municipal, rehabilitación de parque público en la colonia Mexicalco y la rehabilitación de pavimento con asfalto de calle Melchor Ocampo en colonia Petroquímica 1. Se detectaron anomalías en la rehabilitación de parque público, colonia Lomas de Atzolco y Texalpa y deportiva de Obrero Jajalpa, en la rehabilitación de pavimento en San Pedro Xalostoc, la construcción de techado en área de impartición de educación física en CBTIS No. 29, colonia Ejidal Emiliano Zapata. En la segunda auditoría 'Estado de Situación Financiera' se encontraron 19 anomalías financieras en la adquisición de enseres de oficina, productos alimenticios para personas, productos alimenticios para animales, material y enseres de limpieza, materiales, accesorios y suministros médico, combustibles, lubricantes y aditivos los cuales no contaron con un contrato ni hubo evidencia de que lo adquirido haya sido entregado. Por último, también se señaló que en el arrendamiento de vehículos se concluyó que el ayuntamiento ejerció indebidamente recursos públicos, en virtud de que durante la ejecución de los trabajos de auditoría no se contó con la evidencia legal comprobatoria y justificativa, que acredite la entrega de los bienes o servicios; ademàs de que no hubo un contrato. No hay etiquetas asociadas a éste artículo.</t>
  </si>
  <si>
    <t>Abren proceso  penal contra  el exdirector  del TRIJAEM  por presunta  participación   en el desvío de   más de 32 mdp</t>
  </si>
  <si>
    <t>https://diarioportal.com/seguridad-y-justicia/abren-proceso-penal-contra-el-exdirector-del-trijaem-por-presunta-participacion-en-el-desvio-de-mas-de-32-mdp</t>
  </si>
  <si>
    <t>Un juez del Poder Judicial vinculó a proceso a Tomás 'N', exdirector de Administración del Tribunal de Justicia Administrativa del Estado de México (TRIJAEM), investigado por su probable intervención en el hecho delictivo de abuso de confianza en agravio de dicho órgano autónomo. Luego de analizar los datos aportados por la Fiscalía General de Justicia del Estado de México (FGJEM), la autoridad judicial determinó la posible participación de Tomás 'N' en este ilícito, por lo que concedió un plazo de dos meses para el cierre de investigación complementaria y la medida cautelar de prisión preventiva. De acuerdo con las investigaciones, los hechos se registraron el 1 de diciembre de 2023, cuando, en su carácter de Director de Administración del TRIJAEM, presumiblemente aprovechó la confianza y la responsabilidad conferidas a su cargo para disponer indebidamente de recursos públicos y realizar transferencias electrónicas a cuentas de terceros, en conjunto con Omar 'N', entonces jefe del Departamento de Servicios Financieros y otros involucrados. Ese día, entre las 12:09 y las 14:14 horas., fueron realizadas 29 operaciones electrónicas con cargo a la cuenta institucional de Tribunal, por un monto total de 32 millones 482 mil 330 pesos, sin autorización o justificación legal alguna, de estas operaciones, 25 fueron realizadas con el dispositivo de seguridad bancario tipo token 002 asignado a Tomás 'N', y cuatro más con el token 003, utilizado por Omar 'N'. Por ello, la Fiscalía Mexiquense solicitó información y diversa documentación a la institución que maneja la cuenta bancaria relacionada con los mismos, adicionalmente solicitó información a la Unidad de Inteligencia Financiera (UIF), así como a la Comisión Nacional Bancaria y de Valores (CNBV), de igual forma analizaron datos con respecto a las cuentas a donde fueron depositados los recursos, así como diversas entrevistas recabadas por el Agente del Ministerio Público. Los actos de investigación lograron establecer que las 29 transferencias electrónicas realizadas desde la cuenta del TRIJAEM  fueron a cuentas bancarias de beneficiarios que no son empleados ni proveedores, además de que dos de las cuentas receptoras fueron aperturadas el 28 de noviembre de 2023, es decir, tres días antes de que recibieran las transferencias, lo que es un indicio relevante de que fueron creadas exclusivamente para recibir y dispersar los recursos sustraídos. Sobre el resto de las cuentas beneficiarias, la FGJEM indicó que aún está en trámite la obtención de información sobre la fecha de apertura, pero se ha acreditado que todas las cuentas fueron dadas de alta en el portal bancario institucional como beneficiarias de transferencias del TRIJAEM el mismo día y con diferencia de pocos minutos entre cada registro, lo cual evidencia una clara coordinación para realizar las operaciones en un corto lapso de tiempo con el fin de dificultar su rastreo y control. No hay etiquetas asociadas a éste artículo.</t>
  </si>
  <si>
    <t>Egresa la 1ª  generación  de policías  de proximidad  del Edomex,  reforzarán la  seguridad en  municipios  con mayor  índice delictivo</t>
  </si>
  <si>
    <t>https://diarioportal.com/seguridad-y-justicia/egresa-la-1-generacion-de-policias-de-proximidad-del-edomex-reforzaran-la-seguridad-en-municipios-con-mayor-indice-delictivo</t>
  </si>
  <si>
    <t>El Estado de México consolidó un avance significativo en la profesionalización de sus fuerzas de seguridad con la graduación de los primeros 148 policías de proximidad, egresados del Curso de Formación Inicial diseñado para combinar orden, disciplina y precisión operativa con un enfoque de atención directa a la ciudadanía. La gobernadora Delfina Gómez Álvarez encabezó la ceremonia de clausura de esta primera generación, que se integrará a una unidad especial enfocada en atender municipios prioritarios mediante acciones de prevención, acompañamiento y respuesta inmediata. Durante seis meses, el grupo recibió formación intensiva en el Centro de Adiestramiento Especializado de la Policía Militar, completando mil 109 horas de instrucción estructuradas en: • Instrucción física y disciplina institucional Este esquema permite que la disciplina adquirida fortalezca la actuación responsable, el orden y el sentido del servicio, mientras que la capacitación en proximidad social refuerza habilidades de diálogo, mediación y atención directa a la comunidad. La combinación de ambos componentes consolida una policía más preparada, profesional y cercana. Presencia especializada en zonas de atención prioritaria Esta generación será desplegada en zonas estratégicas con mayor incidencia delictiva para apoyar labores de prevención, mejorar la convivencia y ofrecer una respuesta más ágil ante situaciones de riesgo. El programa forma parte del eje transversal 'Construcción de la Paz y Seguridad', que impulsa una fuerza estatal más capacitada y con herramientas modernas para servir a los 125 municipios y a los casi 18 millones de habitantes del Estado de México. Al finalizar la demostración operativa, la gobernadora felicitó personalmente a las familias del nuevo personal policial. En el evento también estuvieron presentes el secretario general de gobierno, Horacio Duarte Olivares; el Comandante de la Guardia Nacional, General de División Hernán Cortés Hernández; el Titular de la Secretaría de Seguridad estatal, Cristóbal Castañeda Camarillo; el Comandante de la 37 Zona Militar, General de Brigada Lucio Vergara Gómez; el Comandante de la 22 Zona Militar, General de Brigada Armando López Esquivel; el Fiscal General de Justicia del Estado de México, José Luis Cervantes Martínez; y la Secretaria Técnica de la Mesa de Paz, Maricela López Urbina. No hay etiquetas asociadas a éste artículo.</t>
  </si>
  <si>
    <t>Estrategia de seguridad de la Mesa de Paz efectiva en EdoMéx; baja 32% homicidio doloso en lo que va del año</t>
  </si>
  <si>
    <t>2025-11-17 12:57:51</t>
  </si>
  <si>
    <t>https://diarioportal.com/seguridad-y-justicia/estrategia-de-seguridad-de-la-mesa-de-paz-efectiva-en-edomex-baja-32-homicidio-doloso-en-lo-que-va-del-ano</t>
  </si>
  <si>
    <t>Resultado de la estrategia de seguridad coordinada en la Mesa de Paz que encabeza diariamente la Gobernadora Delfina Gómez Álvarez, en el Estado de México disminuyó 32% el delito de homicidio doloso, de enero a la fecha, en comparación con el mismo periodo del 2024, de acuerdo con información de la Fiscalía General de Justicia en la entidad (FGJEM). “Esta mañana presidí la Mesa de Paz en #Huehuetoca. En esta reunión, la Fiscalía General de Justicia del Estado de México compartió que en el #EdoMéx se presenta una disminución del 32 % en el delito de homicidio doloso en lo que va del año y en comparación a 2024. Con acciones coordinadas, avanzamos en la ruta de la paz para las familias mexiquenses”, dijo la Gobernadora Delfina Gómez en sus redes sociales. La baja en este delito de alto impacto, es respuesta al trabajo coordinado de los tres niveles de gobierno, el cual se fortalece con la capacitación y equipamiento de policías para mejorar la vigilancia en los 125 municipios mexiquenses, transformando la entidad en un lugar que impulsa el desarrollo integral de sus habitantes. En la Mesa 216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t>
  </si>
  <si>
    <t>Concentran  4 municipios  mayoría de   reportes por   intento de   ciberdelitos  en Edomex</t>
  </si>
  <si>
    <t>acoso</t>
  </si>
  <si>
    <t>https://diarioportal.com/seguridad-y-justicia/concentran-4-municipios-mayoria-de-reportes-por-intento-de-ciberdelitos-en-edomex</t>
  </si>
  <si>
    <t>Al atender y dar seguimiento a diversas llamadas relacionadas con hechos delictivos, del 1 de enero al 11 de noviembre de 2025, la Policía Cibernética de la Secretaría de Seguridad del Estado de México (SSEM) han atendido 18 mil 768 denuncias. De acuerdo con los registros las causas que más se reciben son por cobranza ilegítima a través de amenazas con 4 mil 307 reportes, por acoso cibernético 4 mil 48 casos, 2 mil 387 denuncias por robo de contraseña, mil 599 por fraudes a comercio electrónico y mil 470 por extorsión cibernética; en conjunto representan un 74% del total. Además, los municipios con mayores reportes generados son Ecatepec con mil 759 casos, Toluca con mil 737 denuncias, Naucalpan 972, Nezahualcóyotl con 902 casos y Cuautitlán Izcalli con 859 reportes. Además, sobre llamadas fraudulentas que aparentemente provienen del extranjero, ha atendido 80 reportes. Del total de denuncias reportadas, con respecto al género y edad, detectaron que dos mil 947 víctimas son mujeres dentro del rango de edad de 30 a 37 años y mil 614 son hombres de entre 38 a 49 años. Ante estos casos, esta área de la dependencia estatal, a través de su personal, brinda asesoría y asistencia a fin de orientar a los usuarios sobre cómo actuar y evitar ser afectados por dichas actividades ilícitas. Entre las recomendaciones emitidas a los ciudadanos, pide cuidar la información que se publica en redes sociales, cuidar las contraseñas de con quién se comparten y en presencia de quién se accede a sus cuentas; evitar compartir contraseñas y accesos a cuentas; así como proteger las cuentas personales al verificar y monitorear su uso e identificar si están vinculados dispositivos desconocidos. También, pide no creer en ofertas que suelen ser engañosas, que aparecen en algunos sitios web o en apps que las publicitan; además de tener cuidado con los sitios engañoso al verificar antes de hacer clic en los hipervínculos o enlaces adjuntos, ya que de forma oculta podrían dirigir a un sitio malicioso. La dependencia estatal hizo un llamado a la ciudadanía a comunicarse de inmediato en caso de que se presente una situación que atente contra su integridad y patrimonio, por lo que los canales de denuncia son el número telefónico 722 275 83 33 y el correo electrónico cibernética.edomex@ssedomex.gob.mx. Finalmente, la SSEM indicó que con estas acciones trabaja para garantizar la seguridad de los mexiquenses en todos los ámbitos y previene actos ilícitos que laceran a la sociedad. No hay etiquetas asociadas a éste artículo.</t>
  </si>
  <si>
    <t>Despliegan 900 elementos policiales para resguardar la seguridad durante Buen Fin en Toluca</t>
  </si>
  <si>
    <t>2025-11-13 19:11:18</t>
  </si>
  <si>
    <t>https://diarioportal.com/seguridad-y-justicia/despliegan-900-elementos-policiales-para-resguardar-la-seguridad-durante-buen-fin-en-toluca</t>
  </si>
  <si>
    <t>Con el objetivo de brindar seguridad a la población, orden vial y desarrollo tranquilo de las actividades comerciales durante uno de los fines de semana más esperados del año, el gobierno Municipal de Toluca puso en marcha el Operativo Buen Fin 2025 en las instalaciones de conocida plaza comercial. El dispositivo instruido por el presidente municipal, Ricardo Moreno Bastida contempla el despliegue de más de 900 elementos, el uso de 800 cámaras de videovigilancia, cuatro torres de monitoreo y drones tácticos que reforzarán la supervisión aérea y la respuesta operativa en tiempo real. El operativo que inició a partir de este jueves 13 y concluirá el próximo lunes 17 de noviembre, tiene como misión proteger la integridad física y patrimonial de los ciudadanos, visitantes y comerciantes, además de garantizar la movilidad segura en las principales avenidas y zonas comerciales del municipio. En las acciones participarán 500 elementos de la Dirección Operativa y 400 de la Dirección de Sustentabilidad Vial, quienes realizarán patrullajes preventivos y labores de control vehicular en los puntos de mayor afluencia. A estas tareas se suman efectivos de la Secretaría de Seguridad del Estado de México (SSEM) y de la Guardia Nacional, con el propósito de reforzar la cobertura y fortalecer la coordinación interinstitucional para brindar mayor protección a la población. Las labores de vigilancia se concentrarán en avenidas estratégicas como Vicente Villada, Nicolás Bravo, Mariano Matamoros, Galeana, Allende, Hidalgo, 5 de Febrero, Independencia y Morelos, donde también permanecerá en alerta el grupo Troyanos, especializado en reacción inmediata ante cualquier eventualidad. El Centro de Mando Municipal coordinará el dispositivo mediante 800 cámaras de videovigilancia, cuatro torres móviles y drones tácticos, herramientas tecnológicas que permitirán monitorear el desarrollo de las actividades comerciales y garantizar una respuesta oportuna ante cualquier incidente, se recuerda los números de emergencia 911 y denuncia anónima 089. No hay etiquetas asociadas a éste artículo.</t>
  </si>
  <si>
    <t>Baja 31% el  promedio  diario de  homicidios  del Edomex  en 10 meses</t>
  </si>
  <si>
    <t>https://diarioportal.com/seguridad-y-justicia/baja-31-el-promedio-diario-de-homicidios-del-edomex-en-10-meses</t>
  </si>
  <si>
    <t>Gracias a las estrategias de seguridad de la Mesa de Paz, encabezada por la gobernadora Delfina Gómez Álvarez, en el Estado de México se logró una disminución del 31% en el promedio diario de homicidios dolosos, de enero a octubre del 2025, en comparación con el mismo periodo del año pasado. “El trabajo coordinado nos permite avanzar en la construcción de entornos seguros. Hoy, en la Mesa de Paz se destacó que el #EdoMéx presenta una disminución de 31.2% del promedio diario de homicidio doloso, durante enero a octubre, en comparación al mismo periodo de 2024”, indicó la Gobernadora Delfina en sus redes sociales. De acuerdo con información del Secretariado Ejecutivo del Sistema Nacional de Seguridad Pública (SESNSP), la entidad se posiciona en el octavo lugar a nivel nacional de los 26 estados del país que han avanzado en la baja del promedio diario de este ilícito de alto impacto. El resultado deriva del trabajo coordinado de los tres niveles de gobierno, quienes a diario promueven acciones para brindar seguridad y mejorar la calidad de vida de las y los mexiquenses en los 125 municipios, transformando al Estado de México en un lugar digno para vivir, transitar, estudiar, trabajar e invertir. En la Mesa 214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t>
  </si>
  <si>
    <t>Alcaldesa de Capulhuac detenida por violentar a trabajadora puede elegir un sustituto</t>
  </si>
  <si>
    <t>2025-11-12 18:58:28</t>
  </si>
  <si>
    <t>https://diarioportal.com/seguridad-y-justicia/alcaldesa-de-capulhuac-detenida-por-violentar-a-trabajadora-puede-elegir-un-sustituto</t>
  </si>
  <si>
    <t>Aunque Selenne ‘N’, alcaldesa constitucional de Capulhuac, pero con licencia, sigue encarcelada por agredir física y psicológicamente a una trabajadora del DIF municipal, los magistrados de la Sala Regional Toluca del Tribunal Electoral del Poder Judicial de la Federación (TEPJF) determinaron que tiene facultades para proponer a su sustituto en la presidencia municipal. Los magistrados confirmaron la resolución emitida por el Tribunal Electoral del Estado de México (TEEM) que señala que aunque sigue encarcelada todavía no ha recibido una sentenciada firme, por lo que no ha perdido sus derechos políticos-electorales. Reiteraron que mantiene las atribuciones legales derivadas de su encargo, entre ellas la de presentar propuestas ante el cuerpo edilicio, por lo que la alcaldesa con licencia solicitó que Jesús Galicia García, cuarto regidor, asuma las riendas del Ayuntamiento como presidente municipal. El TEPJF consideró que no existe impedimento jurídico para que la alcaldesa con licencia ejerza esta facultad, pues el proceso penal que enfrenta no suspende sus derechos políticos-electorales hasta que se emita una resolución definitiva por parte de la autoridad judicial competente. Es de recordar que Selenne ‘N’ fue vinculada a proceso derivado de una denuncia interpuesta por una presunta agresión en contra de una servidora pública municipal, hechos que ocurrieron el pasado 2 de mayo, sin embargo, los magistrados reiteraron que dicho proceso no constituye causal automática de suspensión del ejercicio de sus derechos político-electorales y tampoco de sus facultades administrativas como presidenta municipal electa. Hasta antes de la resolución, el cargo de alcaldesa era desempeñado por Sarita Arellano Hernández, tercera regidora del ayuntamiento, quien fungía como presidenta municipal por ministerio de ley durante la licencia de Selenne ‘N’. No hay etiquetas asociadas a éste artículo.</t>
  </si>
  <si>
    <t>Piden retrasar  entrada en   escuelas ante  frío intenso</t>
  </si>
  <si>
    <t>https://diarioportal.com/seguridad-y-justicia/piden-retrasar-entrada-en-escuelas-ante-frio-intenso</t>
  </si>
  <si>
    <t>Ante las bajas temperaturas en la entidad mexiquense, la Unión Nacional de Padres de Familia del Estado de México solicitó a las autoridades de la Secretaría de Educación, Ciencia, Tecnología e Innovación estatal retrasar el horario escolar de entrada de los alumnos de preescolar y primaria. El representante de la Unión de Padres, Javier Agustín Velasco, agregó que dicha petición tiene el propósito de prevenir enfermedades respiratorias entre los estudiantes y evitar riesgos durante los traslados matutinos. Señaló que el frío ha sido especialmente severo este año y podría intensificarse en las próximas semanas, por lo que mantiene alertas a las comunidades ubicadas en zonas altas donde las temperaturas han descendido hasta los cero grados centígrados, lo que ha generado heladas, niebla y complicaciones para el transporte escolar. Indicó que padres de familia y docentes han reportado una disminución significativa en la asistencia escolar, particularmente en municipios de alta montaña como Toluca, Zinacantepec, San José del Rincón, Villa Victoria, Amanalco, Temascaltepec y El Oro, donde el clima ha afectado la salud de los niños porque se han incrementado los casos de gripe, faringitis y bronquitis. Agustín Velasco precisó que si bien la Secretaría de Educación estatal recientemente implementó el horario de invierno que retrasa 30 minutos la entrada y salida en los niveles de preescolar, primaria y secundaria, esta medida resulta insuficiente ante el actual descenso de temperaturas, por lo que propone ampliar el horario flexible en las regiones más frías de la entidad. Indicó que, de acuerdo con los reportes de padres de familia, muchos estudiantes deben salir de casa antes de las siete de la mañana, horario en el que el frío es más intenso, por lo que llegar a clases representa un riesgo adicional para su salud, además algunos planteles carecen de instalaciones adecuadas para enfrentar las condiciones invernales, lo que agrava el malestar entre los alumnos. Por último, dijo, en la organización esperan una respuesta oficial de la Secretaría de Educación, Ciencia, Tecnología e Innovación del Estado de México en los próximos días, para definir si se aplicarán ajustes temporales en los horarios de ingreso y salida, especialmente en las zonas con temperaturas más extremas del territorio mexiquense. No hay etiquetas asociadas a éste artículo.</t>
  </si>
  <si>
    <t>Azucena da  banderazo   a operativo   de seguridad  en Ecatepec  por Bien Fin</t>
  </si>
  <si>
    <t>https://diarioportal.com/seguridad-y-justicia/azucena-da-banderazo-a-operativo-de-seguridad-en-ecatepec-por-bien-fin</t>
  </si>
  <si>
    <t>Más de Mil elementos de policía municipal, estatal, Marina y Guardia Nacional vigilarán la seguridad de los habitantes del municipio de Ecatepec en este próximo Buen Fin, el operativo de seguridad se llevará a cabo del 11 al 17 de noviembre. La presidenta municipal, Azucena Cisneros Coss, informó que el operativo tiene la intención de brindar seguridad a las familias que acuden a plazas y zonas comerciales y evitar actos delictivos. El banderazo se llevó a cabo en el Centro Comercial Las Américas. Participan cerca de mil elementos de la policía municipal, estatal, Marina y Guardia Nacional. Ahí Cisneros Coss explicó que el dispositivo de seguridad se implementa en los principales centros comerciales como son Patio Ecatepec, Plaza Ecatepec Plaza Cerro Gordo, Pabellón Ecatepec, Gran Patio Ecatepec, Centro Las Américas, Paseo Ventura, Super Plaza Ecatepec, Plaza Aragón y Center Plaza. Así como mercados, tianguis, sucursales bancarias y avenidas principales como Vía Morelos, Avenida Central, López Portillo por mencionar algunas. Las autoridades de esta localidad recomendaron a los vecinos a verificar que los productos que se adquiera estén en óptimas condiciones, informarse de las políticas de garantía, devolución y cancelación de los productos, guardar siempre los comprobantes de compra, si se paga en efectivo, revisar que los billetes tengan textura y relieves para confirmar su autenticidad. No hay etiquetas asociadas a éste artículo.</t>
  </si>
  <si>
    <t>Se registran  42% menos  homicidios  diarios en  el Edomex</t>
  </si>
  <si>
    <t>https://diarioportal.com/seguridad-y-justicia/se-registran-42-menos-homicidios-diarios-en-el-edomex</t>
  </si>
  <si>
    <t>Durante la conferencia matutina de la presidenta Claudia Sheinbaum Pardo, se destacó la reducción del 42% en el promedio diario de homicidios dolosos en el Estado de México, resultado de la estrategia integral de seguridad impulsada en las Mesas de Paz que encabeza la gobernadora Delfina Gómez Álvarez. “Presidí la Mesa de Paz de este día, en Palacio de Gobierno, donde dimos seguimiento a la #MañaneraDelPueblo en la cual se compartió que en el Estado de México se registra una disminución de 42% en el promedio diario de homicidio doloso, de septiembre de 2024 a octubre de 2025. Trabajamos por un #EdoMéx seguro y tranquilo para todas y todos. #ElPoderDeServir”, escribió la gobernadora Delfina Gómez en sus redes sociales. El informe presentado por la Secretaria Ejecutiva del Sistema Nacional de Seguridad Pública, Marcela Figueroa Franco, mostró que la entidad ha dejado de ocupar los primeros lugares de violencia letal, al pasar del segundo al quinto sitio nacional, con una disminución constante durante los últimos trece meses. En el comparativo de septiembre de 2024 a octubre de 2025, el Estado de México redujo el promedio diario de 6.63 a 3.87 homicidios, una baja del 42%. El gobierno mexiquense resalta que esta tendencia se debe a la coordinación permanente de la Mesa Paz, integrada por autoridades federales, estatales y municipales, así como a acciones focalizadas en los municipios de mayor incidencia. En la Mesa de Paz número 212 del año participaron Horacio Duarte Olivares, Secretario General de Gobierno; Cristóbal Castañeda Camarillo, Secretario de Seguridad; Maricela López Urbina, Secretaria Técnica de la Mesa de Paz; José Luis Cervantes Martínez, Fiscal General de Justicia del Estado de México; Héctor Macedo García, Presidente del Poder Judicial del Estado de México; Víctor Leopoldo Delgado Pérez, Presidente de la CODHEM, así como representantes de la Defensa, Marina, Guardia Nacional y el Centro Nacional de Inteligencia. No hay etiquetas asociadas a éste artículo.</t>
  </si>
  <si>
    <t>Detienen al  exdirector  del TRIJAEM  por presunta  participación  en el desvío  de 32 mdp</t>
  </si>
  <si>
    <t>https://diarioportal.com/seguridad-y-justicia/detienen-al-exdirector-del-trijaem-por-presunta-participacion-en-el-desvio-de-32-mdp</t>
  </si>
  <si>
    <t>Elementos de la Fiscalía General de Justicia del Estado de México (FGJEM) detuvieron a Tomás 'N', ex director de Administración del Tribunal de Justicia Administrativa del Estado de México (Trijaem). A través de sus redes sociales, la FGJEM dio a conocer que le fue cumplimentada una orden de aprehensión por su probable intervención en el delito de abuso de confianza, en agravio del referido órgano autónomo, ya que presuntamente realizó, en colaboración con otros sujetos, transferencias bancarias por un monto de 32 millones 482 mil 330 pesos. De acuerdo con la dependencia, envió dichos recursos a diversos destinatarios mediante el uso de dispositivos electrónicos con los que manejaba la cuenta bancaria del TRIJAEM, con lo que habría aprovechado la confianza y responsabilidades inherentes a su cargo. Por ello, la Fiscalía Mexiquense continúa la investigación por estos hechos. Cabe señalar que en el pasado mes de agosto fue detenido por este mismo hecho Omar 'N', quien se desempeñó como Jefe del Departamento de Servicios Financieros del Trijaem, acusado por su probable intervención en el delito de abuso de confianza, en agravio de dicho órgano autónomo. Los hechos que se le imputan ocurrieron el 1 de diciembre de 2023, cuando, presuntamente se aprovechó de la confianza y responsabilidades inherentes a su cargo para intentar realizar transferencias bancarias por la cantidad referida. Después del hecho, el Tribunal de Justicia Administrativa del Estado de México (Trijaem) reconoció el hackeo de una de sus cuentas bancarias, acción mediante la que, se dijo entonces, fueron sustraídos alrededor de 30 millones de pesos, por lo que presentó una denuncia ante la FGJEM tras detectar movimientos no reconocidos en sus cuentas bancarias. La Fiscalía Mexiquense inició la carpeta de investigación 496/2023 y en contra de quien resulte responsable, por falsificación y utilización indebida de títulos al portador, documentos de crédito público y documentos relativos al crédito, en agravio de la fe pública Además, lograron el congelamiento inmediato de los movimientos financieros ante la Comisión Nacional Bancaria y de Valores y solicitó, con la intervención del juez, un informe sobre la pertenencia de los números de cuenta receptora. El Trijaem aseguró que la institución bancaria realizó el reintegro total de los recursos comprometidos, evitando un daño patrimonial gracias a que, hasta ese día, no se habían concretado las transferencias y los movimientos se registraban "en tránsito". No hay etiquetas asociadas a éste artículo.</t>
  </si>
  <si>
    <t>Gobierno de Ecatepec recupera 198 millones de litros de agua que era hichicoleada</t>
  </si>
  <si>
    <t>2025-11-10 20:00:44</t>
  </si>
  <si>
    <t>https://diarioportal.com/seguridad-y-justicia/gobierno-de-ecatepec-recupera-198-millones-de-litros-de-agua-que-era-hichicoleada</t>
  </si>
  <si>
    <t>Huachicoleros en Ecatepec se robaban más de 198 millones de litros de agua al mes, lo que equivale a más de 20 mil pipas de 10 mil litros, así lo informó la presidenta municipal Azucena Cisneros Coss. La presidenta municipal Azucena Cisneros Coss, informó que tras el Operativo Caudal donde se intervinieron 11 inmuebles, y se logró la recuperación de más de 198 millones de litros de agua que se extraían al mes clandestinamente. Dijo que desde el primer día de su gobierno ha realizado el combate firme frontal al huachicoleo del agua, el cual fue una de las formas de corrupción más dañinas que ha sufrido el municipio y que gobiernos anteriores lo solaparon. Explicó que gobiernos anteriores como el de Fernando Vilchis Contreras solapaba el robo del agua, el cual estaba liderados por organizaciones y sindicatos que la comercializaban el líquido a elevados costos. Explicó que tan solo de un pozo extraían 600 mil litros de agua al día, lo que equivale de los 11 tomas alrededor de 198 millones de litros al mes. Aseguró que tras la suspensión de dichas tomas clandestinas ahora el caudal mejoró en las zonas y con mayor presión el agua llega a los hogares. Dijo que gracias a todas las acciones más de 300 mil habitantes de Ecatepec, han recuperado el agua por la red  y dejó de ser un negocio para solo unos cuantos. “Gracias a todas las acciones más de 300 mil habitantes de Ecatepec, han recuperado el agua por la red, esa era la magnitud del robo, hoy esa agua vuelve a los hogares una demanda histórica que el agua regrese por la red desde que iniciamos esta transformación con honestidad, hace un año asumimos el compromiso claro que el agua dejara de ser un negocio para unos cuantos y se volviera un derecho pleno de los y las ciudadanas durante décadas”, comentó. Recalcó que los vecinos de Ecatepec padecieron abandono, de precariedad y de corrupción; dijo que colonias enteras vivieron 10 y hasta 20 años sin recibir agua por la red. Denunció que hospitales privados, empresas, comercios y vecinos eran obligadas a comprarles pipas irregulares a mayor costo, quienes lucraban con la necesidad del pueblo. Aseguró que en sus primeros diez meses de su gobierno está corrigiendo la injusticia, extorsión y el combate al huachicoleo del agua. Por su parte el director del organismo del agua de Ecatepec Sapase Francisco Reyes Vázquez, detalló que hasta el momento se han intervenido más de 100 puntos de huachicol, donde en algunos puntos se localizaron por lo menos cinco tomas clandestinas. Comentó que la calidad del agua que se abastecian por medio de pipas no era la mejor por qué no cumplía con la norma técnica PROY-NTE-001-CTAEM-APP-2016, además de que dichos inmuebles no contaban con los permisos correspondientes y trabajaban de manera clandestina. Cisneros Coss, aseguró que se mantiene un operativo integral para desmantelar tomas clandestinas de agua, reforzar la vigilancia y responder de inmediato a cualquier alerta, sin embargo hizo un llamado a los vecinos a denunciar cualquier actividad irregular. No hay etiquetas asociadas a éste artículo.</t>
  </si>
  <si>
    <t>Sancionarán  a 9 policías  de Toluca por  agresión del  2 de octubre  a periodistas</t>
  </si>
  <si>
    <t>https://diarioportal.com/seguridad-y-justicia/sancionaran-a-9-policias-de-toluca-por-agresion-del-2-de-octubre-a-periodistas</t>
  </si>
  <si>
    <t>Con el objetivo de construir un protocolo de actuación que atienda las particularidades del municipio de Toluca y fortalezca la protección a periodistas, se llevó a cabo una Mesa de Diálogo orientada a la creación de mecanismos, protocolos y políticas públicas que brinden tanto certeza como seguridad en el desempeño de sus actividades. En un diálogo propuesto por el presidente municipal, Ricardo Moreno Bastida, se llevó a cabo este encuentro entre autoridades estatales, municipales y representantes de medios de comunicación impresos, electrónicos y digitales, quienes intercambiaron experiencias, inquietudes y propuestas para enriquecer el documento base del protocolo municipal. Uno de los puntos tratados fueron los hechos ocurridos el pasado 2 de octubre, cuando la policía municipal contuvo una manifestación en el centro de la ciudad, por lo que estas aportaciones permitirán fortalecer las acciones institucionales en materia de respeto a la libertad de expresión y de manifestación. También se destacó la importancia de capacitar de forma eficaz y permanente al personal policial de Toluca, así como a los servidores públicos municipales en temas de derechos humanos, uso legítimo de la fuerza y respeto a los derechos constitucionales, ello con el propósito de prevenir y mitigar cualquier tipo de violencia en el municipio. Los funcionarios municipales informaron que dan seguimiento a las denuncias interpuestas por comunicadores ante la Comisión de Derechos Humanos del Estado de México (Codhem) y la Unidad de Asuntos Internos de la Policía Municipal, por lo cual ya fueron identificados nueve policías agresores, quienes serán sancionados de acuerdo con la Ley de Responsabilidades Administrativas. Destacaron que este ejercicio es una respuesta clara, directa y responsable a la exigencia de que en Toluca se ejerza el periodismo con seguridad y dignidad. Cabe señalar que durante el desarrollo de la mesa de trabajo se abordaron tres líneas de acción prioritarias, que son capacitación eficaz y continua para la policía municipal, la coordinación interinstitucional, así como la implementación de medidas preventivas que eviten cualquier acción que vulnere la integridad física o el desempeño profesional de quienes ejercen la libertad de expresión. No hay etiquetas asociadas a éste artículo.</t>
  </si>
  <si>
    <t>Permanecen  a la baja los  crímenes en  Zona Oriente  Edomex con   operación del   Mando Unificado</t>
  </si>
  <si>
    <t>https://diarioportal.com/seguridad-y-justicia/permanecen-a-la-baja-los-crimenes-en-zona-oriente-edomex-con-operacion-del-mando-unificado</t>
  </si>
  <si>
    <t>El Mando Unificado Oriente, impulsado por la gobernadora Delfina Gómez Álvarez y respaldada por la presidenta Claudia Sheinbaum Pardo, cumple 229 días de operación con resultados contundentes en Texcoco; en comparación con el mismo periodo previo a la implementación de la Estrategia Operativa en la región, los homicidios dolosos disminuyeron 35% y el robo de vehículos cayó 49%, consolidándose el impacto positivo del despliegue. “Hoy, presidí la Mesa de Paz en mi querido Texcoco, en donde se registra la disminución del 35 % en homicidio doloso y el 49 % en robo de vehículo, durante los primeros 229 días de la implementación del Mando Unificado Oriente. En coordinación, el gobierno federal, el Estado y los municipios trabajamos con estrategias y acciones para construir entornos de paz para las familias mexiquenses. #ElPoderDeServir”, señaló la gobernadora Delfina Gómez en sus redes sociales. Durante la Mesa de Paz, autoridades de la Secretaría de la Defensa Nacional (Defensa) informaron que en este municipio del 1 al 8 de noviembre se registró solo un homicidio y cinco robos de automotores, lo que refleja la estrecha coordinación de los tres niveles de gobierno para avanzar en la construcción de entornos seguros para las familias texcocanas. El Mando Unificado Oriente opera en 15 municipios: Chalco, Chicoloapan, Chimalhuacán, Ecatepec, Ixtapaluca, Cuautitlán Izcalli, Cuautitlán, Naucalpan, Nezahualcóyotl, La Paz, Texcoco, Tlalnepantla, Valle de Chalco, Tultitlán y Coacalco, articulando patrullajes, inteligencia y presencia territorial. En la Mesa 211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t>
  </si>
  <si>
    <t>Policías de Tlalnepantla enfrentan a ladrón armado que robó gasolinera y lo capturan en plena huida</t>
  </si>
  <si>
    <t>2025-11-10 13:42:00</t>
  </si>
  <si>
    <t>https://diarioportal.com/seguridad-y-justicia/policias-de-tlalnepantla-enfrentan-a-ladron-armado-que-robo-gasolinera-y-lo-capturan-en-plena-huida</t>
  </si>
  <si>
    <t>Elementos de la Comisaría General de Proximidad y Seguridad Ciudadana de Tlalnepantla repelieron una agresión con arma de fuego y detuvieron a un presunto delincuente que momentos antes habría asaltado de forma violenta una gasolinera en la colonia Industrial Tabla Honda. Los hechos ocurrieron alrededor de las 22:00 horas del viernes, cuando dos despachadores de una gasolinera solicitaron apoyo a policías que realizaban vigilancia, quienes señalaron a un hombre que caminaba sobre la calle Oyamel como el responsable de haberlos despojado de dinero y teléfonos celulares. Los oficiales dieron alcance al sujeto y le ordenaron detenerse y soltar el arma que llevaba en la mano derecha, en respuesta el individuo apuntó directamente contra los uniformados. Ante la agresión inminente, uno de los policías desenfundó su arma de cargo y neutralizó al atacante, mientras su compañero logró desarmarlo. Durante la inspección, los elementos aseguraron dos teléfonos celulares y más de 4 mil pesos en efectivo. Las víctimas reconocieron plenamente al detenido como el responsable del asalto. Paramédicos acudieron al lugar para valorar al presunto implicado, identificado como Roberto Efraín “N”, a quien también se le confiscó una pistola calibre .45 marca Llama, con cargador abastecido con tres cartuchos útiles. Como marca el protocolo, el arma de cargo utilizada en la intervención quedó asegurada. El detenido fue trasladado ante la Fiscalía General de Justicia del Estado de México (FGJEM), donde se determinará su situación legal. No hay etiquetas asociadas a éste artículo.</t>
  </si>
  <si>
    <t>Prevalecen  labores para  prevenir   agresiones  sexuales  con Operativo  Violeta en  el Edomex</t>
  </si>
  <si>
    <t>https://diarioportal.com/seguridad-y-justicia/prevalecen-labores-para-prevenir-agresiones-sexuales-con-operativo-violeta-en-el-edomex</t>
  </si>
  <si>
    <t>Con el firme compromiso de proteger a la ciudadanía y atender delitos de género, el gobierno de Delfina Gómez Álvarez impulsa el Operativo Violeta, a través del cual la Secretaría de Seguridad estatal (SSEM) ha beneficiado a 48 mil 893 personas mediante 140 acciones preventivas realizadas del 1 de enero al 5 de noviembre de este año. Este despliegue tiene como propósito recuperar espacios públicos y eliminar factores de riesgo que propician la comisión de ilícitos de género. En coordinación con las policías municipales, se mantiene presencia en vialidades, paraderos y unidades del transporte público, con el objetivo de prevenir el acoso y la violencia hacia las mujeres. Como parte de estas acciones, se llevan a cabo patrullajes preventivos en calles y avenidas de colonias prioritarias, donde además personal del Instituto de las Mujeres ofrece información y orientación sobre la prevención y denuncia de la violencia de género. El operativo se ha desplegado en 26 municipios del Estado de México, incluidos aquellos con alerta y doble alerta de género, cubriendo 535 colonias, 842 plazas y parques, así como 450 paraderos y unidades del transporte público. Durante su implementación, se brindó atención a 67 solicitudes de auxilio y se realizaron 22 puestas a disposición por posibles delitos como violencia familiar, lesiones, delitos contra la salud, portación y tráfico de armas, y encubrimiento por receptación. No hay etiquetas asociadas a éste artículo.</t>
  </si>
  <si>
    <t>Líder de la organización conocida como “Los Jasso” fue sentenciado a 11 años de prisión por robo de vehículo con violencia</t>
  </si>
  <si>
    <t>2025-11-08 12:47:40</t>
  </si>
  <si>
    <t>https://diarioportal.com/seguridad-y-justicia/lider-de-la-organizacion-conocida-como-los-jasso-fue-sentenciado-a-11-anos-de-prision-por-robo-de-vehiculo-con-violencia</t>
  </si>
  <si>
    <t>La Fiscalía General de Justicia del Estado de México (FGJEM) obtuvo de una Autoridad Judicial una sentencia de condena de 11 años de prisión en contra de Jason Miguel Domínguez Calderón, por el delito de robo de vehículo con violencia. Este sujeto es identificado como el líder de una estructura criminal conocida como “Los Jasso”, dedicada al robo de vehículos con violencia, que operaba en el municipio de Toluca, siendo un objetivo prioritario para esta Fiscalía. De acuerdo con los hechos, el pasado 8 de abril, la víctima, un masculino, circulaba a bordo de su motocicleta, de la marca Suzuki, modelo 2019, sobre la avenida Paseo Tollocan, a la altura de la colonia Reforma, en Toluca, cuando tres individuos, a bordo de dos motocicletas le dieron alcance y le cerraron el paso, de una de estas unidades descendió el ahora sentenciado y con un arma de fuego lo amenazó, para desapoderarlo de su vehículo, por lo que ante la amenaza, la víctima terminó accediendo, en tanto que otro de los sujetos le arrebató un teléfono celular, para enseguida todos huir del lugar, junto con la motocicleta de la víctima. Una vez que esta Institución tuvo conocimiento de los hechos inició la investigación que permitió identificar a los posibles responsables, por lo que solicitó ante la Autoridad Judicial la orden de aprehensión que posteriormente fue cumplimentada. La Autoridad Judicial al conocer y valorar los elementos de prueba que inculpan a Jason Miguel Domínguez Calderón lo declaró culpable del delito de robo de vehículo con violencia y lo sentenció a 11 años y 8 meses de prisión, además lo obligó al pago de una multa por 3 mil 733 pesos y a la restitución del vehículo como reparación del daño. Cabe recordar que, en los meses de abril, junio, julio y octubre, esta Fiscalía logró la detención de once de los integrantes de esta estructura criminal, con lo cual prácticamente ha quedado desarticulada esta organización, poniéndolos a disposición de la Autoridad Judicial. En diferentes acciones operativas, la Fiscalía General de Justicia del Estado de México obtuvo y cumplimentó órdenes de aprehensión en contra de 132 sujetos quienes eran integrantes de bandas delictivas relacionadas con este delito.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</si>
  <si>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El hoy detenido habría agredido a la víctima en un establecimiento comercial bar del municipio de La Paz.</t>
  </si>
  <si>
    <t>2025-11-08 12:45:08</t>
  </si>
  <si>
    <t>https://diarioportal.com/seguridad-y-justicia/el-hoy-detenido-habria-agredido-a-la-victima-en-un-establecimiento-comercial-bar-del-municipio-de-la-paz</t>
  </si>
  <si>
    <t>Elementos de la Fiscalía General de Justicia del Estado de México, cumplimentaron una orden de aprehensión en contra de un sujeto identificado como Ebro Eduardo “N” por su presunta responsabilidad en el delito de homicidio calificado, cometido en agravio de un masculino en un establecimiento comercial bar ubicado en este municipio. De acuerdo a las primeras investigaciones, el 6 de noviembre del 2023, la víctima se encontraba junto con dos acompañantes. al interior de un establecimiento comercial tipo bar, ubicado en la colonia Valle de Los Reyes La Paz, y al pretender retirarse iniciaron una discusión con el ahora detenido y otros dos sujetos, pasando de la agresión verbal a la física, trasladándose hacia la calle, en ese lugar Ebro Eduardo “N”, sacó un arma de fuego de un automóvil y la accionó en contra de la víctima, ocasionándole la muerte, por lo que se dieron a la fuga. Por esta razón el Ministerio Público inició con las indagatorias correspondientes para esclarecer el caso y conocer la identidad de los presuntos responsables, por lo mismo solicitó a la Autoridad Judicial una orden de aprehensión. Dicho mandamiento judicial fue cumplimentado por elementos de la Policía de Investigación de esta Fiscalía en el municipio de Nezahualcóyotl, y puesto a disposición de la autoridad para que ésta defina su situación jurídica.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</si>
  <si>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Detiene Fiscalía Edoméx a sujeto investigado por presunto fraude en la venta de vehículos en Tlalnepantla</t>
  </si>
  <si>
    <t>2025-11-08 11:47:58</t>
  </si>
  <si>
    <t>https://diarioportal.com/seguridad-y-justicia/detiene-fiscalia-edomex-a-sujeto-investigado-por-presunto-fraude-en-la-venta-de-vehiculos-en-tlalnepantla</t>
  </si>
  <si>
    <t>Elementos de la Fiscalía General de Justicia del Estado de México (FGJEM) detuvieron a un individuo identificado como Axel “N”, quien es investigado por su probable participación en la comisión de delitos patrimoniales. Axel “N” fue detenido por delito diverso flagrante, en un local comercial destinado a Agencia Automotriz, ubicado en la colonia Centro Industrial de Tlalnepantla, cuando elementos de esta Fiscalía realizaban acciones de investigación, momento en el que el hoy detenido, les habría ofrecido dinero a cambio de no seguir con dicha actividad. Con respecto a la comisión de delitos patrimoniales por los que se le indaga, con base en información obtenida por esta Fiscalía, este sujeto podría estar relacionado con diversas denuncias de víctimas quienes señalaron haber sido defraudadas por el investigado, ya que le habrían realizado pagos para el enganche de vehículos, sin que dichas unidades les hayan sido entregadas. Para realizar la conducta delictiva, Axel "N" se valía de su condición de representante legal de una moral identificada como Autoclub Di Forza, ubicada en este municipio. Por los hechos referidos, la Fiscalía del Estado de México continúa con las indagatorias para su esclarecimiento y en su caso, actuar en consecuencia en contra de quienes hayan participado en los mismos. Axel “N” fue presentado ante el Agente del Ministerio Público, quien determinará su situación jurídica con respecto a la probable comisión de delito en flagrancia. Debe ser considerado inocente, en tanto que no exista una sentencia condenatoria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sujeto como probable implicado en otro hecho delictivo, sea denunciado. No hay etiquetas asociadas a éste artículo.</t>
  </si>
  <si>
    <t>Afirman que conspiraron iraníes para ultimar a la embajadora de Israel en México; SRE y la SSPC desmienten la versión</t>
  </si>
  <si>
    <t>2025-11-07 19:52:43</t>
  </si>
  <si>
    <t>https://diarioportal.com/seguridad-y-justicia/afirman-que-conspiraron-iranies-para-ultimar-a-la-embajadora-de-israel-en-mexico-sre-y-la-sspc-desmienten-la-version</t>
  </si>
  <si>
    <t>La embajada de israel en México emitió un comunicado para agradecer a las autoridades nacionales la supuesta frustración de un complot para ultimar a la diplomática israelí Einat Kranz Neiger, versión que desmintieron la Secretaría de Relaciones Exteriores (SRE) y la Secretarái de Seguridad y Protección Ciudadana (SSPC). Durante este viernes trascendió información de la agencia Reuters sobre la supuesta declaración de un funcionario estadounidense, en condición de anonimato, quien supuestamente revela un conspiración de extremistas de la Guardia Revolucionaria Islámica de Irán en México para asesinar a la embajadora de Israel. En este marco, el cuerpo diplomático israelí en México emitió un comunicado que remarca la supuesta colaboración entre ambos gobiernos para “frustrar amenazas terroristas”, y agradeció al servicio de inteligencia mexicano por el presunto trabajo coordinado para frenar la hipotética amenaza. De acuerdo con Reuters, el funcionario incógnito reveló que “el Cuerpo de la Guardia Revolucionaria Islámica de Irán planeó asesinar a la embajadora de Israel en México, Einat Kranz Neiger, pero el intento fue contenido y actualmente no existe ninguna amenaza”. Tras la información que circuló y fue replicada sin el menor cuestionamiento por otros medios nacionales e internacionales, la SRE y la SSPC emitieron un comunicado conjunto horas más tarde para desmentir el trascendido En el texto, ambas instituciones sostuvieron que “no cuentan con reporte alguno respecto a un supuesto atentado en contra de la embajadora de Israel en México”. En cuanto a lo correspondiente a la SRE, se lee que “la Cancillería reitera su disposición de mantener una comunicación fluida con todas las representaciones diplomáticas acreditadas en nuestro país”; en tanto la SSPC apela a que “reafirma su colaboración respetuosa y coordinada, siempre en el marco de la soberanía nacional, con todas las agencias de seguridad que así lo soliciten”. No hay etiquetas asociadas a éste artículo.</t>
  </si>
  <si>
    <t>Magistrado Gilberto Bátiz asume la presidencia del TEPJF</t>
  </si>
  <si>
    <t>2025-11-05 21:36:42</t>
  </si>
  <si>
    <t>https://diarioportal.com/seguridad-y-justicia/magistrado-gilberto-batiz-asume-la-presidencia-del-tepjf</t>
  </si>
  <si>
    <t>Al abrir la sesión solemne con motivo del inicio de la presidencia del magistrado Gilberto Bátiz García en el Tribunal Electoral del Poder Judicial de la Federación (TEPJF), el magistrado Felipe Alfredo Fuentes Barrera, en su calidad de decano de la Sala Superior, resaltó la coincidencia con el ideario de que la justicia debe ser cercana, humana y comprensible; un derecho de todas y todos, no un privilegio. A su vez, el ministro presidente de la Suprema Corte de Justicia de la Nación, Hugo Aguilar Ortiz, aseguró que “un pilar fundamental de la democracia es la garantía de que las elecciones sean libres, que los votos se cuenten bien y que existan instituciones que garanticen que las diferencias o conflictos que surjan durante el proceso sean resueltas por un ente especializado, imparcial y ahora democrático”. Con la convicción cimentada en la democracia directa, la equidad de género y el pluralismo, el magistrado Gilberto Bátiz García tomó posesión como nuevo presidente del TEPJF, donde planteó que impulsará la colegialidad funcional, la cercanía con la ciudadanía, las decisiones que fortalezcan la estabilidad y gobernabilidad, el aterrizaje administrativo ordenado y racional y la justicia con rostro humano. En su primera sesión pública al frente del pleno del TEPJF, a donde llega como primer magistrado presidente electo por el voto popular, dejó claros los ejes en que ejercerá su cargo, basado primordialmente en el trabajo en equipo con sus colegas y el contacto directo con la gente, pues está convencido de que lo que no se conoce, no se valora. Y lo que no se valora, no se defiende. “La justicia no debe permanecer encerrada entre muros o expedientes; debe recorrer el territorio, escuchar de viva voz, explicar sus decisiones y fortalecer la educación cívica, sobre todo entre los grupos históricamente discriminados y vulnerables”, expuso Bátiz García ante el pleno de la Sala Superior integrado por las magistradas Claudia Valle Aguilasocho, Mónica Aralí Soto Fregoso -quien participó de manera virtual-, así como los magistrados Felipe de la Mata Pizaña, Felipe Alfredo Fuentes Barrera y Reyes Rodríguez Mondragón. Respecto a la colegialidad funcional, el magistrado de origen chiapaneco señaló que, en un órgano como la Sala Superior, trabajar en equipo no es una cortesía: es un deber constitucional y moral ante el pueblo. “La pluralidad de visiones es riqueza, pero sólo si se procesa con respeto, diálogo y responsabilidad compartida. Un tribunal dividido no sirve a México. Seré un catalizador de soluciones, no un generador de conflictos”, aseguró. En ese sentido, reconoció que es indispensable la experiencia, pericia y apertura de sus colegas magistradas y magistrados, ya que, sin su apoyo, sin su aporte, esta nueva etapa de la justicia electoral sería inviable. “Estoy seguro de que todas y todos comprendemos el momento histórico que enfrentamos y que, con compromiso y generosidad, aportaremos nuestro mayor conocimiento y experiencia al servicio de la democracia”, enfatizó. Manifestó que, en un país con retos internos y externos complejos, la justicia electoral debe ser pilar de paz social y certeza democrática, por lo que las juezas y jueces constitucionales electorales tienen, además de una obligación jurídica, una responsabilidad republicana: conducirse con una visión de Estado que permita la transmisión del poder de manera legal, legítima y sin conflictos. Refirió que la reforma judicial de 2024, junto con la reforma electoral en curso, exigen un reajuste del aparato administrativo de la justicia electoral, por lo que se comprometió a ser sensible a las condiciones del país y revisar con responsabilidad cualquier ajuste presupuestal que fortalezca la racionalidad del gasto sin comprometer la independencia judicial. Destacó que impulsará la justicia con rostro humano, que sea sensible a la diversidad del país y comprometida con un federalismo electoral vivo. “No es lo mismo aplicar la ley en San Pedro Garza García que en San Pedro Chenalhó; las reglas son las mismas, pero las condiciones sociales son distintas, y la justicia debe entender esas diferencias de contexto”, precisó. En su discurso, Bátiz García recordó que, en su experiencia como funcionario público electoral en Chiapas por más de una década, ha aprendido que la democracia es frágil, y si no se cuida todos los días, se desmorona. Mencionó que México ha vivido momentos en que la voluntad popular ha sufrido presiones indebidas o violencia que amenaza el libre ejercicio del voto, además de que el abuso de poder y los excesos partidistas pueden erosionar la confianza ciudadana. “Y cuando esa confianza se rompe, el desencanto abre la puerta a la indiferencia y a otros males mayores. Por eso, la democracia no puede darse por sentada; debe defenderse con reglas claras, instituciones íntegras y resultados confiables que la ciudadanía sienta en su vida cotidiana”, sostuvo. A la sesión asistieron ministros de la SCJN; el presidente del Tribunal de Disciplina Judicial, Néstor Vargas Solano; la presidenta del Órgano de Administración Judicial, Celia Maya García; consejeros del Instituto Nacional Electoral; magistradas y magistrados de las Salas Regionales del TEPJF, autoridades electorales estatales, legisladores y representantes de los partidos políticos. No hay etiquetas asociadas a éste artículo.</t>
  </si>
  <si>
    <t>Tlalnepantla está libre de feminicidios y secuestros; bajan 19% delitos de alto impacto</t>
  </si>
  <si>
    <t>2025-11-05 18:32:09</t>
  </si>
  <si>
    <t>https://diarioportal.com/seguridad-y-justicia/tlalnepantla-esta-libre-de-feminicidios-y-secuestros-bajan-19-delitos-de-alto-impacto</t>
  </si>
  <si>
    <t>Como resultado de la estrategia de seguridad basada en inteligencia operativa, proximidad social y coordinación interinstitucional, Tlalnepantla registró una reducción del 19% en delitos de alto impacto, informó el presidente municipal, Raciel Pérez Cruz, con base en cifras del Secretariado Ejecutivo del Sistema Nacional de Seguridad Pública. En conferencia de prensa, señaló que estas cifras reflejan que las acciones de la Comisaría General de Proximidad y Seguridad Ciudadana han comenzado a mostrar resultados favorables en la protección de la población. Destacó que, aunque la tendencia en el delito de homicidio doloso muestra una reducción del 19%, la administración municipal no está conforme, por lo que continuará reforzando la estrategia de prevención y patrullajes focalizados. Pérez Cruz subrayó que en Tlalnepantla no se registran casos de secuestro, trata de personas ni feminicidios, lo cual atribuyó a las campañas de prevención y a la vigilancia comunitaria realizada en colonias y espacios públicos. Agregó que el incremento en carpetas por narcomenudeo responde a las puestas a disposición derivadas de operativos realizados en coordinación con fuerzas estatales y federales, como parte de la estrategia nacional de seguridad. Respecto al robo de vehículo, el alcalde informó que el municipio presenta una tendencia a la baja tanto en su modalidad con violencia como sin ella, e invitó a la ciudadanía a presentar denuncias para fortalecer los mecanismos de respuesta. Finalmente, señaló que el Plan Integral de Oriente impulsa un modelo de seguridad con mando coordinado, y reafirmó que se continuará con operativos, vinculación policial y rescate de espacios públicos, con el objetivo de consolidar entornos seguros para todas y todos. No hay etiquetas asociadas a éste artículo.</t>
  </si>
  <si>
    <t>Accidente en la México-Pirámides deja una persona sin vida</t>
  </si>
  <si>
    <t>2025-11-05 10:01:32</t>
  </si>
  <si>
    <t>https://diarioportal.com/seguridad-y-justicia/accidente-en-la-mexicopiramides-deja-una-persona-sin-vida</t>
  </si>
  <si>
    <t>Una persona murió tras ser atropellada por un vehículo al intentar cruzar la autopista México-Pirámides a la altura del municipio de Acolman, simultáneamente un tráiler volcó por lo que la autopista fue cerrada lo que generó severo caos vial. El accidente ocurrió alrededor de las 3:00 horas cuando un tráiler circulaba sobre la autopista México-Pirámides con dirección a la Ciudad de México. Pero al llegar al kilómetro 14 a la altura del municipio de Acolman el chófer perdió el control y volcó quedando sobre el carril de alta, al lugar llegaron elementos de la Guardia Nacional quienes abanderaron la circulación. Minutos después a la altura del kilómetro 13 una persona fue atropellada por un auto color verde al intentar cruzar la autopista, Paramédicos de Caminos y Puente Federales (Capufe), arribaron al sitio quien tras valorar a la persona certificaron que ya no contaba con signos vitales. El lugar fue acordonado por los uniformados mientras los peritos de la Fiscalía General de Justicia del Estado de México (FGJEM), llevó a cabo las diligencias correspondientes y el levantamiento del cuerpo. Tras los accidentes la autopista fue cerrada lo que generó severo caos vial. No hay etiquetas asociadas a éste artículo.</t>
  </si>
  <si>
    <t>Hallan ileso a  transportista  secuestrado  en Jilotepec;  detienen a   3 presuntos  plagiarios</t>
  </si>
  <si>
    <t>https://diarioportal.com/seguridad-y-justicia/hallan-ileso-a-transportista-secuestrado-en-jilotepec-detienen-a-3-presuntos-plagiarios</t>
  </si>
  <si>
    <t>La Fiscalía General de Justicia del Estado de México (FGJEM) informó que fue localizado con vida y en aparente buen estado de salud Fernando Galindo Salvador, transportista de 69 años de edad que había sido secuestrado el pasado 30 de octubre en el ejido de San Lorenzo Octeyuco, municipio de Jilotepec. De acuerdo con la dependencia, durante el operativo y en el marco de las acciones de investigación, fueron detenidos tres sujetos, entre ellos Nery 'N' alias 'El Moto', identificado como integrante de un grupo criminal con orígenes en Michoacán. Era el encargado de "alinear" a taxistas en los municipios de Jilotepec, Soyaniquilpan y Acambay, para lo cual privaba de la libertad a sus líderes. La FGJEM detalló que las detenciones se realizaron en el marco de una estrategia conjunta con la Secretaría de Seguridad del Estado de México (SSEM), por lo que continúan las investigaciones para desarticular por completo esta red delictiva que opera en la región norte del Estado de México. Cabe señalar que por esta situación, la Alianza de Autotransportistas Autónomos de la República Mexicana A.C. realizaron cierres y bloqueos viales el pasado lunes,  especialmente en la autopista México-Querétaro y en accesos a la Ciudad de México y Estado de México. Además, solicitaron una mesa de diálogo directa con el Fiscal General del Estado de México, Jose Luis Cervantes Martínez y exigieron a las autoridades una respuesta en un plazo no mayor a 48 horas, de lo contrario, nuevamente realizarían un paro estatal en principales zonas viales no solo de la zona norte, sino la afectación de todos los accesos a la Ciudad de México, así como un paro nacional y una marcha a Palacio Nacional. Los transportistas expresaron su indignación por la creciente ola de inseguridad, extorsión y secuestros que afecta al gremio en las carreteras del país, exigiendo a las autoridades de los tres niveles de gobierno una mayor respuesta y medidas para garantizar su seguridad al recorrer diariamente las carreteras del país. También denunciaron que la inseguridad, los secuestros y las extorsiones han golpeado duramente al Estado de México y a la ciudadanía, además de que han afectado a los transportistas y ya no quieren seguir siendo víctimas de la impunidad. No hay etiquetas asociadas a éste artículo.</t>
  </si>
  <si>
    <t>Exigen cesar a alcaldesa de El Oro por robo de dinero público y abandono de funciones</t>
  </si>
  <si>
    <t>2025-11-04 19:11:02</t>
  </si>
  <si>
    <t>https://diarioportal.com/seguridad-y-justicia/exigen-cesar-a-alcaldesa-de-el-oro-por-robo-de-dinero-publico-y-abandono-de-funciones</t>
  </si>
  <si>
    <t>Integrantes del Cabildo de El Oro ingresaron al Congreso Mexiquense una solicitud formal para la destitución de la presidenta municipal morenista, Juana Elizabeth Díaz Peñaloza, a quien acusan de presunto abandono de funciones, desvío de recursos y mantener al municipio en un “estado de caos e ingobernabilidad”. El síndico municipal Ubaldo Velázquez Piedra indicó que la decisión fue tomada en sesión ordinaria de cabildo, donde por mayoría aprobaron solicitar la remoción de la edil, pues el municipio está sumido en el desorden, la población lleva cuatro días sin agua potable, las calles están inundadas de basura y los empleados municipales no reciben su salario. Junto con las y los regidores Melissa González del PVEM, Claudia Moreno y José Dolores de Morena, Fernanda Martínez y Agustín Bastida del PRI, así como Erika Rodríguez del PAN, denunció que la administración municipal carece de estructura legal básica, pues la Contraloría Municipal no cuenta con titulares en las unidades de investigación y resolución, lo que impide tramitar quejas ciudadanas. Agregó que los ingresos municipales de plazas, baños públicos y centros turísticos, que son de cerca de 150 mil a 200 mil pesos mensuales, no son reportados a la tesorería, sino entregados directamente a la alcaldesa, lo que podría configurar un delito de desvío de recursos, además de que son aproximadamente 450 empleados municipales y a muchos se les adeudan hasta cinco quincenas. Velázquez Piedra adelantó que en los próximos días presentará una denuncia penal por presunto desvío de fondos y uso indebido de recursos públicos, además de que actualmente existen cinco denuncias presentadas ante la Contraloría Interna y la Contraloría del Poder Legislativo. También denunció que la presidenta prohíbe las transmisiones de las sesiones de cabildo, impide el acceso ciudadano a los recintos oficiales y ha ordenado a su personal no recibir oficios ni sellar documentos oficiales, bloqueando la operación administrativa del ayuntamiento. Acusó que la presidenta municipal ha cerrado espacios culturales y deportivos como la Casa de Cultura, el Oro Club, el Teatro Juárez y el Palacio Municipal, además ordenó clausurar el vagón turístico, uno de los principales atractivos del municipio, no hay servicios públicos prioritarios ni gobernabilidad porque la presidenta no se presenta a laborar y se niega a recibir a los ciudadanos. Finalmente, lamentó que a pesar de las denuncias formales y los reportes enviados, no ha existido acercamiento alguno de la Secretaría General de Gobierno del Estado de México, además de que no buscan protagonismo ni cargos, pues solo quieren que regrese la gobernabilidad a El Oro, que también forma parte del Estado de México y sus ciudadanos merece vivir con dignidad. No hay etiquetas asociadas a éste artículo.</t>
  </si>
  <si>
    <t>Vinculan a Jacobo ‘N’ a proceso por intento de secuestro y robo de transporte  de carga en Tecámac</t>
  </si>
  <si>
    <t>https://diarioportal.com/seguridad-y-justicia/vinculan-a-jacobo-n-a-proceso-por-intento-de-secuestro-y-robo-de-transporte-de-carga-en-tecamac</t>
  </si>
  <si>
    <t>La Fiscalía General de Justicia del Estado de México (FGJEM) obtuvo vinculación a proceso en contra de Jacobo ‘N’ por su aparente intervención en el delito de secuestro exprés con fines de robo, cometido en el municipio de Tecámac. De acuerdo con los hechos, el 28 de octubre de 2025, la víctima circulaba sobre la autopista México-Pachuca a bordo del vehículo marca International, en el que transportaba una plataforma de la marca Ciseaux. Al llegar al municipio de Tecámac fue interceptado por Jacobo ‘N’ y dos sujetos más, quienes le cerraron el paso y lo obligaron a descender de la unidad que conducía con el objetivo de robar la unidad y la mercancía que llevaba. La víctima fue obligada a subir a otro vehículo, sin embargo, los hechos fueron presenciados por usuarios que circulaban por la zona y de inmediato dieron aviso a la Guardia Civil de Tecámac, quienes mediante una acción operativa aseguraron a Jacobo ‘N’ cuando manejaba el tracto camión robado. El detenido fue ingresado al Centro Penitenciario y de Reinserción Social de la zona a disposición de la autoridad judicial, quien determinó la prisión preventiva como medida cautelar y señaló dos meses de plazo de investigación complementaria.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t>
  </si>
  <si>
    <t>Otorga Azucena  incentivos  económicos  a policías de  Ecatepec y  anuncia que  tendrán mejores  condiciones  laborales antes  de acabar 2025</t>
  </si>
  <si>
    <t>https://diarioportal.com/seguridad-y-justicia/otorga-azucena-incentivos-economicos-a-policias-de-ecatepec-y-anuncia-que-tendran-mejores-condiciones-laborales-antes-de-acabar-2025</t>
  </si>
  <si>
    <t>La presidenta municipal de Ecatepec, Azucena Cisneros Coss, entregó estímulos de 10 mil pesos a 54 elementos de Seguridad Pública y Tránsito en la explanada municipal, donde anunció el cambio de horario para los uniformados y aseguró que los policías fuera de la ley serán sancionados. La mañana de este martes, la edil Azucena Cisneros Coss, llevó a cabo la entrega de incentivos de 10 mil pesos a 54 elementos de Seguridad Pública y Tránsito Municipal de Ecatepec por su desempeño laboral. Dijo que, dentro de la corporación están obligados a realizar cosas extraordinarias por la seguridad de los ciudadanos y por el municipio. Ante los altos índices de delincuencia registrados en anteriores años, dijo que es inútil compararse con la anterior administración, ya que, aseguró, en lo que va de su administración hubo una reducción de más del 65%. “Hemos venido a la baja en los delitos de alto impacto, así como en la encuesta del INEGI, pero es todavía insuficiente, vamos hacer lo imposible si se gobierna con un solo interés que es el de la gente, vamos a combatir la corrupción y las inercias”, dijo. Durante su discurso, detalló que a finales de noviembre cambiará el horario de los elementos de la corporación municipal, que será de 12 por 24 y escalonada. “La dignificación de la policía es algo que llegó para quedarse, lo que va pasar con la policía no tiene ninguna referencia; lo que queremos es una respuesta clara una corresponsabilidad”, refirió. Aseguró que dentro de la corporación no hay formas de engañar a alguien y que los uniformados van actuar de forma contundente, dijo que sancionará al policía que esté fuera la norma y la ley. Informó que, antes de terminar el año, los policías tendrán un aumento en su salario del 10%, uniformes y despensas. “Vamos a estar evaluando y tendrá el aumento todos los policías del 10 por ciento”. Explicó que para el próximo año lograrán obtener la certificación de la academia para las personas que quieran pertenecer a la corporación cuenten con su certificación correctamente. Por último exigió a los uniformados entregarse en cuerpo y alma en el cuidado de los vecinos del municipio de Ecatepec, por lo que les pidió corresponsabilidad y seguridad de la población. No hay etiquetas asociadas a éste artículo.</t>
  </si>
  <si>
    <t>Homicidios bajaron 31% en Edomex; no bajará la guardia GEM ante crimen: Horacio Duarte</t>
  </si>
  <si>
    <t>2025-11-03 19:13:07</t>
  </si>
  <si>
    <t>https://diarioportal.com/seguridad-y-justicia/homicidios-bajaron-31-en-edomex-no-bajara-la-guardia-gem-ante-crimen-horacio-duarte</t>
  </si>
  <si>
    <t>Horacio Duarte Olivares, secretario general de gobierno, dio a conocer que, gracias al esfuerzo interinstitucional del gobierno de la maestra Delfina Gómez Álvarez, de enero a octubre, el delito de homicidio doloso en el Estado de México registró una disminución del 31% en comparación con el mismo periodo de 2024, según información de la Fiscalía mexiquense. Durante la firma del Acuerdo para la conformación del Consejo Económico, Social y Ambiental, refirió que “significa que durante cinco meses de 2024, no hubiéramos tenido homicidios, eso representa el 31%”. Señaló que el gobierno del Estado de México no bajará la guardia y seguirá trabajando en coordinación, a través de las Mesas de Paz para bajar los índices delictivos como lo ha pedido la Presidenta Claudia Sheinbaum y la Gobernadora Delfina Gómez Álvarez. “Vamos a mantener esta estrategia de seguir combatiendo al crimen en sus diversas modalidades“, reafirmó el secretario Horacio Duarte. No hay etiquetas asociadas a éste artículo.</t>
  </si>
  <si>
    <t>Urge reforzar  estrategia  para erradicar  embarazos   adolescentes:  Jennifer Glez.</t>
  </si>
  <si>
    <t>https://diarioportal.com/seguridad-y-justicia/urge-reforzar-estrategia-para-erradicar-embarazos-adolescentes-jennifer-glez</t>
  </si>
  <si>
    <t>Debido a que en el Estado de México se registra un promedio anual de 28 mil 470 nacimientos entre adolescentes, mientras un gran número busca la interrupción del embarazo, es necesario fortalecer las políticas públicas integrales y garantizar el acceso a servicios integrales para proteger la salud y el futuro de las jóvenes, aseveró la diputada Jennifer González López, presidenta de la comisión de Salud, Asistencia y Bienestar Social del Congreso Mexiquense. Añadió que, si bien se han implementado programas de salud sexual y reproductiva, así como campañas de acceso a métodos anticonceptivos entre adolescentes, el embarazo aún es un problema complejo con graves consecuencias sociales y económicas. Indicó que cifras oficiales del Instituto Nacional de Estadística y Geografía (INEGI) refieren que un promedio de 78 bebés de madres adolescentes nace diariamente en la entidad, además de que sólo en 2023 se registraron 28 mil 554 partos de madres adolescentes, lo que representa el 14.8% del total de nacimientos registrados en el estado. De ese total, 532 madres fueron menores de 15 años, mientras que 28 mil 22 el rango de edad fue de entre los 15 y 19 años. Precisó que de acuerdo con el Consejo Estatal de Población (Coespo), el embarazo adolescente en la entidad disminuyó 40% en el periodo 2015-2023, lo que quiere decir que gracias a las políticas públicas aplicadas se han logrado avances significativos, sin embargo, se debe seguir trabajando y reforzar esas acciones para reducir esa brecha de nacimientos. González López destacó que el embarazo adolescente representa no sólo un riesgo para su salud, sino conlleva consecuencias sociales y económicas que afectan la educación, los ingresos, participación laboral y costos adicionales para el Estado. Explicó que la falta de acceso a servicios de salud sexual y reproductiva, aunado a la falta de información adecuada, contribuyen a la alta incidencia de embarazos en adolescentes, sin embargo, hay dos factores que parecen desapercibidos pero que son una realidad. Uno de ellos, dijo, lo representan las costumbres tradicionales, es decir, aún persiste en algunas localidades del Estado de México, las tradiciones que marcan que las niñas y adolescentes deben casarse y tener hijos a una edad muy corta; por otro lado, existe una alta incidencia de embarazos entre niñas producto de una violación, misma que en gran porcentaje no es denunciada. Por ello, reiteró que se requiere reforzar las estrategias de prevención y garantizar el acceso a servicios de salud para adolescentes, además de implementar acciones para reducir las desigualdades que afectan a adolescentes en situación de vulnerabilidad, así como de aquellas que viven en zonas rurales o con menos acceso a servicios de salud. Por último, refirió que un dato preocupante es que del 2007, fecha en que se implementó la Interrupción Legal del Embarazo (ILE) en la Ciudad de México y hasta junio del 2024, más de 77 mil mujeres del Estado de México acudieron a practicarse este método, lo que representa un 27.82 por ciento del total de abortos realizados en la capital desde la fecha señalada. No hay etiquetas asociadas a éste artículo.</t>
  </si>
  <si>
    <t>Concaem condena asesinato de alcalde de Uruapan, Carlos Manzo</t>
  </si>
  <si>
    <t>2025-11-02 12:30:52</t>
  </si>
  <si>
    <t>https://diarioportal.com/seguridad-y-justicia/concaem-condena-asesinato-de-alcalde-de-uruapan-carlos-manzo</t>
  </si>
  <si>
    <t>El Consejo de Cámaras y Asociaciones Empresariales del Estado de México (Concaem) expresó su consternación e indignación por el asesinato del presidente municipal de Uruapan, Michoacán, Carlos Manzo Rodríguez, quien había denunciado y hecho frente de manera contundente a las condiciones de inseguridad y delincuencia organizada que prevalecía en su municipio y región. Por ello, el sector empresarial del Estado de México hizo llamado urgente a las autoridades federales para emprender acciones que permitan recobrar la seguridad y la paz para la población del país, así como recuperar el ambiente de certeza que un día tuvo. Destacó que el hecho se suma a otros cinco asesinatos que se han dado a lo largo del año, en contra de presidentes municipales, tal es el caso de la presidenta municipal de Tepalcatepec, Michoacán, el presidente de San Mateo Piñas Oaxaca, el presidente municipal de Tacámbaro, Michoacán, el presidente de Metlatónoc Guerrero, y el presidente de Amoltepec Oaxaca. Exigió no sólo la expedición de una carpeta de investigación, sino el establecimiento de una estrategia de seguridad que permita solventar la situación y mejorar las condiciones de vida de la población, el tiempo de garantizar condiciones de seguridad para los representantes populares y los ciudadanos. Si bien el sector productivo estatal reconoció las acciones que se han emprendido para avanzar en el tema de combate a la delincuencia organizada, resaltó que es necesaria una coordinación firme y efectiva entre los diferentes niveles de gobierno, así como resultados tangibles que permitan a la población desarrollarse en mejores condiciones de vida. “El llamado que se hace es a la valentía y a la determinación por un país de oportunidades para todos”, concluyó. No hay etiquetas asociadas a éste artículo.</t>
  </si>
  <si>
    <t>Fiscalía Edomex detiene a líder de banda dedicada al robo violento de vehículos en el Valle de México</t>
  </si>
  <si>
    <t>2025-11-01 12:40:24</t>
  </si>
  <si>
    <t>https://diarioportal.com/seguridad-y-justicia/fiscalia-edomex-detiene-a-lider-de-banda-dedicada-al-robo-violento-de-vehiculos-en-el-valle-de-mexico</t>
  </si>
  <si>
    <t>La Fiscalía General de Justicia del Estado de México (FGJEM) cumplimentó orden de aprehensión en contra de Ricardo “N”, considerado el líder de una estructura criminal autodenominada "Los Chocorroles", dedicada al robo de vehículos en varios municipios del Valle de México De acuerdo con los hechos, el 4 de octubre de 2025, la víctima, quien se desempeñaba como chofer de una aplicación digital, se encontraba estacionado a bordo de su vehículo de la marca MG, tipo Sedan, modelo 2024 momento en el que es interceptado por Ricardo “N” y otro sujeto más, quienes abordaron la unidad por la parte trasera y lo amenazaron con un arma de fuego y un cuchillo, obligándolo a conducir el carro hacia el municipio de Tlalnepantla, donde los esperaban dos sujetos más. Ya en la calle Puerto Caribe de la colonia El Puerto, la víctima fue obligada a descender del carro, mientras que los sujetos huyeron a bordo de la unidad. Luego de iniciar las indagatorias correspondientes, se identificó a Ricardo “N” como presunto responsable de este hecho ilícito, quien era considerado como un objetivo prioritario por esta Fiscalía, en el marco de la estrategia para el combate al robo de vehículos. Después de ser aprehendido fue puesto a disposición de la Autoridad Judicial, quien determinará su situación jurídica; sin embargo, se le debe considerar inocente en tanto no se le dicte una sentencia de condena en su contra. De acuerdo a investigaciones de esta Fiscalía, Ricardo “N” es considerado el líder de una estructura criminal denominada “Los Chocorroles”, que es investigada por diversos robos con violencia de vehículo en los municipios de Tlalnepantla, Atizapán de Zaragoza y Naucalpan.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sujeto como probable implicado en otro hecho delictivo, sea denunciado. No hay etiquetas asociadas a éste artículo.</t>
  </si>
  <si>
    <t>Vinculan a proceso a Cristopher “N”, conocido como El Comandante, por el homicidio de dos personas de nacionalidad colombiana</t>
  </si>
  <si>
    <t>2025-11-01 12:33:58</t>
  </si>
  <si>
    <t>https://diarioportal.com/seguridad-y-justicia/vinculan-a-proceso-a-cristopher-n-conocido-como-el-comandante-por-el-homicidio-de-dos-personas-de-nacionalidad-colombiana</t>
  </si>
  <si>
    <t>En audiencia celebrada este día en los Juzgados de Chalco, un Juez determinó la vinculación a proceso en contra de Cristopher “N”, alias “El Comandante”, por su probable participación en el homicidio en agravio de dos víctimas de nacionalidad colombiana, cuyos restos fueron localizados el pasado 17 de septiembre en el municipio de Cocotitlán. Tras analizar los datos recabados y expuestos por el Agente del Ministerio Público, la Autoridad Judicial resolvió la situación jurídica del investigado por el delito de homicidio calificado e impuso medida cautelar de prisión preventiva justificada. De acuerdo a los indicios aportados por esta Fiscalía, se permite inferir que Cristopher “N”, alias “El Comandante”, tuvo control sobre aspectos esenciales de la ejecución, al coordinar y dirigir la fase de atracción de las víctimas mediante el engaño y la manipulación de su confianza para asegurar el resultado planificado por el grupo. En el Estado de México, el delito de homicidio calificado está previsto y sancionado en los artículos 241, 242 fracción II y 245 fracción V inciso b), en relación con los artículos 6, 7, 8, fracción I, y 11, fracción II inciso c), del Código Penal estatal. A los responsables se les puede imponer una pena de hasta 70 años de prisión. Al detenido se le debe considerar inocente en tanto no se emita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estas personas como probables implicadas en otro hecho delictivo, sean denunciadas. No hay etiquetas asociadas a éste artículo.</t>
  </si>
  <si>
    <t>Evitan 85% de pagos por extorsiones en Edomex en 2 meses</t>
  </si>
  <si>
    <t>2025-10-31 18:59:16</t>
  </si>
  <si>
    <t>https://diarioportal.com/seguridad-y-justicia/evitan-85-de-pagos-por-extorsiones-en-edomex-en-2-meses</t>
  </si>
  <si>
    <t>La estrategia contra la extorsión encabezada por la Gobernadora Delfina Gómez Álvarez permitió evitar el pago de 73 millones 547 mil 814 pesos, es decir, el 85% del monto exigido entre el 1 de septiembre y el 30 de octubre, según los resultados presentados en la Mesa de Paz que la mandataria realiza diariamente. La Secretaría de Seguridad del Estado de México informó que, como parte de la Estrategia Nacional contra la Extorsión, en ese periodo se recibieron 7 mil 919 denuncias a través de la Línea Nacional 089, de las cuales 3 mil 621 fueron por extorsión telefónica, 2 mil 194 por fraude telefónico, 476 por llamadas maliciosas, 215 por extorsión electrónica, 160 por amenaza, 91 por cobro de derecho de piso, 26 por extorsión directa y mil 136 por otras modalidades. La dependencia destacó que la denuncia ciudadana, sumada a la asesoría oportuna de la Policía Cibernética, ha sido determinante para contener este delito y fortalecer la confianza hacia las instituciones de seguridad. De acuerdo con las autoridades, los modus operandi más comunes incluyen chantajes o amenazas (3 mil 79 casos) y fraudes en los que los delincuentes se hacen pasar por familiares o conocidos (776). Otros esquemas detectados fueron llamadas maliciosas (476), falsos secuestros (275) y extorsiones directas. Ante ello, recordaron que el 089 opera las 24 horas, los 365 días del año, garantizando atención anónima, orientación y acompañamiento inmediato a las víctimas. Durante la Mesa de Paz número 205 de este año, participaron el Secretario General de Gobierno, Horacio Duarte Olivares; el Secretario de Seguridad estatal, Cristóbal Castañeda Camarillo; la Secretaria Técnica, Maricela López Urbina; el Fiscal General de Justicia, José Luis Cervantes Martínez, y representantes de la Defensa Nacional, Marina, Guardia Nacional y el Centro Nacional de Inteligencia. No hay etiquetas asociadas a éste artículo.</t>
  </si>
  <si>
    <t>La Jornada</t>
  </si>
  <si>
    <t>Dan emotivo último adiós al policía Román Martínez en la alcaldía AO</t>
  </si>
  <si>
    <t>Álvaro Obregón</t>
  </si>
  <si>
    <t>https://www.jornada.com.mx/noticia/2025/12/29/capital/dan-emotivo-ultimo-adios-al-policia-roman-martinez-en-la-alcaldia-ao</t>
  </si>
  <si>
    <t>Ciudad de México.Elementos de las Subsecretarías y Direcciones Generales de la Secretaría de Seguridad Ciudadana de la Ciudad de México se reunieron en una emotiva ceremonia para dar el último adiós al Policía Segundo Román Martínez Estrada, quien perdió la vida en cumplimiento del deber al frustrar un robo a casa habitación ayer en la alcaldía Álvaro Obregón. El homenaje póstumo se realizó tras una misa de cuerpo presente en la explanada del Agrupamiento Guerrero, en la alcaldía Venustiano Carranza, y fue encabezado por el secretario de Seguridad Ciudadana, Pablo Vázquez Camacho, acompañado por subsecretarios y mandos de las distintas áreas de la corporación. Durante su mensaje, el titular destacó que la trayectoria del oficial caído deja un legado imborrable para la institución, al representar la vocación, la valentía y el sentido del deber que caracterizan a las y los policías capitalinos. Subrayó que, a lo largo de más de 30 años de servicio, Román Martínez cumplió con su labor con profesionalismo, determinación y honor, siempre comprometido con la seguridad, la paz y la justicia en la ciudad. Como parte de la ceremonia, se montó una guardia de honor alrededor del féretro, al que se le colocaron la bandera y el kepí que portó durante su carrera policial. La Banda de Guerra, integrada por elementos de la Policía Auxiliar, Bancaria e Industrial y del Agrupamiento Zorros, interpretó el toque de silencio, mientras un equipo de fusilería realizó una salva de honor. El último pase de lista fue pronunciado por el Inspector General Eder Alberto Otañez Herrera, director general regional de Álvaro Obregón, quien recordó la calidad humana del oficial y su convicción por hacer lo correcto, y expresó a la familia que no están solos y que su memoria permanecerá viva en la institución. Finalmente, Vázquez Camacho hizo un llamado a los policías a no descansar hasta detener a los responsables.</t>
  </si>
  <si>
    <t>SSC investiga agresión de policías a un hombre en Cuauhtémoc</t>
  </si>
  <si>
    <t>https://www.jornada.com.mx/noticia/2025/12/29/capital/ssc-investiga-agresion-de-policias-a-un-hombre-en-cuauhtemoc</t>
  </si>
  <si>
    <t>Ciudad de México.La Secretaría de Seguridad Ciudadana de la Ciudad de México informó que, tras la difusión de un video en redes sociales que muestra una detención en la alcaldía Cuauhtémoc, en la que un hombre es agredido por policías, la Dirección General de Asuntos Internos inició la carpeta de investigación correspondiente para esclarecer los hechos.En las imágenes se observa presuntamente a un mando del sector Tlatelolco, junto con otro elemento de la misma corporación, golpeando en la espalda a un ciudadano con un palo.Ante esta situación, la SSC señaló que se trabaja en la identificación de los policías involucrados, quienes serán citados a rendir su declaración a fin de determinar posibles responsabilidades.</t>
  </si>
  <si>
    <t>Metrobús concluye servicio temporal de la ruta Glorieta Cuitláhuac–Alameda Tacubaya</t>
  </si>
  <si>
    <t>https://www.jornada.com.mx/noticia/2025/12/29/capital/metrobus-concluye-servicio-temporal-de-la-ruta-glorieta-cuitlahuacalameda-tacubaya</t>
  </si>
  <si>
    <t>Ciudad de México.A partir del lunes 5 de enero, el Metrobús concluirá el servicio de la ruta de apoyo Glorieta Cuitláhuac–Alameda Tacubaya, la cual operó desde noviembre de 2023 y fue ampliada en abril de 2024 como alternativa de movilidad durante la modernización de la Línea 1 del Sistema de Transporte Colectivo Metro.El organismo informó que con la apertura total de la Línea en noviembre pasado el servicio temporal cumplió su objetivo y por ello dejará de operar y precisó que las rutas que continuarán en la Línea 7 son: Indios Verdes–Campo Marte, Hospital Infantil La Villa–Campo Marte, Indios Verdes–La Diana, Hospital Infantil La Villa–La Diana, Garibaldi–Campo Marte Los autobuses serán reasignados a las rutas Garibaldi–Campo Marte e Indios Verdes–La Diana, por lo que seguirán circulando sobre Paseo de la Reforma. La dependencia recomendó a los usuarios verificar la pantalla frontal y lateral de las unidades antes de abordar.</t>
  </si>
  <si>
    <t>38 detenidos en tres días durante operativos de seguridad en la CDMX</t>
  </si>
  <si>
    <t>https://www.jornada.com.mx/noticia/2025/12/29/capital/ssc-detiene-a-38-personas-en-tres-dias-durante-operativos-de-seguridad-en-la-cdmx</t>
  </si>
  <si>
    <t>Ciudad de México. En solo tres días, policías de la Secretaría de Seguridad Ciudadana (SSC) de la Ciudad de México, detuvieron a 38 personas por diversos ilícitos durante operativos integrales de prevención del delito desplegados en distintas zonas de la capital. Como parte del reforzamiento de la seguridad, del 26 al 28 de diciembre, la SSC movilizó diariamente a mil 384 policías, apoyados con 308 vehículos oficiales, quienes realizaron recorridos de vigilancia, instalaron puntos de control fijos y móviles y efectuaron revisiones preventivas en las 16 alcaldías, en los que también participaron 20 elementos de la Secretaría de la Defensa Nacional, con ocho unidades.Durante el periodo referido se realizaron 2 mil 4 revisiones a motocicletas, principalmente en las alcaldías Cuauhtémoc, Iztapalapa, Azcapotzalco y Álvaro Obregón. Derivado de estas acciones, se aplicaron 269 infracciones por diversas faltas al Reglamento de Tránsito, en su mayoría por no portar casco de protección, y 266 motocicletas fueron enviadas a depósitos vehiculares.Además, 10 personas fueron detenidas por robo a transeúnte en diferentes demarcaciones, en Cuauhtémoc se aseguraron objetos punzocortantes y dinero; en Azcapotzalco fue detenida una persona que robó una bicicleta tras amenazar con un cúter y otra más por robo a negocio; en Álvaro Obregón se capturó a tres individuos con réplicas de armas de fuego; mientras que en Venustiano Carranza e Iztapalapa se realizaron detuvieron a tres personas. Asimismo, 22 personas fueron detenidas por delitos contra la salud, a quienes se les aseguraron diversas cantidades de mariguana, cocaína ycristal,en colonias de Iztapalapa, Tláhuac, Cuauhtémoc, Azcapotzalco, Benito Juárez y Álvaro Obregón. Entre los detenidos se encuentra un ciudadano de nacionalidad extranjera. En otras acciones, policías recuperaron una motocicleta robada y aseguraron una réplica de arma de fuego en Iztapalapa, donde también fue detenida una persona que portaba un arma con cartuchos útiles y posible droga. Además, se reforzaron los dispositivos de seguridad en las inmediaciones del Aeropuerto Internacional de la Ciudad de México.La SSC informó que los detenidos y los objetos asegurados fueron puestos a disposición del Ministerio Público.</t>
  </si>
  <si>
    <t>Socavones en vías primarias se incrementaron 300 por ciento en 2025: Segiagua</t>
  </si>
  <si>
    <t>https://www.jornada.com.mx/noticia/2025/12/29/capital/socavones-en-vias-primarias-se-incrementaron-300-por-ciento-en-2025-segiagua</t>
  </si>
  <si>
    <t>Durante 2025 se registraron 132 socavones sólo en las vías primarias de la Ciudad de México, lo que representó un incremento de más de 300 por ciento en comparación con el año pasado, cuando se reportaron 39 oquedades, es decir, tres veces más. Información de la Secretaría de Gestión Integral del Agua (Segiagua) obtenida vía transparencia, detalla que tres alcaldías concentraron la mitad de los socavones: Gustavo A. Madero, con 35; Iztapalapa, con 19, e Iztacalco, con 12. A estas demarcaciones le siguen Venustiano Carranza y Azcapotzalco, con 11 en cada una; Álvaro Obregón, Coyoacán y Tláhuac, con cinco respectivamente, y Cuauhtémoc, con cuatro. En contraste, las que menor número de oquedades registraron son Milpa Alta y La Magdalena Contreras, con una cada una; Tlalpan con dos y Miguel Hidalgo con tres. Aunque no hay un presupuesto destinado específicamente para la atención de socavones, a esta dependencia se le asignaron 110 millones de pesos para contingencias este año, de acuerdo con el programa operativo anual. En el informe que dio a conocer, aseguró que los 132 socavones fueron ya reparados. Hasta agosto pasado se habían reportado 37 socavones en vías primarias, lo que significa que prácticamente se cuadriplicaron en los cuatro meses anteriores. Las autoridades explicaron que la formación de estas oquedades obedecen a la saturación de los colectores de drenaje, así como al peso y la presión del agua que generan fisuras y provocan que se originen cavernas subterráneas bajo el asfalto, hasta que colapsa. A la formación de estos socavones se suman los de las vías secundarias, que son responsabilidad de las alcaldías atender, cuyo número en conjunto se desconoce, pero superan a los de las vías primarias. De enero a octubre, por ejemplo, en Iztapalapa se originaron 232 oquedades de grandes dimensiones como los registrados en las colonias Renovación y Santa Martha Acatitla.</t>
  </si>
  <si>
    <t>Menester, una reforma profunda de la Contraloría para mejorar su operación</t>
  </si>
  <si>
    <t>https://www.jornada.com.mx/noticia/2025/12/29/capital/menester-una-reforma-profunda-de-la-contraloria-para-mejorar-su-operacion</t>
  </si>
  <si>
    <t>La titular de la Secretaría de la Contraloría General del Gobierno de la Ciudad de México, Nashieli Ramírez Hernández, aseguró que la dependencia requiere de una profunda reforma legislativa que mejore su operación, pues una simple queja por pedir mordida para un trámite tarda en resolverse hasta 10 años si ésta llega a tribunales. Ramírez recibe a este diario en su oficina ubicada en el piso 16 de la secretaría, ubicada en avenida Arcos de Belén número 2, colonia Doctores, alcaldía Cuauhtémoc, desde donde observa la ciudad y afirma que “hemos convertido a la Contraloría en un elefante blanco, pero en esencia no es un elefante”. Reconoce que en la resolución de casos por el Tribunal de Justicia Administrativa “no le va muy bien a la Contraloría, casi no ganamos ni uno”; además, la dependencia es lejana a la ciudadanía, pues la gente no conoce sus funciones ni a qué se dedica. Uno de los problemas es que una vez que se presenta una queja por corrupción y se inicia una investigación, no se informa a la persona afectada sobre la resolución, pues la ley considera que el Estado es el agravado, “acaba siendo opaco, pero no es que se quiera ser opaco, es simple interpretación de la ley”, aseguró la funcionaria, al comentar que las denuncias vía aplicación digital pasaron de 300 en un año a mil 500. Por ello se requiere modificar unas 20 leyes locales –entre ellas la de Responsabilidad Administrativa, de la Administración Pública, de la Contraloría y de la Auditoría Superior, para disminuir a tres meses la resolución de quejas y denuncias. “Vamos a entrar con un bloque fuerte de reformas, lo estamos trabajando para que sea en paquete, pero no nos vamos a esperar a eso, queremos una interpretación menos formalista de la ley y con un enfoque de derechos humanos, más de pro persona, más en la lógica de llegar a la gente”. Nashieli Ramírez, quien fue titular de la Comisión de Derechos Humanos local, afirmó que su visión de la Contraloría es la de fomentar el derecho de la ciudadanía a la buena administración, así como fortalecer la labor interna preventiva para que las contralorías “dejen de ser una piedra en el zapato, que sean un acompañamiento para que las cosas se hagan bien y transparentes y de buen gobierno. Para ejercitar este derecho, es necesario atacar las desviaciones de corrupción o de mordidas, (…). Queremos hacer resoluciones técnicas, mi terreno no es la disputa política”. En el combate a la corrupción, dijo que se analizan las encuestas de seguridad ciudadana sobre extorsiones por servidores públicos, así como en la percepción. Este último indicador debería disminuir en cuanto se implemente en nuevo plan de trabajo, aseguró. A casi tres meses de haber sido nombrada contralora por el Congreso de la Ciudad de México, consideró que debe ser reactivado el Sistema Anticorrupción para tener más comunicación y coordinación entre todos los entes, por lo que propuso reformar la ley, pues en la actualidad el sistema está plasmado de una estructura que requiere recursos de varias dependencias. “Tal y como está puesto ahorita tenemos que repensar el sistema para hacerlo más operativo, tenemos que tener mejor coordinación y pensar que la Contraloría tiene un papel, y no es pensar que por sí sola va a tener la fuerza o la lógica de atacar un fenómeno así”. Sobre el nuevo instituto de transparencia, órgano descentralizado de la Contraloría, consideró que debe ser colegiado sin que fomente egos políticos, porque había “disputa entre los propios comisionados por quién lucía más. Eso se tiene que evitar; el juego del poder cuando no es un poder, es una responsabilidad”, comentó Ramírez, quien dijo que en los próximos meses habrá procesos de discusión con académicos y expertos en derecho a la información y rendición de cuentas para crear el nuevo instituto.</t>
  </si>
  <si>
    <t>Asesinan a policía de la SSC durante atención a robo en Álvaro Obregón</t>
  </si>
  <si>
    <t>https://www.jornada.com.mx/noticia/2025/12/28/capital/asesinan-a-policia-de-la-ssc-durante-atencion-a-robo-en-alvaro-obregon</t>
  </si>
  <si>
    <t>Ciudad de México.El policía segundo Román Martínez Estrada, de la Secretaría de Seguridad Ciudadana, murió esta noche tras recibir varios disparos mientras atendía un reporte de robo a casa habitación en la colonia Jardines del Pedregal, alcaldía Álvaro Obregón. Así lo confirmó hace unos minutos el jefe de la policía capitalina, Pablo Vázquez, quien aseguró que “no habrá impunidad para quienes cometieron este cobarde ataque” y expresó su solidaridad y condolencias a los familiares. Según informó la dependencia, el hecho ocurrió cuando dos uniformados observaron que varios sujetos salían de la vivienda y comenzaron a correr al notar la presencia policial. Uno de ellos disparó contra un oficial, quien repelió la agresión, lesionando a uno de los implicados. Los responsables huyeron en una camioneta azul, pero al perder el control tras ser averiada por impactos de arma de fuego, la abandonaron y continuaron la fuga en un vehículo robado y por un cerco de monitoreo fueron ubicados en Periférico y Mazaryk, en la colonia Polanco, demarcación Miguel Hidalgo, donde abandonaron el auto junto a una caja fuerte para huir hacia la plaza Antara, por lo que se generó una fuerte movilización policiaca, donde fue detenido uno de los responsables.</t>
  </si>
  <si>
    <t>Policía de la SSC es herido al frustrar robo a domicilio en Jardines del Pedregal</t>
  </si>
  <si>
    <t>https://www.jornada.com.mx/noticia/2025/12/28/capital/policia-de-la-ssc-es-herido-en-intento-de-robo-de-vehiculo-en-jardines-del-pedregal</t>
  </si>
  <si>
    <t>Ciudad de México.Un policía de la Secretaría de Seguridad Ciudadana resultó lesionado por disparo de arma de fuego mientras intentaba detener el robo en un domicilio en la calle Lluvia en la colonia Jardines del Pedregal, lo que provocó una fuerte movilización policiaca para dar con los responsables. El incidente ocurrió cuando dos uniformados observaron que de la vivienda en la citada colonia salían varios sujetos que comenzaron a correr al notar su presencia, uno de ellos realizó disparos en contra de un oficial, quien repelió la agresión, lesionando a uno de los implicados. Los presuntos culpables abandonaron una camioneta azul en la que se impactaron tras resultar averiada por los disparos, dejando la puerta abierta y las llaves puestas. Continuaron su fuga en un vehículo que robaron, el cual fue hallado con una caja fuerte en inmediaciones de la alcaldía Miguel Hidalgo. Por ello, se les dio seguimiento en un cerco virtual. El elemento lesionado fue trasladado por sus propios medios en una patrulla al Hospital San Ángel Inn, quien tuvo una herida en la pierna. Personal del Escuadrón de Rescate y Urgencias Médicas y la unidad Cóndor apoyaron en el traslado y la atención médica.</t>
  </si>
  <si>
    <t>Patrulla de la SSC atropella a motociclista en la GAM</t>
  </si>
  <si>
    <t>atropellado</t>
  </si>
  <si>
    <t>Gustavo A. Madero</t>
  </si>
  <si>
    <t>https://www.jornada.com.mx/noticia/2025/12/28/capital/patrulla-de-la-ssc-atropella-a-motociclista-en-la-gam</t>
  </si>
  <si>
    <t>Ciudad de México. El conductor de una motocicleta resultó lesionado luego de ser atropellado por una patrulla de la Secretaría de Seguridad Ciudadana de la Ciudad de México  en la Colonia Gabriel Hernández, demarcación Gustavo A. Madero.El incidente ocurrió en el cruce de las calles Cabo Verde y Cabo Finisterri, cuando el elemento policiaco que conducía  la unidad embistió  al hombre, quien quedó en la parte frontal de la patrulla con el casco puesto debido a la fuerza del golpe y sus pertenencias se dispersaron sobre el asfalto.Al lugar arribaron servicios de emergencia para brindar atención médica y trasladar al lesionado a un hospital cercano.Las autoridades iniciaron las investigaciones correspondientes para determinar las causas del accidente y deslindar responsabilidades.</t>
  </si>
  <si>
    <t>En 2025, 246 personas remitidas al Juzgado Cívico por tirar basura en la Cuauhtémoc</t>
  </si>
  <si>
    <t>https://www.jornada.com.mx/noticia/2025/12/28/capital/en-2025-246-personas-remitidas-al-juzgado-civico-por-tirar-basura-en-la-cuauhtemoc</t>
  </si>
  <si>
    <t>Ciudad de México.Durante 2025, un total de 246 personas fueron detenidas y remitidas al Juzgado Cívico en la Alcaldía Cuauhtémoc por tirar basura en la vía pública, de acuerdo con información oficial de la demarcación. Los hechos ocurrieron entre el 1 de enero y el 26 de diciembre de este año.Las detenciones fueron realizadas por elementos de la Policía Auxiliar, adscritos al sector 64 Orión, con presencia en las 33 colonias de la alcaldía, como parte de operativos de vigilancia en puntos identificados como tiraderos clandestinos. Las acciones se enmarcan en la estrategia denominada Blindar Cuauhtémoc.En paralelo, la Dirección General de Servicios Urbanos reportó la identificación de 205 puntos de disposición ilegal de residuos en la demarcación, de los cuales más de 100 han sido intervenidos o erradicados durante el año, según datos oficiales.De acuerdo con la Ley de Cultura Cívica de la Ciudad de México, tirar residuos en la calle constituye una infracción contra el entorno urbano; el artículo 29 de dicha normativa establece sanciones que pueden ir desde trabajo comunitario y multas, hasta arrestos, según la gravedad y reincidencia de la falta.Para 2026, la alcaldía prevé la incorporación de dos nuevos camiones recolectores de basura, con el objetivo de ampliar la cobertura y frecuencia del servicio de limpia en la demarcación.Las autoridades locales señalaron que el manejo de residuos en el espacio público es una responsabilidad compartida entre gobierno y ciudadanía, y que las sanciones buscan disuadir prácticas que afectan el entorno urbano.</t>
  </si>
  <si>
    <t>Detienen a 8 personas, una de ellas menor, vinculadas a grupo delictivo de la zona oriente</t>
  </si>
  <si>
    <t>https://www.jornada.com.mx/noticia/2025/12/28/capital/detienen-a-8-personas-una-de-ellas-menor-vinculadas-a-grupo-delictivo-de-la-zona-oriente</t>
  </si>
  <si>
    <t>Ciudad de México.Ocho personas, entre ellas una mujer y un menor de edad, fueron detenidas por elementos de la Secretaría de Seguridad Ciudadana, presuntamente vinculadas con distintos hechos delictivos, durante un operativo de reforzamiento de seguridad desplegado en la zona oriente de la capital, en las demarcaciones  Iztapalapa y Tláhuac. Como parte del despliegue, los uniformados revisaron a mil 420 personas, así como 340 motocicletas y 140 vehículos; además, 22 unidades fueron remitidas a depósitos vehiculares y se levantaron 25 infracciones. Las detenciones se realizaron en distintos hechos, presuntamente relacionados con delitos como robo, portación de droga y agresiones.El primer hecho ocurrió en la colonia Consejo Agrarista Mexicano, donde policías atendieron el reporte de un robo de motocicleta en las calles Arroyo Frío y Palma. De acuerdo con el denunciante, dos sujetos que viajaban en una motocicleta negra lo amagaron con lo que parecía ser un arma de fuego para despojarlo de su unidad. Los presuntos responsables fueron alcanzados metros adelante y, tras ser identificados, quedaron detenidos un joven de 21 años y un menor de 16, a quienes se les aseguró una réplica de arma de fuego y se recuperó la motocicleta.En otro punto, en la colonia Santa Ana Poniente, alcaldía Tláhuac, fue detenido un joven de 19 años que intentó evadir a los policías; durante una revisión preventiva se le aseguraron 24 bolsas con aparente marihuana, 38 dosis de posible crystal y una báscula gramera. Asimismo, en la colonia Selene, un hombre de 22 años fue detenido tras ser señalado como probable responsable de agredir a varias personas y portar 40 bolsas con probable marihuana.En la alcaldía Iztapalapa, dos hombres de 25 años fueron detenidos en la colonia Santa Martha Acatitla en posesión de 74 dosis de posible marihuana; durante esta acción también fue asegurada una mujer de 32 años, quien presuntamente intentó impedir la labor policial y forcejeó con los uniformados. En un hecho distinto, en la colonia Juan Escutia, un joven de 21 años fue detenido tras ser señalado por despojar de dinero en efectivo a una persona, a la que habría amagado con un cuchillo.La SSC informó que a todas las personas detenidas se les realizaron revisiones preventivas conforme a los protocolos, se les leyeron sus derechos constitucionales y fueron puestas a disposición del Ministerio Público, junto con lo asegurado, para definir su situación jurídica. Además, se indicó que uno de los detenidos cuenta con dos presentaciones previas ante el Juez Cívico, por faltas administrativas registradas en 2021 y 2025.El operativo se extendió a diversas colonias de Iztapalapa, entre ellas Derechos Democráticos, El Molino Tezonco, Chinampac de Juárez y Ejército de Oriente, así como a Zapotitlán Centro y Nopalera, en la alcaldía Tláhuac, como parte de las acciones permanentes para el fortalecimiento de la seguridad en la zona oriente de la capital.</t>
  </si>
  <si>
    <t xml:space="preserve">Cae José 'N' por desaparición de mujer policía en la Álvaro Obregón </t>
  </si>
  <si>
    <t>https://www.jornada.com.mx/noticia/2025/12/28/capital/cae-jose-n-por-desaparicion-de-mujer-policia-en-la-alvaro-obregon</t>
  </si>
  <si>
    <t>Ciudad de México.Agentes de la Policía de Investigación de la Fiscalía General de Justicia de la Ciudad de México aprehendieron a José “N”, por su probable participación en el delito de desaparición agravada en perjuicio de una mujer policía adscrita a la Secretaría de Seguridad Ciudadana, quien fue reportada como desaparecida el 23 de diciembre. De acuerdo con la indagatoria a cargo de la Fiscalía de Investigación de los Delitos de Desaparición, la víctima fue vista por última vez el 15 de diciembre, cuando salió de su centro de trabajo ubicado en la alcaldía Álvaro Obregón. Las labores de inteligencia y el análisis de cámaras de videovigilancia permitieron establecer que ese día la mujer ingresó a su domicilio, localizado en la colonia Santa Rosa Xochiac en la misma demarcación, donde residía con su expareja sentimental, sin que exista registro posterior de su salida del inmueble.Con datos de prueba recabados, el Ministerio Público obtuvo de un juez de control una orden de aprehensión contra José “N”, así como una orden de cateo para el domicilio que compartía con la víctima. Ambos mandatos judiciales fueron cumplimentados el 27 de diciembre por personal ministerial.Durante el cateo, las autoridades localizaron una persona sin vida, además de dos teléfonos celulares y una mochila, objetos que quedaron asegurados para su análisis. Ante ello, se realizan los estudios correspondientes para identificar el cuerpo y esclarecer los hechos.El imputado fue trasladado al Reclusorio Preventivo Varonil Norte, donde quedó a disposición de la autoridad judicial que determinará su situación jurídica.</t>
  </si>
  <si>
    <t>Muere un hombre en entrada de sucursal bancaria en la alcaldía Cuauhtémoc</t>
  </si>
  <si>
    <t>https://www.jornada.com.mx/noticia/2025/12/28/capital/un-hombre-muere-en-entrada-de-sucursal-bancaria-en-la-alcaldia-cuauhtemoc</t>
  </si>
  <si>
    <t>Ciudad de México.Un hombre murió en la entrada de una sucursal bancaria ubicada en avenida Juárez y calle Iturbide, en la colonia Centro, alcaldía Cuauhtémoc. De acuerdo con los primeros reportes, oficiales de la Secretaría de Seguridad Ciudadana (SSC) acudieron al sitio tras recibir el reporte y coordinaron los servicios de emergencia. Paramédicos del Escuadrón de Rescate y Urgencias Médicas (ERUM), que brindaron la atención, diagnosticaron al hombre, de aproximadamente 45 años de edad, sin signos vitales y sin huellas visibles de violencia, por lo que la causa de la muerte quedó pendiente a determinar. Ante estos hechos, el área fue acordonada y se dio aviso al Ministerio Público para que personal de servicios periciales realice las diligencias correspondientes.</t>
  </si>
  <si>
    <t>STC Metro informa horarios de servicio para el 31 de diciembre y jueves 1 de enero</t>
  </si>
  <si>
    <t>https://www.jornada.com.mx/noticia/2025/12/28/capital/stc-metro-informa-horarios-de-servicio-para-el-31-de-diciembre-y-jueves-1-de-enero</t>
  </si>
  <si>
    <t>Ciudad de México.El Sistema de Transporte Colectivo (STC) Metro recordó a los usuarios que el miércoles 31 de diciembre el servicio operará de 5 a 23 horas. Indicó que la última salida de trenes será a las 22:30 horas desde las terminales de la red y para el jueves 1 de enero se aplicará el horario de día festivo, por lo que la operación iniciará a las 7 horas y concluirá a las 24 horas. El organismo indicó que ese día se permitirá el acceso de bicicletas, conforme al programa “Tu bici viaja en Metro”, vigente los domingos y días festivos.</t>
  </si>
  <si>
    <t>Remiten a más de mil conductores a 'El Torito' en lo que va de las fiestas decembrinas</t>
  </si>
  <si>
    <t>https://www.jornada.com.mx/noticia/2025/12/28/capital/remiten-a-mas-de-mil-conductores-a-el-torito-por-operativo-conduce-sin-alcohol</t>
  </si>
  <si>
    <t>Ciudad de México.Mil 64 conductores fueron remitidos al Centro de Sanciones Administrativas, conocido comoEl Torito, por rebasar los límites permitidos de alcohol en la sangre, informó la Secretaría de Seguridad Ciudadana de la ciudad de México. La dependencia señaló  que lo anterior fue como resultado de los operativos del programa Conduce Sin Alcohol implementados del 12 y el 27 de diciembre. Durante ese mismo periodo, personal de la Secretaría aplicó 299 mil 408 pruebas AlcoStop —para detectar alcohol en el ambiente interior de los vehículos—. Asimismo, 3 mil 427 pruebas de alcoholemia mediante aire espirado, acciones que derivaron además en el envío de mil 50 vehículos a depósitos vehiculares.</t>
  </si>
  <si>
    <t xml:space="preserve">Suspenden servicio en estación del Metro Auditorio de Línea 7 </t>
  </si>
  <si>
    <t>https://www.jornada.com.mx/noticia/2025/12/28/capital/suspenden-servicio-en-estacion-del-metro-auditorio-de-linea-7</t>
  </si>
  <si>
    <t>Ciudad de México.El Sistema de Transporte Colectivo Metro informó que hoy  se realizan trabajos en la estación Auditorio de la Línea 7, por lo que no habrá ascenso ni descenso en este punto. Señaló que lo anterior se debe a las acciones de mejora a la infraestructura del organismo. El servicio de trenes en la Línea 7 opera con normalidad, sin realizar parada únicamente en Auditorio. Dijo que como alternativas, se pueden utilizar las estaciones Polanco y Constituyentes. El STC exhortó a los pasajeros a tomar previsiones y planear sus traslados.</t>
  </si>
  <si>
    <t>Se aglomeran familias en feria de Reyes Magos en avenida Hidalgo</t>
  </si>
  <si>
    <t>https://www.jornada.com.mx/noticia/2025/12/28/capital/se-aglomeran-familias-en-feria-de-reyes-magos-en-avenida-hidalgo</t>
  </si>
  <si>
    <t>Cientos de familias despidieron el último fin de semana del año en la feria y romería de los Reyes Magos instalada en avenida Hidalgo, cuyas amenidades incluyen 26 diferentes escenarios para tomarse la fotografía con sus majestades y un trasnochado Santaclós. En un espacio incómodo para circular a un costado de la Alameda Central, entre el filo de la banqueta y los bordes de las jardineras, decenas de personas avanzaban, a veces a trompicones, para elegir el mejor escenario para su foto en formato de 20 por 30 centímetros por un precio de 350 pesos en marco y 250 en calendario. En las escenografías predominaban las estampas evangélicas con el elefante, el camello y un caballo, pero las había también con decorados con protagonistas de la cinematografía infantil:Frozen,Lilo y Stich,Entrenar a tu dragón,Toy StoryySuper Mario Bros. Para Jaime Trejo, quien llegó con su esposa y sus dos hijos desde el municipio de Teoloyucan, estado de México, a “dos horas de camino”, le pareció “no tan caro” el precio de la foto, y compró también una corona con luces para cada integrante de su familia por 50 pesos la pieza. El viaje valió la pena por que disfrutó el sábado decembrino con su familia, aseguró mientras hacía fila para subir a sus niños al carrusel. Jimena Miranda, encargada de uno de los escenarios, admitió que el espacio que les dieron para instalarse este año resultó muy incómodo, comparado con el que tuvieron en Plaza de la República en 2024 o del que les asignaron hace varios diciembres del otro lado de la Alameda junto a avenida Juárez. No obstante la algarabía general, algunos consideraron “carísimo” el precio de los juegos mecánicos: a 100 pesos elMartilloy 80 pesos elSky Fire, y la Rueda de la fortuna, mientras que los juegos infantiles cuestan 50 pesos unas pocas vueltas, el juego de canicas y el tiro al blanco con 15 tiros a 70 pesos. Guadalupe Galindo, quien junto con su hermana Jatziri y un sobrino que las visita de Mexicali, acudió desde Iztapalapa, comentó que en la feria que se puso el 22 de noviembre en su colonia, Ejército de Agua Prieta, por la fiesta patronal del Sagrado Corazón, el precio de los juegos fue de 50 y 60 pesos. A la feria, que permanecerá hasta el 6 de enero, llegó también Cristopher Iván, con sus amigos Carlos Calero y Esteban Romero, después de vender en el tianguis decomicsyrock showde juguetes coleccionables, en avenida Hidalgo y Reforma, y con un piedra, papel y tijeras decidieron el turno para el toro mecánico.</t>
  </si>
  <si>
    <t>Hay inconsistencias en la demolición del teatro Manolo Fábregas: vecinos</t>
  </si>
  <si>
    <t>https://www.jornada.com.mx/noticia/2025/12/28/capital/hay-inconsistencias-en-la-demolicion-del-teatro-manolo-fabregas-vecinos</t>
  </si>
  <si>
    <t>Ante la inminente pérdida del teatro Manolo Fábregas con su consecuente impacto cultural y para evitar que en el predio, que supera los 2 mil 300 metros cuadrados de construcción, se edifiquen nuevas torres de departamentos, vecinos de la colonia San Rafael se inconformaron con la administración de Alessandra Rojo de la Vega en la alcaldía Cuauhtémoc por las inconsistencias en la publicitación de demolición. De acuerdo con el oficio presentado en la dirección de obras y desarrollo urbano de dicha demarcación territorial, el permiso que se exhibe en el recinto, ubicado en la calle Serapio Rendón 15, tiene logotipos de la pasada administración 2021-2024. Además, no cuenta con estudio de impacto urbano ni ambiental, tampoco dictamen de riesgo y la publicitación está dirigida a los habitantes de la colonia Roma Norte, a pesar que el inmueble está en la San Rafael. El documento fue presentado antes del 11 de diciembre, que era el plazo que tenían los vecinos para inconformarse y detener el derrumbe del inmueble de planta baja y primer nivel a doble altura. Sin embargo, los residentes manifestaron que en el predio se han observado trabajos de demolición. La motivación principal de la querella es el temor a que se construyan nuevos conjuntos habitacionales; por eso, también difunden un video en el que advierten que una nueva obra sería “un acto de crimen urbanístico y depredación” para la San Rafael. Explicaron que la colonia se edificó sobre el antiguo lago, por lo cual reporta hundimientos; pese a eso, los desarrolladores siguen haciendo construcciones, pero un nuevo rascacielos afectará a toda la colonia porque sería un riesgo estructural ante la actividad sísmica. Asimismo, indicaron que el teatro Manolo Fábregas está rodeado de casas catalogadas que, con la demolición, la vibración y el nuevo peso de una construcción será un ataque directo a este patrimonio. Además, la falta de infraestructura en drenaje, agua potable sólo garantiza con la llegada de un desarrollo masivo se desate una crisis para las familias. “Eliminar el teatro Manolo Fábregas es entregar la San Rafael a la gentrificación”. Luego de la inconformidad presentada por los vecinos, la alcaldía sólo se limitó a responder que realizaría la visita de verificación correspondiente para salvaguardar el cumplimiento de la normatividad.</t>
  </si>
  <si>
    <t>Mil 229 familias aún reciben apoyo para rentas por sismo de 2017</t>
  </si>
  <si>
    <t>https://www.jornada.com.mx/noticia/2025/12/28/capital/mil-229-familias-aun-reciben-apoyo-para-rentas-por-sismo-de-2017</t>
  </si>
  <si>
    <t>Ciudad de México.Un total de mil 229 familias damnificadas por el sismo de 2017 aún reciben apoyo para renta por parte del Gobierno de la Ciudad de México, en tanto se concluye la rehabilitación o reconstrucción de sus viviendas. Según datos de la Comisión para la Reconstrucción de la Ciudad de México, de 2019 a noviembre de este año se han erogado más de mil 677 millones de pesos en ese rubro. En un principio, el apoyo era de 4 mil pesos mensuales; sin embargo, desde el año pasado se incrementó a 5 mil 395, ajuste calculado con base en la inflación. Dicho ayuda se encuentra estipulada en el Plan para la Reconstrucción Integral de la Ciudad de México dirigido a las personas que tuvieron que desocupar su vivienda en tanto se refuerzan o rehabilitan, por lo que el número de apoyos entregados a la fecha suman 413 mil 117. En enero de este año se destinaron 7 millones 430 mil 292 en este programa, cifra que para octubre se redujo a 6 millones 820 mil 544 pesos, según los datos publicados por la Comisión para la Reconstrucción en el portal de transparencia. La mayoría están relacionadas con viviendas ubicadas en las alcaldías Coyoacán, Cuauhtémoc, Benito Juárez e Iztapalapa, y en menor medida Miguel Hidalgo y Tlalpan. Por otro lado, el gasto ejercido en la reconstrucción de 2019 a la fecha suma más de 9 mil 149 millones de pesos; 56 por ciento se destinaron a la vivienda multifamiliar y 39 por ciento a la de tipo unifamiliar. Los datos de la comisión señalan que hasta el 11 de diciembre se habían entregado 20 mil 246 viviendas dañadas por el terremoto, de un total de 22 mil 95. De los inmuebles en los que ya se concluyeron las obras, 7 mil 16 fueron reconstruidos, mientras en 13 mil 238 se realizaron trabajos de rehabilitación. En tanto, 433 familias fueron reubicadas debido a que sus viviendas se localizaban en un predio cuyas condiciones geológicas no pueden ser mitigadas, ya sea por grietas, fallas, fracturas o escalonamientos, que ponen en riesgo su seguridad. En este rubro se utilizaron dos modelos de atención: la reubicación a una vivienda localizada en suelo seguro; en los casos en que no se haya podido acreditar la propiedad del inmueble afectado o se encuentren en el supuesto de familia extendida o desdoblada, el acceso al beneficio es por medio de un crédito del Instituto de Vivienda local. El otro esquema fue la entrega de un apoyo económico, a quienes decidieron buscar por cuenta propia otra opción, por un monto máximo de 520 mil pesos.</t>
  </si>
  <si>
    <t>Con programa preventivo, evitan 104 intentos de suicidio en el Metro de la CDMX</t>
  </si>
  <si>
    <t>https://www.jornada.com.mx/noticia/2025/12/27/capital/metro-evita-104-atentados-contra-la-vida-propia-en-2025</t>
  </si>
  <si>
    <t>Ciudad de México.El Metro es el sitio donde más personas intentan quitarse la vida, sin embargo, a través del programa Salvemos Vidas del Sistema de Transporte Colectivo se logró la contención de 104 ciudadanos que trataron de suicidarse o que presentaban fuertes crisis emocionales durante este año que termina. Los datos del sistema detallan que, en promedio al año han apoyado a 97 personas, a quienes también las reúnen con sus familiares. La asistencia no solo se concentra en atender la crisis, también se les ha proporcionó atención psicológica personalizada, incluso traslados a unidades de atención especializada. El programa se realiza desde el 2016, desde ese año se han apoyado a un total de 872 personas. El personal del programa, lo conforman profesionistas en psicología, quienes han capacitado a policías de la Secretaría de Seguridad Ciudadana de la ciudad de México asignados a vigilancia en las estaciones, así como al personal de la gerencia de Seguridad Institucional del Metro. La capacitación incluyó guías de apoyo para la detección y disuasión de personas con comportamiento suicida en las instalaciones del STC Metro; empatía, manejo de situaciones de crisis y gestión emocional; también, abordaje de usuarios consumidores de sustancias psicoactivas. Además para reforzar los esquemas de contención, Salvemos Vidas mantiene una agenda anual de instalación de módulos informativos itinerantes en la red y cuenta con un módulo permanente, en la estación Juárez de Línea 3, en un horario de 10:00 a 18:00 horas, con atención de personal especializado en psicología.</t>
  </si>
  <si>
    <t>Joven es detenido tras atropellar a policía en punto de revisión en La Lagunilla</t>
  </si>
  <si>
    <t>https://www.jornada.com.mx/noticia/2025/12/27/capital/joven-es-detenido-tras-atropellar-a-policia-en-punto-de-revision-en-la-lagunilla</t>
  </si>
  <si>
    <t>Ciudad de México. Un joven fue detenido por elementos de la Subsecretaría de Control de Tránsito luego de atropellar a un uniformado con su motocicleta, para evitar una revisión en las inmediaciones del mercado de La Lagunilla. Como parte del programa de revisión a motociclistas, los oficiales establecieron un dispositivo sobre el Eje 1 Norte Rayón y la calle Comonfort, en la colonia Morelos, cuando le marcaron el alto a un motociclista que no portaba la placa de circulación. En ese momento, el sujeto hizo caso omiso a la indicación y ante la proximidad de los uniformados intentó emprender la huida por lo que impactó a un oficial de Tránsito. Paramédicos de la Cruz Roja Mexicana que arribaron al punto, diagnosticaron al uniformado con fractura de tibia, motivo por el cual lo trasladaron a un hospital para su atención médica especializada. En tanto el joven de 20 años de edad fue detenido y junto con la motocicleta asegurada, fue presentado ante el agente del Ministerio Público correspondiente, quien se encargará de definir su situación jurídica.</t>
  </si>
  <si>
    <t>Venta de nochebuenas deja derrama por 98 millones de pesos: Sedema</t>
  </si>
  <si>
    <t>https://www.jornada.com.mx/noticia/2025/12/27/capital/venta-de-nochebuenas-deja-derrama-por-98-millones-de-pesos-sedema</t>
  </si>
  <si>
    <t>Ciudad de México.La Secretaría de Medio Ambiente (Sedema) informó que la temporada de comercialización de flores de nochebuena dejó una derrama por más de 98 millones de pesos gracias a la venta de un millón 711 mil 336 plantas, lo que significó 91 por ciento de la producción total lograda en el suelo de conservación de la capital. Esto benefició a 216 productores, principalmente de cinco pueblos de Xochimilco, quienes recibieron apoyos económicos como parte del programa Altépetl Bienestar, que incluyó además de capacitación técnica, inversión en infraestructura rural, acceso a tecnología y estrategias de comercialización. Las nochebuenas fueron cultivadas en 29.6 hectáreas ubicadas en zonas productoras de los pueblos San Luis Tlaxialtemalco, San Gregorio Atlapulco, Santiago Tepalcatlalpan, San Juan Ixtayopan y Santiago Tulyehualco, logrando una producción total de un millón 874 mil 453 plantas, la más alta registrada en los pasados cinco años. Además, se apoyó a los productores con la habilitación de caminos rurales para visitar las áreas de siembra y comprar la flor en el mismo lugar, como el denominado Sendero de la estrella de invierno. También se instalaron puntos de venta directa, como el llamado Festival de Flores de Nochebuena en la Puerta de los Leones del Bosque de Chapultepec y el Zócalo, además de campañas de difusión para promover el consumo local y fortalecer la identidad cultural del producto. Todo se hizo con el apoyo de las autoridades capitalinas; de esa manera, indicó la dependencia, reafirman su compromiso con las familias del campo capitalino, al impulsar una producción local sostenible, promoviendo el consumo directo con productores y se fortalece el bienestar de quienes cuidan el territorio, la biodiversidad y las tradiciones de la capital. “Fortalecer la economía local es indispensable para apoyar y dignificar el trabajo de los productores del suelo de conservación. Además, es un paso para la economía circular con la que la trazabilidad de los productos (origen y destino) es clara.” La Sedema agregó que el esfuerzo de los productores contribuye a la conservación del suelo, ya que permite mantener vivos los servicios ambientales que benefician a la metrópoli, como la recarga de acuíferos, la regulación climática y la protección de la biodiversidad.</t>
  </si>
  <si>
    <t>La Zona Rosa es segura, afirman comerciantes</t>
  </si>
  <si>
    <t>https://www.jornada.com.mx/noticia/2025/12/27/capital/la-zona-rosa-es-segura-afirman-comerciantes</t>
  </si>
  <si>
    <t>Ciudad de México.Para la Agrupación de Comerciantes de la Zona Rosa, este polígono es seguro y se halla en un proceso de renovación de imagen urbana y cultural de cara a 2026, con calles semipeatonales, más luminarias, baños públicos y hasta la restauración de estatuas como parte de su conservación patrimonial. El presidente de dicha asociación, Rafael Saavedra, aseguró que la Zona Rosa cuenta con dos caras para los visitantes: la primera durante el día, llena de comercios de ropa y restaurantes, mientras por la noche se transforma en un corredor de bares y antros, por lo que el crimen perpetrado el 21 de diciembre en el restaurante Luau es un caso atípico que bien pudo ocurrir en otra parte de la capital. Mencionó que la víctima no era un cliente asiduo de este lugar, según le refirieron encargados del mismo negocio ubicado en la calle Niza, uno de los de mayor tradición en esta parte de la ciudad y que forma parte de la agrupación de comerciantes. Saavedra aseguró que el Mundial de Futbol 2026 volvió a poner los ojos en este polígono, séptimo a nivel nacional en ocupación hotelera, por lo que se trabaja en un proyecto que va lento, pero volverá las calles de “accesibilidad universal”, esto es, que cualquier persona con discapacidad podrá moverse con normalidad. Se instalarán luminarias nuevas que contarán con un sistema de telegestión, con supervisión de 24 horas para casos de vandalismo y daños. También la calle Amberes se convertirá en semipeatonal, con la instalación de bolardos, jardineras nuevas y bancas de reposo. En un recorrido, se constató que las obras ya empezaron en Amberes hasta su cruce con Hamburgo, que se encuentra cerrada por la maquinaria y a que el piso fue levantado. Los peatones tienen que pasar por una sola acera, por lo que trabajadores los orientan para que puedan continuar con su paso. Dicha renovación de imagen urbana incluye las calles Génova, Londres, Hamburgo, Florencia, Niza, Sevilla, Varsovia, Copenhague y hasta avenida Chapultepec, donde habrá jardineras nuevas y se colocarán esculturas “para que la cultura sea el eje más importante alrededor del cual la Zona Rosa puede volver a resurgir”. También habrá módulos de atención turística, pasajes escultóricos y rescate de por lo menos una treintena de inmuebles catalogados, seis de ellos cerca de este polígono. Incluso se pretende renovar la glorieta del Metro Insurgentes para “hacerla más moderna”, con equipamiento urbano y donde habrá un centro cultural. “Nosotros quisiéramos más, que se hubiera hecho antes (renovación) que tuviera otra trascendencia, realmente es para que la Zona Rosa estuviera en muchísimo mejor nivel… Sí creo que nos ha afectado esta brecha política que ha habido, estas distancias, ya no te digo la de la administración pasada, que era un verdadero campo de batalla en la Cuauhtémoc, pero bueno estamos avanzando con mucha lentitud.” Saavedra agregó que para esta parte de la capital ha sido fundamental la presencia de la policía capitalina, en específico de la turística, y que el proyecto en curso prevé que haya mayor presencia de efectivos que garanticen la seguridad en el perímetro.</t>
  </si>
  <si>
    <t>Hasta 15 emergencias al día en la CDMX por fugas de gas y flamazos</t>
  </si>
  <si>
    <t>https://www.jornada.com.mx/noticia/2025/12/27/capital/hasta-15-emergencias-al-dia-en-la-cdmx-por-fugas-de-gas-y-flamazos</t>
  </si>
  <si>
    <t>Cada día, los servicios de emergencia de la Ciudad de México atienden en promedio entre 11 y 15 accidentes relacionados con la falta de mantenimiento de las instalaciones de gas en las viviendas, afirmó la secretaria de Gestión Integral de Riesgos y Protección Civil capitalina, Myriam Urzúa Venegas. Una fuga de gas puede convertirse en un accidente muy grave, expresó la funcionaria, quien señaló que en esta temporada se tiene un registro de 17 personas fallecidas por intoxicación, de allí la necesidad de tomar medidas preventivas para evitar ese tipo de casos. Tan sólo entre el 24 y 26 de diciembre, el Heroico Cuerpo de Bomberos atendió 38 incidencias, principalmente fugas de gas y flamazos, ocurridas principalmente en domicilios ubicados en las alcaldías Iztapalapa, Gustavo A. Madero, Álvaro Obregón y Azcapotzalco. Urzúa acompañó ayer a la jefa de Gobierno, Clara Brugada Molina, a un acto de entrega de cobijas, durante el cual destacó que “cada día tenemos alrededor de una o dos personas fallecidas por lamentables accidentes que pasan en casa, por intoxicaciones de gas o por incendios, que se han hecho por los cables de luz, que tampoco tienen una revisión. La encargada de Protección Civil en la ciudad hizo una serie de recomendaciones a los capitalinos, como revisar que las instalaciones de gas y los tanques se encuentren en buenas condiciones, y destacó que en el caso de los estacionarios tienen que ser remplazados al cumplir 10 años, que es su tiempo máximo de servicio. Asimismo, pidió a la población no llenarlos más allá de 80 por ciento de su capacidad y revisar que no tengan fugas, los cual se puede revisar utilizando agua jabonosa en las tuberías, “y si les empiezan a salir burbujitas, quiere decir que tenemos un escape”. Subrayó que los tanques estacionarios deben estar ubicados especialmente en las azoteas y no cerca de marquesinas, mientras los cilindros tienen que colocarse lejos de las cocinas, de los boilers y cualquier fuente de calor. Recordó que los calentadores de agua no pueden estar en lugares cerrados, sino en zonas ventiladas, ya que se registra un incremento en los casos de intoxicación debido a que dichos aparatos se colocan con frecuencia dentro de las viviendas y el gas se acumula, lo que puede provocar un accidente. La funcionaria agregó que las válvulas tienen que ser revisadas cada siete años y en medida de los posible se debe contar con un dictamen de seguridad vigente hecho por especialistas.</t>
  </si>
  <si>
    <t>Catean bodegas de U-Storage en CDMX por robo de transporte de carga en Michoacán</t>
  </si>
  <si>
    <t>2025-12-26</t>
  </si>
  <si>
    <t>https://www.jornada.com.mx/noticia/2025/12/26/capital/catean-bodegas-de-ustorage-en-cdmx-por-robo-de-transporte-de-carga-en-michoacan</t>
  </si>
  <si>
    <t>Ciudad de México.Agentes de inteligencia de la policía capitalina realizaron un cateo en bodegas de la empresa U-Storage, ubicadas en la Calzada México-Tacuba, derivado de una investigación por robo de transporte de carga ocurrido el pasado 18 de diciembre en Maravatío de Ocampo Michoacán. La investigación CI-FIERVT/ORIENTEII/UI-4 S/D/03003/12-2025 refiere que sujetos robaron un camión de carga con  diferentes productos como cables HDMI, controles remotos, mochilas para laptop y bicicletas eléctricas. La policía Estatal de Michoacán en coordinación con la Policía Estatal del área de recuperación de vehículos del Estado de México, realizaron un seguimiento virtual d donde constataron que la mercancía fue trasladada hasta la capital del país por dos sujetos identificados como Diego N y Julio Jesús N. Estos sujetos fueron detenidos en el Municipio de Naucalpan, Estado de México, según los reportes. Fue así que agentes de la Subsecretaría de Inteligencia e Investigación Policial de la Secretaría de Seguridad Ciudadana (SSC) hallaron que los objetos se encontraba en bodegas de esta empresa por lo que solicitaron una órden de cateo En el lugar hallaron 207 bicicletas eléctricas, 2 mil 600 piezas de soportes de televisión para pared, 5 mil 40 controles remoto, 960 piezas de cables HDMI, y 5 mil 80 mochilas de laptop.</t>
  </si>
  <si>
    <t>Encuentran cadáver envuelto en cobija en calles de Tepito</t>
  </si>
  <si>
    <t>https://www.jornada.com.mx/noticia/2025/12/26/capital/encuentran-cadaver-envuelto-en-cobija-en-calles-de-tepito</t>
  </si>
  <si>
    <t>Ciudad de México.El cuerpo de una muerta fue hallado encobijado sobre la calle Toltecas y esquina con Fray Bartolomé, en el Barrio de Tepito, de la alcaldía Cuauhtémoc, por lo que se iniciaron las investigaciones correspondientes. El hallazgo se realizó en medio de los puestos comerciales de esa zona, por lo que elementos de la policía capitalina acordonaron el lugar. Al arribar se percataron del cuerpo correspondía a una persona de aproximadamente 25 años. De los hechos se dio parte al agente del Ministerio Público para los servicios periciales correspondientes y e iniciar las investigaciones derivadas del caso. En tanto, la SSC realiza el análisis de las cámaras de videovigilancia en la zona para colaborar en las indagatorias.</t>
  </si>
  <si>
    <t>Detienen a 'El Tuxpan', involucrado en asaltos de tiendas Oxxo en Iztapalapa</t>
  </si>
  <si>
    <t>Iztapalapa</t>
  </si>
  <si>
    <t>https://www.jornada.com.mx/noticia/2025/12/26/capital/detiene-a-el-tuxpan-involucrado-en-asaltos-de-tiendas-oxxo-en-iztapalapa</t>
  </si>
  <si>
    <t>Ciudad de México.La policía capitalina detuvo a Sergio Silva aliasEl Tuxpan, relacionado con al menos cinco robos a la misma cadena de tiendas “OXXO”, cometidos en la alcaldía Iztapalapa. El sujeto era buscado por las autoridades por lo que se habían montado recorridos de reconocimiento en diferentes colonias, y visitas diarias a los establecimientos. Tras atender un reporte emitido por los operadores del Centro de Comando y Control (C2) Oriente, elementos de la Secretaría de Seguridad Ciudadana (SSC) logró su detención en la colonia Santa María Aztahuacán. Previo a su aseguramiento,El Tuxpaningresó a robar una tienda en el cruce del Eje 6 avenida De las Torres y la calle 20 de Noviembre, por lo que acudieron de inmediato al lugar. En el sitio, los policías observaron al interior del local a un sujeto que agredía verbalmente y amagaba con un objeto con las características de una pistola a la cajera. De inmediato lo detuvieron y le realizaron una revisión preventiva tras la cual le aseguraron una réplica de arma de fuego, cuatro cajas de cigarros, dos teléfonos celulares con dos accesorios, un dispositivo para pago de peajes y dinero en efectivo. El Tuxpanestá relacionado con dos asaltos a dos negocios ocurridos el 21 del mes en curso, en las colonias Leyes de Reforma y Central de Abasto, en la misma demarcación.</t>
  </si>
  <si>
    <t>Un lesionado al colapsar barda en construcción en Iztacalco</t>
  </si>
  <si>
    <t>Iztacalco</t>
  </si>
  <si>
    <t>https://www.jornada.com.mx/noticia/2025/12/26/capital/un-lesionado-al-colapsar-barda-en-construccion-en-iztacalco</t>
  </si>
  <si>
    <t>Ciudad de México.Una barda en construcción colapsó en calles de la alcaldía Iztacalco y lesionó a una persona de la tercera edad, por lo que se reportó la movilización de equipos de emergencia. Los hechos ocurrieron la noche del jueves sobre la calle Sur 113 y avenida del Recreo, hasta donde arribaron elementos de la policía capitalina y personal del cuerpo de bomberos. Al colapsar, la estructura golpeó a una persona de la tercera edad y un boiler de una casa. Los equipos de emergencia atendieron al lesionado, en tanto personal de Protección Civil realizó la revisión de la estructura.</t>
  </si>
  <si>
    <t>Hasta el día 24 habían caído en 'El Torito' 850 conductores; 6 heridos y un muerto en accidentes viales</t>
  </si>
  <si>
    <t>https://www.jornada.com.mx/noticia/2025/12/26/capital/hasta-el-dia-24-habian-caido-en-el-torito-850-conductores-6-heridos-y-un-muerto-en-accidentes-viales</t>
  </si>
  <si>
    <t>Durante la jornada del 24 de diciembre, por lo menos 73 personas fueron remitidas aEl Toritopor exceder los límites de alcohol en la sangre y 72 vehículos remitidos al corralón; sin embargo, esto no evitó que, en plena Navidad, ocurrieran accidentes viales con saldo de una persona fallecida y seis más con lesiones leves, en hechos diferentes. Primero, una persona que había sido captada minutos antes bajo los influjos de una sustancia en calles del Centro perdió la vida al salir disparada de su vehículo –un taxi con cromática de la ciudad–, cuando volcó sobre la avenida San Antonio Abad. En un video que se difundió en redes sociales, el sujeto fue grabado sin playera, manoteando al aire, haciendo como que peleaba con alguien; frente a él hay unidades de la policía; sin embargo, no intervinieron al verlo. Media hora después, perdió el control del taxi con placas A8371C justo sobre el Eje 2 Sur y calzada San Antonio Abad. Su cuerpo quedó sobre el asfalto frente al hotel Amazonas, mientras en la unidad un perrito quedó atrapado, por lo que elementos del cuerpo de bomberos lo liberaron. En otro hecho, el conductor de un vehículo que circulaba en estado de ebriedad perdió el control y ocasionó un choque con otro auto sobre Circuito Interior y la avenida Río Consulado, en la alcaldía Gustavo A. Madero. Los hechos ocurrieron la mañana del 25 de diciembre, cuando el conductor de un vehículo negro con placas 951ZZX impactó un vehículo Volkswagen Virtus al ir a exceso de velocidad. Uno de los vehículos derribó un poste de alumbrado público, mientras el otro volcó. En el lugar quedaron personas lesionadas, por lo que acudieron cuerpos de emergencia, quienes valoraron a un hombre y una mujer policontundidos. Otro hecho ocurrió en Río Becerra, justo en la alcaldía Benito Juárez, donde un sujeto perdió el control de su vehículo cuando circulaba con su hija. Paramédicos que acudieron al lugar no lograron realizar una valoración de las personas debido a que el sujeto no lo permitió. En la colonia Tabacalera, ciudadanos chinos perdieron el control de una camioneta que se impactó contra un camión y provocó que quedara encima de un camellón. El programa Conduce sin Alcohol, del 12 al 24 de diciembre realizó 236 mil 442 pruebas AlcoStop y 2 mil 759 pruebas espiradas, por lo que hasta el momento suman 850 personas que han sido remitidas aEl Toritoy 839 vehículos al corralón. Las personas que fueron trasladadas aEl Toritodurante los días 24 y el 25 cenaron espagueti a la crema con jamón y piña, pavo en salsa de mango con chile habanero, acompañado de papas con queso y crema. Como postre recibieron ensalada de manzana con crema, pasas y nuez; y de bebida, el tradicional ponche con frutas de temporada.</t>
  </si>
  <si>
    <t>Suben 35% afectaciones a vehículos por los baches</t>
  </si>
  <si>
    <t>https://www.jornada.com.mx/noticia/2025/12/26/capital/suben-35-afectaciones-a-vehiculos-por-los-baches</t>
  </si>
  <si>
    <t>Ciudad de México.Este 2025, las intervenciones periciales relacionadas con afectaciones a vehículos o bienes provocadas por baches en la vía pública de la Ciudad de México se incrementaron 35 por ciento en comparación con los casos del año pasado. De acuerdo con los registros de la Consejería Jurídica y de Servicios Legales, de octubre de 2024 a septiembre de este año hubo mil 950 automovilistas que exigieron una indemnización por los daños causados a sus unidades por el mal estado de la infraestructura vial, es decir, 511 más que en el mismo periodo de 2023-2024. De enero al 5 de diciembre, esto significó una erogación de 5 millones 80 mil pesos por la Secretaría de Administración y Finanzas, según información obtenida vía transparencia. A partir de la Encuesta Nacional de Seguridad Pública (ENSU) –que además del tema de seguridad monitorea los principales problemas urbanos de las ciudades–, el Instituto de Planeación Democrática y Prospectiva señala que para la mayoría de la población de la Ciudad de México los baches son un problema severo. La Magdalena Contreras, Azcapotzalco, Gustavo A. Madero, Benito Juárez y Tláhuac son las alcaldías donde más de 80 por ciento de sus habitantes consideran grave el mal estado de la carpeta asfáltica. A ellas les siguen Xochimilco, con 79.1 por ciento; Cuauhtémoc, 78.5 por ciento; Tlalpan, 78 por ciento; Iztapalapa, 73.4 por ciento, e Iztacalco, 75.6 por ciento. Si la ciudadanía sufre un daño en sus bienes como consecuencia del funcionamiento irregular de la infraestructura pública, ya sea por un bache o coladera en mal estado, puede exigir la indemnización al Gobierno de la Ciudad de México. Para ello se realiza un dictamen por peritos en materias de tránsito terrestre, valuación mecánica y de bienes muebles e inmuebles en el que se determina la responsabilidad patrimonial del ente público que corresponda, como consecuencia de su actividad administrativa irregular y que ocasionó un daño a la esfera jurídica patrimonial de los particulares afectados. De agosto de 2023 a julio de 2024 hubo un total de 814 intervenciones periciales en las que se determinó responsabilidad patrimonial en 777, es decir, que el gobierno tuvo que pagar por los daños causados a los vehículos. Asimismo, del 5 de diciembre de 2018 al 31 de julio de 2024 se realizaron 4 mil 432 intervenciones periciales, en las que se reconoció responsabilidad patrimonial en 4 mil 46 casos.</t>
  </si>
  <si>
    <t>Por fallas en el Metro, la RTP apoyó con mil 387 unidades en los 2 años recientes</t>
  </si>
  <si>
    <t>https://www.jornada.com.mx/noticia/2025/12/26/capital/por-fallas-en-el-metro-la-rtp-apoyo-con-mil-387-unidades-en-los-2-anos-recientes</t>
  </si>
  <si>
    <t>La Red de Transporte de Pasajeros (RTP) proporcionó servicio emergente equivalente a 250 días en los dos años recientes, debido a fallas ocurridas y otro tipo de incidentes en el Sistema de Transporte Colectivo (STC) Metro, que provocaron la suspensión de la operación. De acuerdo con cifras de la Subdirección General de Operación del organismo, lo anterior implicó utilizar al menos mil 387 unidades para apoyar a los usuarios en sus traslados a distintos puntos, y los circuitos donde con mayor frecuencia se hizo necesario el servicio fueron los tramos Pantitlán-Consulado de la línea 5; Pino Suárez-Colegio Militar y Tasqueña-Hidalgo, de la línea 2; Oceanía-Villa de Aragón, de la B; Santa Martha-Guelatao, de la A, y Apatlaco-Chabacano, de la línea 8. La información obtenida vía transparencia refiere que julio y agosto de 2024 fueron los meses que más concentraron los servicios, mientras en 2025 fueron junio y septiembre. Al respecto, trabajadores consultados indicaron que las suspensiones más recurrentes en este año se debieron principalmente a fallas en el cierre de puertas, provocadas por la manipulación de los usuarios al intentar abrirlas para ingresar a los trenes, así como por la saturación de las unidades. A estas incidencias le siguen los conatos de incendio, derivados de fallas técnicas en el sistema eléctrico, así como las condiciones meteorológicas, particularmente durante la temporada de lluvias, cuando se han registrado inundaciones en la zona de vías en tramos de la línea A, interrupciones que pueden prolongarse desde minutos, horas o incluso días, dependiendo de la magnitud del incidente. Se suman los trabajos de remodelación, como los realizados en la línea 1, que tras más de tres años de labores realizadas en dos etapas: de Pantitlán a Salto del Agua –posteriormente extendidas hasta Balderas–, y de Salto del Agua a Observatorio, se ofreció el servicio emergente de transporte; sin embargo, en el documento proporcionado por el organismo no refiere cuántas unidades se dispusieron. Los empleados señalaron además que el Metro estima las unidades que se requieren dependiendo de la línea, el tramo y el horario en que ocurra algún tipo de percance, en los cuales tan sólo por ruta se pueden solicitar desde siete unidades hasta 142, según consta en documentos del STC; sin embargo, indicaron que en algunas ocasiones la demanda rebasa la capacidad disponible, al solicitar más unidades de las que pueden ser proporcionadas. Ayer por la mañana una persona descendió a la zona de vías en la estación Nezahualcóyotl de la línea B, por lo que la operación fue suspendida 20 minutos.</t>
  </si>
  <si>
    <t>Reparación del daño a Abril, víctima de La Concordia, sin resolución por conflicto familiar</t>
  </si>
  <si>
    <t>2025-12-25</t>
  </si>
  <si>
    <t>https://www.jornada.com.mx/noticia/2025/12/25/capital/reparacion-del-dano-a-abril-victima-de-la-concordia-sin-resolucion-por-conflicto-familiar</t>
  </si>
  <si>
    <t>Ciudad de México.La Fiscalía General de Justicia de la Ciudad de México (FGJCDMX) informó que la reparación del daño por una de las víctimas de la explosión en La Concordia identificada como Abril no se ha formalizado debido a un conflicto familiar en proceso de resolución, relacionado con la definición legal de la guarda y custodia de sus 4 hijos. A través de una tarjeta informativa. La FGJ precisó que esta "definición es indispensable para establecer un mecanismo jurídico seguro que garantice que los recursos de la reparación se destinen exclusivamente a las hijas e hijos de la víctima". Sin embargo, aseguraron que mantienen atención y acompañamiento a la familia y que desde el inicio del caso, se han brindado apoyos directos que incluyen la cobertura de gastos funerarios, apoyo solidario, orientación jurídica y atención psicológica especializada para las hijas e hijos de la víctima, así como para las personas que hoy se hacen cargo de su cuidado. Abril era madre de dos hijas y dos hijos, quienes actualmente se encuentran bajo el cuidado de un familiar cercano.Las y los menores reciben seguimiento psicológico continuo, con sesiones periódicas y atención especializada, como parte de las acciones de protección integral a víctimas indirectas, enfatizó la institución ministerial. "El caso sigue siendo atendido, que el acompañamiento institucional y humano se mantiene de manera permanente, y que no se dará por concluido hasta que el proceso familiar permita avanzar plenamente en la reparación integral del daño, con justicia y protección efectiva para las hijas e hijos de Abril".</t>
  </si>
  <si>
    <t>Identificación de 'El Panu', asesinado en un restaurante de CDMX, fue por huellas dactilares, detalla FGJ</t>
  </si>
  <si>
    <t>https://www.jornada.com.mx/noticia/2025/12/25/capital/identificacion-de-el-panu-fue-por-huellas-dactilares-detalla-fgj</t>
  </si>
  <si>
    <t>Ciudad de México.La Fiscalía General de Justicia de la Ciudad de México (FGJ) informó que continúan con la investigación en torno al asesinato de Oscar Noé Medina aliasEl Panuintegrante deLos Chapitosocurrido el pasado 21 de diciembre al interior del restaurante Luaú, en la colonia Juárez. A través de un tarjeta informativa señalaron que la identificación del lugarteniente deLos Chapitosse realizó mediante peritajes de huellas dactilares. El Panuse encontraba con familiares cuando un individuo con vestimenta oscura, gorra y cubrebocas se aproximó y le disparó con un arma de fuego en diversas ocasiones, provocando su muerte y lesionando a otra persona. En el ámbito internacional, autoridades de Estados Unidos, a través del Departamento de Justicia y la Administración para el Control de Drogas (DEA), mantenía una orden de búsqueda contraEl Panupor quien se ofrecía una recompensa de hasta cuatro millones de dólares derivada de acusaciones por delitos relacionados con el tráfico internacional de drogas, así como por su presunto rol operativo dentro del Cártel de Sinaloa, organización criminal con impacto transnacional “La Fiscalía CDMX mantiene la investigación en curso para esclarecer plenamente los hechos, identificar y localizar a quienes resulten responsables y determinar el móvil del ataque”, señalaron.</t>
  </si>
  <si>
    <t>Conductor ebrio ocasiona choque en Circuito y Río Consulado; se reportan varios heridos</t>
  </si>
  <si>
    <t>https://www.jornada.com.mx/noticia/2025/12/25/capital/conductor-ebrio-ocasiona-choque-en-circuito-y-rio-consulado-se-reportan-varios-heridos</t>
  </si>
  <si>
    <t>Ciudad de México.El conductor de un vehículo en estado de ebriedad perdió el control y ocasionó un choque con otros vehículos sobre Circuito Interior y la Avenida Río Consulado, en la alcaldía Gustavo A. Madero. Los hechos ocurrieron esta mañana cuando el conductor del vehículo negro con placas 951ZZX impactó con un vehículo VW Virtus, al ir conduciendo a exceso de velocidad. Uno de los vehículos derribó un poste de alumbrado público, mientras que el segundo vehículo volcó. En el lugar quedaron personas lesionadas por lo que acudieron cuerpos de emergencia quienes valoraron a un hombre y una mujer lesionados.</t>
  </si>
  <si>
    <t>Muere conductor de taxi tras impactarse en obras de la calle San Antonio Abad</t>
  </si>
  <si>
    <t>https://www.jornada.com.mx/noticia/2025/12/25/capital/muere-conductor-de-taxi-tras-impactarse-en-obras-en-la-calle-san-antonio-abad</t>
  </si>
  <si>
    <t>Ciudad de México.El conductor de un taxi perdió la vida luego de que su unidad se impactara contra una palmera y posteriormente volcara sobre la calzada San Antonio Abad, en el cruce con José Tomás Cuéllar, en la colonia Obrera, alcaldía Cuauhtémoc. De acuerdo con testigos, minutos antes del accidente el hombre detuvo el vehículo para pedir ayuda, ya que presuntamente afirmaba sentir animales en el cuerpo. Posteriormente subió a su vehículo con placas A8371C y arrancó hasta el Eje 2 Sur y Calzada San Antonio Abad en donde perdió el control y se impactó contra una palmera. La víctima salió disparada de la unidad por lo que el cuerpo quedó sobre la cinta asfáltica, a unos metros del Hotel Amazonas. Al lugar arribaron equipos de emergencia y bomberos capitalinos. Dentro del taxi también viajaba un perro, que quedó prensado, elementos del Heroico Cuerpo de Bomberos realizaron maniobras de rescate y lograron liberar al animal con vida. La zona fue acordonada por elementos de la policía capitalina, quienes dieron aviso a la Coordinación de Servicios Periciales de la Fiscalía para el levantamiento del cuerpo.</t>
  </si>
  <si>
    <t xml:space="preserve">Dos personas fallecidas y dos lesionadas por incendio en domicilio en Iztapalapa </t>
  </si>
  <si>
    <t>https://www.jornada.com.mx/noticia/2025/12/25/capital/dos-personas-fallecidas-y-dos-lesionadas-por-incendio-en-domicilio-en-iztapalapa</t>
  </si>
  <si>
    <t>Ciudad de México.Una familia quedó atrapada en un incendio en casa habitación, la madrugada de este 25 de diciembre, con un saldo de 2 personas fallecidas y dos más lesionadas con quemaduras e intoxicación, en la colonia San Miguel Teotongo, Iztapalapa. Los hechos ocurrieron en la calle Colorines y avenida de Las Torres, hasta donde arribaron equipos de emergencia y bomberos capitalinos. El incendio se originó desde la parte baja de una casa de dos niveles, extendiéndose rápidamente. Cuando elementos del Cuerpo de Bomberos ingresó a la vivienda, hallaron a una mujer de 30 años y de 16, quienes ya no contaban con signos vitales. Además, rescataron a un hombre de 30 y a una mujer de 53 años, lesionados por intoxicación y quemaduras, por lo que fueron canalizados por paramédicos a un hospital cercano. Una vez controlado el incendio, el lugar fue acordonado y se solicitó el arribo de peritos de la Fiscalía para el levantamiento de loa cuerpos. Además, el Ministerio Público solicitó el inicio de las investigaciones para determinar las causas del incendio.</t>
  </si>
  <si>
    <t>Despliega SSC CDMX más de 14 mil policías por Nochebuena y Navidad</t>
  </si>
  <si>
    <t>2025-12-24</t>
  </si>
  <si>
    <t>https://www.jornada.com.mx/noticia/2025/12/24/capital/despliega-ssc-cdmx-mas-de-14-mil-policias-por-nochebuena-y-navidad</t>
  </si>
  <si>
    <t>Ciudad de México.Desde las primeras horas de este 24 de diciembre, la Secretaría de Seguridad Ciudadana (SSC) de la Ciudad de México desplegó 14 mil 560 efectivos como parte del operativo “Festividades de Nochebuena y Navidad 2025”, implementado en las 16 alcaldías para salvaguardar la integridad de las familias durante las celebraciones decembrinas.El dispositivo de seguridad cuenta con la participación de personal de las Subsecretarías de Operación Policial, Tránsito, Inteligencia e Investigación Policial, así como de la Policía Auxiliar y la Policía Bancaria e Industrial, apoyados por mil 97 vehículos oficiales.Además, participan 15 ambulancias y 12 motoambulancias del Escuadrón de Rescate y Urgencias Médicas (ERUM), cinco motocicletas y dos helicópteros de la Dirección General de Servicios Aéreos Cóndores, que realizan labores de supervisión, disuasión y prevención en distintos puntos de la capital.La SSC informó que se mantienen recorridos preventivos y puntos de vigilancia en zonas de alta afluencia, como atracciones navideñas, romerías y tianguis sobre ruedas.En tanto, personal de la Subsecretaría de Control de Tránsito implementa dispositivos para garantizar la movilidad peatonal y vehicular, mediante la aplicación del Reglamento de Tránsito, el control del estacionamiento en lugares prohibidos y la atención de incidentes en accesos carreteros.La dependencia exhortó a la ciudadanía a utilizar la aplicación “Mi Policía” para solicitar apoyo inmediato del oficial del cuadrante correspondiente y mantenerse informada a través de las redes sociales de la SSC, @OVIALCDMX y @UCS_GCDMX.</t>
  </si>
  <si>
    <t>“Artesanos en el Corazón” expone en el Zócalo la diversidad artesanal de 18 estados</t>
  </si>
  <si>
    <t>https://www.jornada.com.mx/noticia/2025/12/24/capital/artesanos-en-el-corazon-expone-en-el-zocalo-la-diversidad-artesanal-de-18-estados</t>
  </si>
  <si>
    <t>Ciudad de México.Más de 250 artesanos de 18 entidades del país, distribuidos en 120 stands y representantes de 23 técnicas tradicionales, participan en “Artesanos en el Corazón”, que se encuentra instalado en el Zócalo capitalino, como parte del Festival Luces de Invierno 2025. El espacio, ubicado frente a Palacio Nacional, fue inaugurado por la secretaría de Turismo de la Ciudad de México, Alejandra Frausto, con el objetivo de impulsar la compra directa, el comercio justo y el reconocimiento al trabajo digno de los artesanos, así como de fortalecer la identidad cultural y comunitaria. Entre las técnicas que se exhiben se encuentran la alfarería, textil, papel picado, madera, metalistería, cerámica, fibras naturales, joyería, cartonería y arte wixárika, piezas que reflejan la diversidad cultural del país y la transmisión de saberes de generación en generación. Frausto destacó que el espacio reúne piezas originales con un profundo valor cultural y llamó a erradicar el regateo como práctica que demerita el trabajo artesanal. Por su parte, la jefa de Gobierno, Clara Brugada Molina, dijo que el Zócalo es un punto de encuentro para las tradiciones y que el Festival Luces de Invierno permite cerrar el año con una celebración que reconoce las raíces y la diversidad cultural de México. “Artesanos en el Corazón” estará abierto al público del 20 de diciembre al 4 de enero de 2026, con pausas los días 25 y 31 de diciembre y 1 de enero. El Gobierno capitalino, a través de la Secretaría de Turismo, el Fondo Mixto de Promoción Turística y con el apoyo de los gobiernos de Hidalgo, Guerrero y Morelos, refrendó su compromiso con la preservación del patrimonio cultural y el impulso de un turismo con sentido social.</t>
  </si>
  <si>
    <t>Clara Brugada anuncia construcción de Utopía en Álvaro Obregón</t>
  </si>
  <si>
    <t>https://www.jornada.com.mx/noticia/2025/12/24/capital/clara-brugada-anuncia-construccion-de-una-utopia-en-alvaro-obregon</t>
  </si>
  <si>
    <t>Ciudad de México.La jefa de Gobierno capitalino, Clara Brugada, se comprometió a la construcción de una nueva utopía en la zona de El Queso, en la demarcación Álvaro Obregón. Lo anterior lo expuso, luego de un desayuno navideño con vecinos del lugar, donde dijo "me platicaron de algún espacio que tienen allí sin usar, ya estoy encomendando para hoy que estamos aquí, pasemos a verlo rápido y estamos revisando jurídicamente para que pueda llevarse a cabo allí una Utopía". Explicó que una Utopía tiene albercas semiolímpicas gratuitas, donde pueden ir los niños o la gente mayor, Sistema Público de Cuidados, infraestructura cultural, "tiene todo lo que hemos soñado como comunidad". Señaló que se está trabajando todos los días para que el modelo de ciudad sea humanista, que combata desigualdades y sea una ciudad muy alternativa en todos sus aspectos. Por eso, mencionó, "hemos impulsado la construcción de una línea de Cablebús para Álvaro Obregón y esto va a ayudar mucho, va a llegar a Mixcoac y va a garantizar la transportación rápida de la población".</t>
  </si>
  <si>
    <t>Activan alerta amarilla por temperaturas de entre 4 y 6 grados en CDMX</t>
  </si>
  <si>
    <t>https://www.jornada.com.mx/noticia/2025/12/24/capital/activan-alerta-amarilla-por-temperaturas-de-entre-4-y-6-grados-en-cdmx</t>
  </si>
  <si>
    <t>Ciudad de México.La Secretaría de Gestión Integral de Riesgos y Protección Civil (SGIRPC) activó alerta amarilla por el pronóstico de temperaturas de entre 4 y 6 grados Celsius durante la madrugada y mañana del 25 de diciembre en cinco demarcaciones. El organismo informó que las condiciones de frío se presentarán principalmente entre las 4:00 y las 8:00 horas en las alcaldías Álvaro Obregón, Cuajimalpa, Magdalena Contreras, Milpa Alta y Tlalpan, por lo que se exhortó a la población a tomar medidas preventivas. Ante el descenso térmico, las autoridades recomendaron abrigarse adecuadamente, cubrir nariz y boca, evitar cambios bruscos de temperatura, resguardar a las mascotas, mantenerse hidratados y consumir frutas y verduras ricas en vitaminas A y C. La SGIRPC recordó que, ante cualquier emergencia, la ciudadanía puede comunicarse al 911, al 55 5658 1111 de Locatel y al 55 5683 2222. Asimismo, pidió a la población mantenerse informada a través de los canales oficiales del Gobierno de la Ciudad de México.</t>
  </si>
  <si>
    <t xml:space="preserve">Capacitan a mil 700 policías adscritos al Metro en materia de inclusión y trato digno </t>
  </si>
  <si>
    <t>https://www.jornada.com.mx/noticia/2025/12/24/capital/capacitan-a-mil-700-policias-adscritos-al-metro-en-materia-de-inclusion-y-trato-digno</t>
  </si>
  <si>
    <t>Ciudad de México.Mil 700 efectivos de la Secretaría de Seguridad Ciudadana (SSC) adscritos a la red del Sistema de Transporte Colectivo (STC) Metro fueron capacitados en materia de inclusión y trato digno como parte del curso “Toma de Conciencia e Inclusión”. La capacitación se realizó en el marco de las acciones de formación continua del personal de seguridad del Metro, quienes están a cargo de las labores de resguardo y vigilancia. El curso inició a finales de julio y  concluyó esta semana, el cual estuvo enfocado en generar conciencia sobre los distintos tipos de discapacidad, el trato adecuado y el apoyo que debe brindarse a todas las personas, así como en el respeto al derecho a la movilidad de quienes utilizan perros de asistencia dentro de la red del Metro. La formación se llevó a cabo en la sede del Instituto para la Integración al Desarrollo de las Personas con Discapacidad (Indiscapacidad) y contó con la colaboración de fundaciones y asociaciones especializadas en la certificación de perros de asistencia, las cuales contribuyeron a fomentar la empatía y el compromiso con la inclusión. Las autoridades señalaron que Indiscapacidad trabaja de manera conjunta con el Metro para mejorar la calidad de vida de las personas con discapacidad y garantizar que su experiencia de viaje sea lo más óptima posible. Asimismo, se informó que para 2026 se prevé dar continuidad a esta capacitación hasta cubrir a los 5 mil 800 efectivos policiales que integran el estado de fuerza del organismo.</t>
  </si>
  <si>
    <t>En CDMX, 777 conductores fueron enviados a 'El Torito' por rebasar límite de alcohol</t>
  </si>
  <si>
    <t>https://www.jornada.com.mx/noticia/2025/12/24/capital/en-cdmx-777-conductores-fueron-enviados-a-el-torito-por-rebasar-limite-de-alcohol</t>
  </si>
  <si>
    <t>Ciudad de México.Un total de 777 conductores superaron el límite permitido de alcohol en la sangre y fueron remitidos al Centro de Sanciones Administrativas y de Integración Social,El Toritodurante las “Jornadas Decembrinas” del programa Conduce Sin Alcohol, realizadas del 12 al 23 de diciembre. De acuerdo con la Secretaría de Seguridad Ciudadana, en ese periodo el personal adscrito al programa aplicó 211 mil 73 pruebas AlcoStop, para detectar alcohol en el ambiente interior del vehículo, así como 2 mil 528 pruebas de alcoholemia mediante aire espirado. Como resultado de los operativos, 767 vehículos fueron remitidos a un depósito vehicular, mientras que al resto de los conductores se les sancionó conforme a la normatividad vigente. La dependencia señaló que estos dispositivos se implementan en distintos puntos de la capital.</t>
  </si>
  <si>
    <t>Gobierno CDMX pide evitar uso de pirotecnia en fiestas decembrinas</t>
  </si>
  <si>
    <t>https://www.jornada.com.mx/noticia/2025/12/24/capital/gobierno-cdmx-pide-evitar-el-uso-de-pirotecnia-en-fiestas-decembrinas</t>
  </si>
  <si>
    <t>Ciudad de México.El gobierno de la Ciudad de México y la Secretaría del Medio Ambiente, a través de la Dirección General de Calidad del Aire, hacen un llamado a los habitantes de la Zona Metropolitana del valle de México para evitar el uso de pirotecnia durante las celebraciones de Nochebuena, Navidad y Año Nuevo, con el objetivo de reducir el impacto negativo en la calidad del aire, la salud de la población y el bienestar de los animales de compañía.Las autoridades señalaron que datos históricos indican que los días 25 de diciembre y 1° de enero se registran niveles extremadamente altos de contaminación por partículas finas, principalmente a causa del uso masivo de juegos pirotécnicos. Aunque las detonaciones ocurren generalmente alrededor de la medianoche, las concentraciones más altas de contaminantes se presentan entre la 1 y las 5 de la madrugada. Ante este panorama, se exhorta a la ciudadanía a evitar encender chimeneas, fogatas, cohetes y pirotecnia; reducir el uso de carbón o leña tanto en interiores como en exteriores; abstenerse de quemar llantas, basura u otros residuos, y participar en la limpieza de calles y banquetas, humedeciendo previamente el suelo para evitar la dispersión de polvo. Asimismo, mantener los vehículos en óptimas condiciones y cumplir con el Programa de Verificación Vehicular Obligatorio, así como reportar de inmediato cualquier incendio a las autoridades correspondientes. Las dependencias recordaron que, de acuerdo con la Ley Ambiental de la Ciudad de México, está prohibida la quema de cualquier tipo de material o residuo a cielo abierto. Además, la Ley de Cultura Cívica establece como infracción detonar o encender pirotecnia, fogatas o elevar aeróstatos sin permiso, conducta que puede ser sancionada con multas de 21 a 30 Unidades de Medida, arresto de 25 a 36 horas o trabajo comunitario de 12 a 18 horas. En cuanto al bienestar animal, la Agencia de Atención Animal (AGATAN), advirtió que el ruido y las explosiones provocan miedo, ansiedad y estrés en los animales de compañía, por lo que recomendó crear ambientes seguros, brindar estímulos positivos como juegos o premios y evitar transmitirles angustia.</t>
  </si>
  <si>
    <t>SSC refuerza dispositivos de seguridad en terminales de autobuses por temporada decembrina</t>
  </si>
  <si>
    <t>https://www.jornada.com.mx/noticia/2025/12/24/capital/ssc-refuerza-dispositivos-de-seguridad-en-terminales-de-autobuses-por-temporada-decembrina</t>
  </si>
  <si>
    <t>Ciudad de México.Como parte de las acciones para salvaguardar la integridad física y patrimonial de los viajeros durante esta temporada decembrina, la Secretaría de Seguridad Ciudadana (SSC) de la Ciudad de México refuerza los dispositivos de seguridad y vigilancia en las terminales de autobuses, con el apoyo de personal de la Policía Auxiliar (PA). Con el objetivo de aumentar la seguridad de los usuarios en las terminales durante sus traslados a otras partes del país, los oficiales de la PA, hacen las siguientes recomendaciones: mantener el equipaje siempre a la vista.Resguardar documentos, boletos y objetos de valor en lugares seguros; evitar distracciones con el teléfono celular en zonas de alta afluencia yacercarse al personal de la  policía para solicitar orientación o acompañamiento cuando sea necesario.Asimismo, se recuerda que está prohibido el ingreso a las terminales con objetos peligrosos, armas de fuego o punzocortantes, así como sustancias ilegales. En caso de viajar con niñas, niños o personas adultas mayores, no perderlos de vista.</t>
  </si>
  <si>
    <t>SSC detiene a dos extranjeros dedicados al robo de relojes de alta gama en MH</t>
  </si>
  <si>
    <t>Miguel Hidalgo</t>
  </si>
  <si>
    <t>https://www.jornada.com.mx/noticia/2025/12/24/capital/ssc-detiene-a-dos-extranjeros-dedicados-al-robo-de-relojes-de-alta-gama-en-mh</t>
  </si>
  <si>
    <t>Ciudad de México.Policías de la Secretaría de Seguridad Ciudadana (SSC) de la Ciudad de México, detuvieron a dos hombres de origen venezolano, presuntos integrantes de un grupo delictivo dedicado al robo de relojes de alta gama en zonas comerciales de la alcaldía Miguel Hidalgo. De acuerdo con información de la dependencia, se trata de Ángel Colmenares González de 35 años, y Gilbert Alexis Carrero Ortiz de 23, quienes fueron aprehendidos en el Viaducto Poniente, a la altura de la calle General Salvador Alvarado y puestos a disposición del Ministerio Público correspondiente para determinar su situación jurídica. La acción se dio cuando los policías observaron que los tripulantes descendieron del vehículo y, con una pistola, amagaron a un ciudadano, por lo que intervinieron para evitar la comisión del delito. Tras una revisión preventiva a los detenidos se les aseguró un arma de fuego corta con tres cartuchos útiles, dinero en efectivo, dos teléfonos celulares y el vehículo con placas del estado de Durango. Derivado de trabajos de inteligencia e investigación y tras el análisis de cámaras de videovigilancia públicas y privadas que se identificó que los dos sujetos realizaban labores de vigilancia para ubicar a posibles víctimas. Las autoridades detectaron que los implicados se trasladaban en un vehículo sedán color verde olivo y que su zona de operación comprendía las colonias Polanco, Granada y Escandón. Señalaron que podrían estar relacionados con el robo de un reloj de alta gama ocurrido en octubre pasado, así como con un intento de robo registrado en diciembre, ambos en la demarcación Miguel Hidalgo.</t>
  </si>
  <si>
    <t>Productividad de legisladores es de apenas 5.9%, pero este mes su dieta y aguinaldo será de 169 mil 412 pesos</t>
  </si>
  <si>
    <t>https://www.jornada.com.mx/noticia/2025/12/24/capital/productividad-de-legisladores-es-de-apenas-59-pero-este-mes-su-dieta-y-aguinaldo-sera-de-169-mil-412-pesos</t>
  </si>
  <si>
    <t>Las dietas y aguinaldos decembrinos de diputados del Congreso de la Ciudad de México –quienes el último día de sesiones se pelearon a jalones de cabellos y empujones–cuestan a los capitalinos más de 11.1 millones de pesos. Según un acuerdo aprobado por la Junta de Coordinación Política (Jucopo), los diputados locales recibirán un aguinaldo de 96 mil 420 pesos. Dicha cifra representa 40 días de dieta sin deducción alguna. Esto significa que este mes, además de percibir su dieta de 72 mil 612 pesos, recibirán 96 mil 420 pesos de aguinaldo, que suman 169 mil 412 pesos por cada uno de los 66 diputados; es decir, 11.1 millones de pesos. En tanto, la eficiencia legislativa es de apenas 5.9 por ciento entre las propuestas que presentan y las que son aprobadas, según sus propios informes. De acuerdo con cifras de la bancada de Morena, en comisiones hay mil 429 iniciativas pendientes de dictaminar. De ese total, sólo 400 podrían ser aprobadas en lo que resta de la legislatura. Por otra parte, el personal técnico operativo de base, de confianza y de limpieza, también recibirán un pago de aguinaldo equivalente a 40 días de sueldo tabular sin deducción alguna, en forma proporcional al periodo laborado. Asimismo, por única ocasión se pagará a los prestadores de servicios profesionales por honorarios asimilados a salarios una gratificación extraordinaria de 40 días sin deducción alguna o la parte proporcional al tiempo laborado. “Se dará cumplimiento a las disposiciones fiscales vigentes en términos de la Ley del Impuesto sobre la Renta que permita realizar dicho pago (aguinaldo) sin descuento de ninguna clase. El impacto que derive de dicho cálculo será cubierto con cargo al presupuesto de egresos del Congreso de la Ciudad de México.” En cuanto al personal técnico operativo de base en licencia sin goce de suelo, se le cubrirá el aguinaldo en la proporción que corresponda al tiempo de servicios efectivamente laborados en este año.</t>
  </si>
  <si>
    <t>CDMX: disminuyó 60% el número de taxis; de 150 mil a 60 mil unidades</t>
  </si>
  <si>
    <t>https://www.jornada.com.mx/noticia/2025/12/24/capital/cdmx-disminuyo-60-el-numero-de-taxis-de-150-mil-a-60-mil-unidades</t>
  </si>
  <si>
    <t>Ciudad de México.El número de taxis que operan en la Ciudad de México disminuyó 60 por ciento, al pasar de 150 mil a 60 mil unidades, aseguró el titular de la Secretaría de Movilidad (Semovi), Héctor García Nieto. Ante ello, anunció que se reforzará el programa de sustitución, con el propósito de modernizar los vehículos que proporcionan servicio de transporte público individual, los cuales, además, tendrán una nueva cromática con motivo del Mundial de Futbol del próximo año. En un acto encabezado por la jefa de Gobierno, Clara Brugada Molina, en el que fueron chatarrizadas 300 unidades, el funcionario señaló que los taxistas enfrentan una competencia “no adecuada” de los taxis por aplicación, que no invierten en su flotilla ni en la capacitación de sus trabajadores, por lo que, dijo, se empezará a regular dicho servicio. Aunado a ello, añadió, se apoyará a los taxistas para mantener su actividad como una manera de desarrollo económico, no solamente en su renovación, sino también para hacerlos más competitivos. Por ello, la meta para el próximo año es sustituir mil unidades obsoletas y la entrega de apoyos económicos para la adquisición de nuevos vehículos. Como parte de dicha estrategia, se favorecerá la electromovilidad, habrá modernización tecnológica con una aplicación que les permita competir con las plataformas digitales. Asimismo, se impulsará un programa integral de seguridad para pasajeros y conductores con sistema de geolocalización, botones de pánico, videocámaras y monitoreo, y capacitación turística rumbo al Mundial de Futbol. Al respecto, la titular del Ejecutivo local se pronunció por reivindicar el servicio de taxis, al señalar que, en la Ciudad de México, alrededor de 600 mil personas utilizan el taxi todos los días y que en la zona metropolitana este servicio realiza cerca de un millón de viajes diarios. Subrayó que en el evento deportivo del que será sede la capital del país, los taxis “van a ser el nuevo rostro de la movilidad en la Ciudad de México y van a contar con nuestro apoyo”. De esta manera, quienes decidan cambiar su vehículo de motor a gasolina se les apoyará con 120 mil pesos, en el caso de los híbridos será de 150 mil pesos, y para los eléctricos, 200 mil, toda vez que la prioridad es fortalecer la electromovilidad, que no contamina. Al respecto, García Nieto manifestó que desde la Semovi se busca que el costo de los autos eléctricos para uso de taxi puedan bajar de precio. “Lo estamos logrando, estamos hablando directamente con las productoras de vehículos para que el precio que ellos tienen sea accesible para nosotros”, detalló.</t>
  </si>
  <si>
    <t>Pueblos de Milpa Alta rechazan violencia para imponer obra de Cablebús</t>
  </si>
  <si>
    <t>2025-12-23</t>
  </si>
  <si>
    <t>Milpa Alta</t>
  </si>
  <si>
    <t>https://www.jornada.com.mx/noticia/2025/12/23/capital/pueblos-de-milpa-alta-denuncian-consulta-simulada-y-agresiones-para-imponer-el-cablebus-linea-6</t>
  </si>
  <si>
    <t>Ciudad de México.Luego de que 113 personas, de 5 mil habitantes de San Francisco Tecoxpa, en reunión con autoridades del Gobierno de la Ciudad avalaran el proyecto de la línea 6 del Cablebús, el Congreso Nacional Indígena y pueblos de Villa Milpa Alta se pronunciaron en contra de la violencia ejercida para imponer la obra utilizando a beneficiarios de programas sociales, brigadistas de Altépetl y taxistas informales, todos dirigidos por Luis Linares. En tanto la Secretaría Ejecutiva de la Red Nacional de Organismos Civiles y de Derechos Humanos “Todos los Derechos para Todas, Todos y Todes” (Red TDT) emitió una alerta “por el riesgo inminente en la que está la vida e integridad de los habitantes de Milpa Alta” y pidió a los gobiernos de la Ciudad de México y federal cesar las agresiones contra comuneros, respetar la libre determinación y autonomía de los pueblos. En su pronunciamiento la Red TDT señaló que recibió el informe documental y testimonial de comuneros, sobre lo ocurrido el pasado 21 de diciembre, cuando representantes de los nueve pueblos se manifestaron en la plaza cívica de San Francisco Tecoxpa para denunciar que autoridades del Gobierno de la ciudad llevaban una consulta simulada para imponer el proyecto y fueron “brutalmente agredidos por un grupo de choque que operaba al interior de la comunidad”. La Red TDT expuso que imponer la implementación de un proyecto de transporte que forja el despojo de tierras comunales y su integración forzada a la mancha urbana “vulneran el derecho de los pueblos a su libre determinación y autonomía”. En su declaración de alerta pidieron se implementen medidas de protección necesarias para evitar todo tipo de agresiones, realizar las investigaciones necesarias con debida diligencia y debido proceso para sancionar a los perpetradores de las agresiones en contra de los comuneros. En tanto, comuneros de Santa Ana Tlecotenco, San Jerónimo Miacatlán, San Pedro Atocpan, San Lorenzo Tlacoyucan, San Pablo Oxtotepec desconocieron asamblea extraordinaria que se realizó en San Francisco Tecoxpa y señalaron que se trató de una “simulación: convocada sin legalidad, sin representación legítima y en abierta violación al artículo 27 constitucional, a la Ley Agraria y la Comunidad Agraria de Hecho Milpa Alta”. Los integrantes de la comunidad agraria de Milpa Alta expresaron que no puede existir Asamblea de Comuneros hasta que se elija, conforme a derecho, una representación legal del núcleo agrario de Milpa Alta, por ello aclararon: San Francisco Tecoxpa no lo es. “Existe una comunidad comunal conformada por nueve pueblos, no por uno solo. Fragmentar para imponer es una vieja estrategia del poder”. Asimismo, expresaron que un “proyecto que se dice de movilidad no puede construirse sobre cuerpos golpeados, sobre mujeres agredidas, sobre comunidades fracturadas. Ningún proyecto puede llamarse progreso si deja sangre en el camino”.</t>
  </si>
  <si>
    <t>Dictan prisión preventiva a ex árbitro Marco Antonio "N", alias "Chiquimarco", por violencia familiar</t>
  </si>
  <si>
    <t>https://www.jornada.com.mx/noticia/2025/12/23/capital/dictan-prision-preventiva-a-ex-arbitro-marco-antonio-rodriguez-por-violencia-familiar</t>
  </si>
  <si>
    <t>Ciudad de México. Una jueza de Control determinó que el ex arbitro mexicano, Marco Antonio "N" , alias "Chiquimarco", se quede en prisión preventiva justificada al interior del Reclusorio Norte, luego de que se repusiera el proceso en su contra por el delito de violencia familiar. El ex silbante deberá presentarse por su propia cuenta en un plazo de 3 días ante las autoridades de dicho penal para que cumpla con la medida cautelar impuesta. Además, la juzgadora dejó sin efecto hasta el momento la orden de aprehensión en su contra, sin embargo, en caso de que Marco Antonio "N" no se presente a ese penal, podrá solicitarse el mandamiento de nueva cuenta, contaron fuentes ministeriales. La audiencia se celebró a las 12:00 horas de este martes en las salas orales de Doctor Lavista, hasta donde acudió, luego de que no se presentara a una comparecencia el pasado 18 de noviembre. Fue justo por esa ausencia por la que los abogados de la víctima y el Ministerio Público de la Fiscalía General de Justicia solicitaron a la juez revisar las medidas cautelares impuestas y solicitaron el cambio tras ausentarse. El ex árbitro fue denunciado en 2023 por su ex pareja, Alva Neri Hernández.</t>
  </si>
  <si>
    <t xml:space="preserve">Adolescente dispara a pareja en el interior del panteón en la alcaldía AO </t>
  </si>
  <si>
    <t>https://www.jornada.com.mx/noticia/2025/12/23/capital/adolescente-dispara-a-pareja-en-el-interior-del-panteon-en-la-alcaldia-ao</t>
  </si>
  <si>
    <t>Ciudad de México.Un adolescente de 17 años fue detenido por la policía capitalina luego de atacar de manera directa a una mujer y lesionar a un hombre, al interior de un panteón en la alcaldía Álvaro Obregón. Los hechos ocurrieron en las avenidas Vasco de Quiroga y Paso a la Alhaja, en la colonia La Mexicana, cuando se reportaron  detonaciones de arma de fuego. Al llegar, los elementos observaron a una mujer con lesión en la parrilla costal derecha, y a un hombre con una herida en el brazo y la rodilla, por lo que solicitaron los servicios de emergencia, sin embargo fueron trasladados por sus medios a un hospital para su atención médica especializada. Los uniformados aseguraron a un joven señalado por las personas en el sitio, como el probable responsable. El sujeto fue detenido y puesto a disposición del agente del Ministerio Público correspondiente quien definirá su situación jurídica.</t>
  </si>
  <si>
    <t>Exhortan a capitalinos a evitar fogatas y pirotecnia en fiestas decembrinas</t>
  </si>
  <si>
    <t>https://www.jornada.com.mx/noticia/2025/12/23/capital/exhortan-a-capitalinos-a-evitar-fogatas-y-pirotecnia-en-fiestas-decembrinas</t>
  </si>
  <si>
    <t>Ciudad de México.En vísperas de nochebuena y navidad, la Comisión Ambiental de la Megalópolis (CAMe) exhortó a la población a evitar la quema de pirotecnia y fogatas en estos días para evitar el deterioro de la calidad del aire, ante el incremento de contaminantes que se suscita en esta temporada invernal. La CAMe explicó que en esta temporada las bajas temperaturas y la presencia de un mayor número de inversiones térmicas favorecen el estancamiento de contaminantes (en especial partículas PM10 y PM2.5) y evitan su dispersión. A los que se suman las emisiones de partículas que se generan por la quema de pirotecnia, las fogatas con leña o llantas en la época decembrina, lo que ocasiona el deterioro de la calidad del aire, incluso, en ocasiones se debe decretar contingencia ambiental atmosférica en la Zona Metropolitana del Valle de México, Zona Metropolitana del Valle de Toluca y otras ciudades de la Megalópolis. La presencia de estas partículas contaminantes dañan la salud, en especial la de los grupos vulnerables (niños, personas embarazadas, adultos mayores y personas con enfermedades respiratorias). De acuerdo con el Instituto Nacional de Salud Pública, el aire contaminado ocasiona síntomas como la irritación en los ojos, nariz y garganta, dolor cabeza reacciones alérgicas, así como infecciones de las vías respiratorias superiores, eventos agudos isquémicos (infartos), la agudización de asma y de enfermedad pulmonar obstructiva crónica (EPOC), entre otros. Enfatizó que en caso de que la calidad del aire sea muy mala o extremadamente mala se recomienda permanecer en casa con las ventanas cerradas, para evitar que el aire contaminado ingrese; evitar hacer actividades vigorosas al aire libre en la mañana del 25 de diciembre, tales como trotar o andar en bicicleta, porque esto incrementa la tasa de respiración y provoca que ingresen más contaminantes al cuerpo; en caso de estar en exteriores, utilizar cubrebocas. También, pidió a la población reportar incendios forestales al 800-737-0000 o al 911 y consultar la calidad del aire a través de los canales oficiales de la CAMe.</t>
  </si>
  <si>
    <t>TV Azteca</t>
  </si>
  <si>
    <t>Ellos son las personas que murieron tras descarrilamiento del Tren Interoceánico en Oaxaca</t>
  </si>
  <si>
    <t>2025-12-30 01:28:18</t>
  </si>
  <si>
    <t>https://www.tvazteca.com/aztecanoticias/descarrilamiento-del-tren-interoceanico-oaxaca-lista-de-personas-muertas/</t>
  </si>
  <si>
    <t>A dos años de su construcción, elTren Interoceánico del Istmo de Tehuantepecquedó marcado por la tragedia que cobró la vida de 13 personas y dejó casi un centenar de heridos tras eldescarrilamientoen la ruta hacia Coatzacoalcos, Veracruz. A más de 24 horas del accidente ocurrido enNizanda, Oaxaca, autoridades federales confirmaron lalista oficial de las victimas mortales, entre ellas una niña de seis años y una adolescente de 15 que jamás llegaron a su destino. Las autoridades confirmaron la lista de personas que perdieron la vida en elaccidenteferroviario, donde pasajeros señalaron que eltren iba muy rápido: Varias de las víctimas eran originarias del sur deVeracruz, principalmente de Coatzacoalcos, Minatitlán, Acayucan y Villa Allende. Horas antes de que las autoridades dieron a conocer la lista, familiares confirmaron lamuerte de Inés Alvarado Rojas,originaria de Villa Allende,Coatzacoalcos. Así como la de María Antonia Rosales, deAcayucan. Entre las víctimas también se encuentran las hermanas Patricia y Honoria Medina, y Rogelio Luna, originario de Minatitlán. Personas que viajaban en una obra insignia de la Cuarta Transformación con la intención de volver a casa de forma segura. Una familia de origen veracruzano hoy llora la pérdida de dos de sus integrantes, donde los abuelosMaría Luisa y Raúl murieron en elaccidente, mientras que otros seis familiares resultaron lesionados, entre ellos dos menores de edad. “Mi abuela, sus hijos, sus nietos, su esposo… nos dijeron que mi abuela había muerto. Luego apareció mi abuelo también sin vida. Necesitamos ayuda para traerlos, aquí era su casa”, narró un familiar. La adolescenteLuisa Camila Serrano Moreno,de 15 años, viajaba con su mamá y su hermana, quienes resultaron lesionadas y fueron trasladadas al hospital Macedonio Benítez Fuentes, en Juchitán. Durante varias horas no se tuvo información sobre su paradero, ya que su nombre no aparecía en la lista de personas heridas ni entre quienes murieron, mientras que las autoridades no ofrecían mayores detalles a la familia. Finalmente, un día después,Luisafue localizada sin vida. El Conalep Plantel 155 de Salina Cruz confirmó que era estudiante de la carrera de Salud Comunitaria y expresó sus condolencias. De acuerdo con información de la Secretaría de Marina (Semar), el tren partió deSalina Cruza las 8 de la mañana. Una hora después, lalocomotorase salió de las vías, provocando que uno de los vagones cayeran hasta el fondo de la barranca. De las 250 personas que viajaban a bordo, 127 pasajeros fueron evacuados sin lesiones, mientras que 98 personas fueron atendidas. El saldo final fue de: Este lunes 29 de diciembre fue recuperado elregistrador electrónico "Pulse", conocido como la caja negra ferroviaria, que almacena datos clave como velocidad, frenado y maniobras, por lo que se espera que la Fiscalía General de la República (FGR) inicie las investigaciones pertinentes. Pese a esto, han surgido señalamientos por presuntos amiguismos en la operación del proyecto, que involucran aBobby López Beltrán,hijo del expresidente Andrés Manuel López Obrador, quien fue presentado como supervisor honorífico del tren.</t>
  </si>
  <si>
    <t>Tráiler destroza una camioneta en autopista de Jalisco y deja un muerto</t>
  </si>
  <si>
    <t>2025-12-30 00:36:11</t>
  </si>
  <si>
    <t>https://www.tvazteca.com/aztecanoticias/accidente-en-la-autopista-aguascalientes-leon-en-jalisco-deja-un-fallecido/</t>
  </si>
  <si>
    <t>La mañana de este lunes se registró un aparatosoaccidentesobre laautopista Aguascalientes–León, a la altura del paraje conocido comoEl Desperdicio, en el municipio deEncarnación de Díaz, Jalisco. El choque involucró a dos vehículos particulares y un tráiler de doble remolque, lo que provocó momentos de tensión entre automovilistas que circulaban por la zona. De acuerdo con los primeros reportes, el saldo preliminar delaccidentefue de un adulto fallecido, un menor de edad gravemente lesionado y tres personas más con heridas de consideración regular. Testigos alertaron de inmediato a los servicios de emergencia tras observar los vehículos severamente dañados y a varias personas atrapadas. Elementos de Protección Civil, en coordinación con la Unidad Municipal deEncarnación de Díaz, arribaron al sitio para brindar atención prehospitalaria a los lesionados. Paramédicos estabilizaron a las víctimas antes de su traslado a hospitales cercanos, mientras que equipos de rescate realizaron maniobras para liberar a personas que quedaron prensadas dentro de los automóviles. La zona fue acordonada durante varias horas para permitir las labores de auxilio y evitar nuevos percances, lo que generó tráfico lento en ambos sentidos de la autopista. Autoridades pidieron paciencia a los conductores y recomendaron tomar vías alternas mientras se realizaban las diligencias correspondientes. Hasta el momento, no se ha informado de manera oficial cómo ocurrió elaccidente; sin embargo, no se descarta que el exceso de velocidad o una distracción al volante hayan sido factores determinantes. Las investigaciones continúan para deslindar responsabilidades. Este accidente ocurre en plena temporada devacaciones invernales, una época en la que aumenta considerablemente el flujo vehicular encarreterasyautopistasdel país. Las autoridades reiteraron el llamado a manejar con precaución, respetar los límites de velocidad y mantenerse atentos a las condiciones del camino. Durante las vacaciones, pequeños descuidos pueden terminar en tragedia. Para reducir riesgos al viajar por carretera, especialistas recomiendan: Las carreteras no perdonan errores, y en temporada vacacional el riesgo se multiplica. La prevención sigue siendo la mejor herramienta para evitar tragedias como la ocurrida en la autopista Aguascalientes–León.</t>
  </si>
  <si>
    <t>Luisa Camila Serrano es hallada sin vida tras descarrilamiento del Tren Interoceánico</t>
  </si>
  <si>
    <t>2025-12-29 20:55:40</t>
  </si>
  <si>
    <t>https://www.tvazteca.com/aztecanoticias/luisa-camila-serrano-es-hallada-sin-vida-descarrilamiento-del-tren-interoceanico-en-oaxaca/</t>
  </si>
  <si>
    <t>Después de que elTren Interoceánicose descarrilara enOaxaca, comenzó a circular la fotografía deLuisa Camila Serrano, quien viajaba en la locomotora y no había sido localizada; desafortunadamente, la familia encontró sin vida a la menor de 15 años. La quinceañeraviajaba con su hermana y mamá en el tren, quienes resultaron lesionadas y las trasladaron al hospital “Macedonio Benítez Fuentes”, deJuchitán, pero de Luisa no se sabía nada. “Pues, pasó lo que pasó y, en el momento, la mamá gritaba que ayudaran a su hija, porque estaba supuestamente, ahora sí, que entre los fierros ahí y que ayudaran a su hija”, contó Jacinto Serrano, tío de la Luisa Camila. Después de varias horas de búsqueda,Luisa Camila Serrano fue localizada sin vida, sumándose a la fatal cifra de víctimas, de personas que no pudieron llegar a su destino por estedescarrilamiento. El Colegio Nacional de Educación Profesional Técnica (Conalep) Plantel 155, ubicado enSalina Cruz, Oaxaca, lamentó la muerte de su estudiante, quien cursaba la carrera de Salud Comunitaria. LaSecretaría de Marinaexplicó que en el tren viajaban 250 personas, cuandose descarriló el domingo 28 de diciembre. Hasta ahora hay 13 fallecidos y más de 100 personas fueron trasladadas con diferentes heridas a hospitales. Hasta el punto del accidente se trasladaron agentes del Ministerio Público Federal, así como policías federales ministeriales y peritos de la Agencia de Investigación Criminal, para hacer las indagatorias correspondientes. El lunes 29 de diciembre se recuperó el registrador electrónico Pulse, es decir, lacaja negra ferroviariaque registra de forma continua datos como velocidad, posición del acelerador, presiones del freno, dirección de avance y otras señales críticas de la locomotora. LaFiscalía General de la República (FGR)analizará esos datos para determinar las causas deldescarrilamiento, ya que la caja negra contiene información básica sobre el comportamiento de la maquinaria en tiempo real. El accidente delTren Interoceánicodestapó señalamientos de “amiguismos”, en los que estaría involucradoBobby López Beltrán, hijo del expresidente Andrés Manuel López Obrador. Fue el propio exmandatario quien confirmó que el tren sería operado por el Estado y su hijo, lo supervisaría “como honorífico” y presuntamente, sin cobrar. La oposición pidió que se investigue con claridad eldescarrilamiento del Tren Interoceánico, así lo apuntó Irais Reyes, diputada de Movimiento Ciudadano. “No queremos que la Marina, revise a la Marina, sino que sea justamente una auditoría externa la que encuentre a las personas responsables de lo que sucedió y garantice la seguridad del uso de ese tren en un futuro”, sentenció la legisladora.</t>
  </si>
  <si>
    <t>Recuperan dispositivo "Pulse" del Tren Interoceánico; la "caja negra" que revelará por qué descarriló</t>
  </si>
  <si>
    <t>2025-12-29 19:51:53</t>
  </si>
  <si>
    <t>https://www.tvazteca.com/aztecanoticias/recuperan-caja-negra-del-tren-interoceanico-fgr-analiza-descarrilamiento/</t>
  </si>
  <si>
    <t>Las investigaciones para esclarecer latragedia ferroviaria en elIstmo de Tehuantepechan dado un paso crucial. Autoridades federales confirmaron larecuperación del registrador electrónico "Pulse", el dispositivo tecnológico que funge como la"caja negra"delTren Interoceánicoque descarriló el pasado domingo 28 de diciembre en Nizanda, Oaxaca. La Secretaría de Marina (Semar) informó que este equipo será la pieza fundamental de evidencia que analizará laFiscalía General de la República (FGR)para determinar, con precisión científica, las causas del siniestro. El dispositivo "Pulse" almacena datos críticos en tiempo real sobre el comportamiento de la maquinaria previos al accidente, tales como: Para integrar la carpeta de investigación, la FGR ha desplegado un equipo multidisciplinario en la "Zona Cero". Agentes del Ministerio Público Federal, adscritos a la Fiscalía Especializada de Control Regional, coordinan los trabajos junto a la Agencia de Investigación Criminal. El equipo de expertos incluye especialistas eningeniería civil, arquitectura, seguridad industrial forense, tránsito terrestrey criminalística de campo. Hasta el momento, se han realizado inspecciones exhaustivas de la vía y el tren, además de entrevistas a testigos y sobrevivientes para reconstruir la cronología de los hechos. En un contexto doloroso, la mañana de este lunesfue rescatado el último cuerpoatrapado entre los fierros retorcidos, elevando y confirmando la cifra oficial de13 personas fallecidas. Los restos de las víctimas están siendo entregados a sus familiares en una funeraria del municipio deEl Espinal. El accidente, ocurrido en laLínea Zcon 241 pasajeros a bordo, dejó también un saldo de98 heridos. De ellos,44 permanecen hospitalizados; la mayoría de los ingresados en el IMSS Bienestar de Juchitán ya fueron dados de alta, mientras que los pacientes más graves fueron trasladados a la ciudad de Oaxaca para recibir atención especializada. De igual forma, se confirmó que una de las víctimas era una joven menor de edad que había sido reportada como desaparecida. Su nombre esLuisa Camila Serranode 15 años, quien viajaba con su hermana y mamá en el tren Interoceánico.</t>
  </si>
  <si>
    <t>Vagón de carga suelto cruza cuatro kilómetros en Nogales, Sonora, y se impacta con muro de contención</t>
  </si>
  <si>
    <t>2025-12-29 19:22:53</t>
  </si>
  <si>
    <t>https://www.tvazteca.com/aztecanoticias/vagon-fantasma-en-nogales-sonora-recorre-la-ciudad-sin-control-y-choca-muro-contencion/</t>
  </si>
  <si>
    <t>Momentos de tensión e incertidumbre vivieron automovilistas y habitantes deNogales, Sonora, al ser testigos de una escena inusual y peligrosa: un pesadovagón de cargase desplazó atoda velocidadpor distintos puntos de la ciudad, completamente solo y sin estar acoplado a ninguna locomotora. El incidente, que parecía sacado de una película, generó alarma inmediata. En videos captados por conductores atónitos, se observa a la unidad ferroviaria avanzando por inercia sobre las vías, cruzando intersecciones viales sin que nada pudiera detenerla. El trayectodel vagónfuera de control terminó en una zona crítica. La unidad recorrió la ciudad hasta llegar a las inmediaciones de laLínea Internacional, justo a la altura de laGarita Nogales–Nogales. Fue en este punto donde la carrera del vagón finalizó abruptamente: se desvió del riel yse impactó violentamente contra un muro de contención, evitando así que cruzara hacia el lado estadounidense o causara un accidente mayor en los carriles de cruce. A pesar de lo aparatoso del incidente y del riesgo que representó su paso por cruces vehiculares, las autoridades confirmaron queno se reportaron personas lesionadas. "El vagón presentó un desperfecto durante la noche y salió de los patios de Ferrocarril Mexicano, ubicados en Lomas de Nogales. Recorrió aproximadamente 4 kilómetros rumbo al norte y no impactó la línea internacional, ya que previo a llegar a la zona divisoria existe un desviador que, en estos casos, provoca el descarrilamiento controlado", se señaló en un comunicado de Protección Civil de Sonora. Asimismo, se destacó que la carga transportaba chícharos deshidratados, por lo que no representó un riesgo para la población, únicamente daños internos de la empresa. Equipos de emergencia y personal ferroviario acudieron al lugar del impacto para evaluar los daños a la infraestructura y asegurar la zona, mientras se inician las investigaciones para determinar cómo fue que el vagón se desacopló y comenzó su peligroso viaje en solitario.</t>
  </si>
  <si>
    <t>¿Qué dijo la presidenta Sheinbaum sobre el descarrilamiento del Tren Interoceánico en Oaxaca? Mañanera EN VIVO</t>
  </si>
  <si>
    <t>2025-12-29 12:41:58</t>
  </si>
  <si>
    <t>https://www.tvazteca.com/aztecanoticias/mananera-sheinbaum-29-diciembre-que-dijo-el-descarrilamiento-del-tren-interoceanico/</t>
  </si>
  <si>
    <t>Este es el resumen minuto a minuto de laconferencia matutinadela presidentaClaudia Sheinbaumde este lunes 29 de diciembre, la cual se llevó a cabo desde Palacio Nacional. Fuerza Informativa Azteca (FIA) te presenta los temas más relevantes. Se espera que la presidenta hable sobre el descarrilamiento delTren Interoceánicoen Oaxaca que, hasta el momento, dejó 13 muertos y 98 heridos. Sobre la imputación del delito de terrorismo al periodistaRafael Leónen Veracruz, la presidenta Claudia Sheinbaum señala que es la Fiscalía del estado es quien debe aclarar el caso. “Primero, por qué usa este delito que nunca se ha usado en México, hay que garantizar la libertad de expresión”, afirma. La presidenta señaló que viajará a Oaxaca para reunirse con los familiares de las personas fallecidas y afectadas tras el descarrilamiento del Tren Interoceánico el pasado domingo 28 de diciembre. El secretario de Marina, Raymundo Morales Ángeles, confirmó la muerte de 13 personas en el descarrilamiento sucedido, ayer enIxtepec, Oaxaca, dijo que ya se trasladó a las personas heridas a diversos hospitales del estado, di más detalles sobre lo sucedido. “De las 250 personas abordo, 9 resultaron atendidas en sitio, 109 atendidas en hospital, de los cuales 44 hospitalizados y lamentablemente el fallecimiento de 13 personas", dijo. De esas 13 personas, hemos localizado 12, una continúa en labores de rescates. "Asimismo, el resto de los pasajeros fueron trasladados a hospitales del estado de Oaxaca, del IMSS-Bienestar, ambulancias de secretaría, marina, cruz roja, secretaría de la defensa nacional, protección civil y del grupo ferroviario del sureste", señaló. La presidenta mencionó que envía su pésame a las personas que resultaron fallecidas en el descarrilamiento delTren Interoceánicoen Oaxaca. Laconferencia matutina, más conocida como “mañanera” de lapresidenta Claudia SheinbaumPardo, comienza en punto de las 7:30 horas y termina alrededor de las 9:30 horas, tiempo del Centro de México.</t>
  </si>
  <si>
    <t>Tragedia en el Tren Interoceánico: Descarrilamiento deja 13 muertos y 98 heridos HOY; confirma Semar</t>
  </si>
  <si>
    <t>2025-12-28 17:33:55</t>
  </si>
  <si>
    <t>https://www.tvazteca.com/aztecanoticias/accidente-en-el-tren-interoceanico-hoy-28-diciembre-que-paso-y-que-se-sabe/</t>
  </si>
  <si>
    <t>Trece personas murieron y al menos 98 resultaron lesionadas tras el trágico descarrilamiento delTren Interoceánico del Istmo de TehuantepecregistradoHOY 28 de diciembrea la altura deNizanda, Oaxaca,informó la Secretaría de Marina (Semar). El accidente ocurrió cuando la locomotora principal se salió de las vías, lo que provocó momentos de caos y una movilización inmediata de cuerpos de emergencia, ya que a bordo viajaban 241 personas pasajeras y nueve integrantes de la tripulación. De acuerdo coninformación oficial, elaccidente ocurrió sobre laLínea ZdelTren Interoceánico, donde la formación estaba integrada por dos locomotoras y cuatro vagones de pasajeros. Tras el descarrilamiento, personal de auxilio brindó atención directa a las personas usuarias, mientras se aseguraba la zona para evitar mayores riesgos derivados del accidente. Autoridades delCorredor Interoceánico del Istmo de Tehuantepecinformaron que, tras el accidente, se mantiene coordinación con instancias locales para la atención del suceso y el levantamiento de información técnica y operativa; el Tren Interoceánico continuará informando conforme se confirmen más datos sobre las causas del accidente. TAMBIÉN TE PUEDE INTERESAR:FUERTE CHOQUE DE TREN INTEROCEÁNICO Y TRÁILER EN CHIAPAS LaSecretaría de Marinaconfirmó este domingo elfallecimiento de 13 personasa consecuencia del trágico descarrilamiento delTren Interoceánicoocurrido enOaxaca, lo que representa un cambio significativo respecto a los reportes preliminares emitidos horas antes del accidente. La información fue difundida mediante un comunicado oficial, conforme avanzó la atención integral a las personas afectadas. De acuerdo con el reporte más reciente, el accidente dejó un total de98 personas lesionadas. De ese grupo,36 continúan recibiendo atención médica hospitalaria, mientras que el resto presenta lesiones menores y se encuentra fuera de peligro. Además, se precisó que139 personas no resultaron con afectaciones de gravedadtras el siniestro. La dependencia federal informó que los trabajos de auxilio y rescate se mantienen activos en la zona del descarrilamiento, en coordinación con autoridades estatales y municipales. Personal naval, cuerpos de emergencia y equipos médicos continúan brindando atención a las personas lesionadas y apoyo a sus familiares, mientras se refuerzan las labores de traslado y seguimiento médico. En su posicionamiento oficial, laSecretaría de Marinaexpresó sus condolencias a las familias de las personas que perdieron la vida y reiteró su compromiso de actuar con responsabilidad, transparencia y apego a la ley durante la atención de esta emergencia. Asimismo, señaló que el acompañamiento institucional a las víctimas y sus familiares se mantendrá conforme evolucione la situación. Las autoridades indicaron que el monitoreo del accidente del Tren Interoceánico continúa y que, conforme se cuente con información confirmada, se darán a conocer nuevas actualizaciones sobre el estado de salud de las personas lesionadas y las investigaciones en curso para esclarecer las causas del descarrilamiento. Antes de esta actualización, las autoridades habían reportado unsaldo preliminar de 20 personas lesionadastras el descarrilamiento del Tren Interoceánico, sin víctimas mortales confirmadas. Dichas cifras correspondían a los primeros reportes emitidos durante las labores iniciales de rescate y atención médica, las cuales fueron ajustadas conforme avanzó la evaluación integral de las personas involucradas en el accidente. Elaccidenteocurrido enOaxacano es un hecho aislado. Enmenos de diez días,elTren Interoceánicose ha visto involucrado en al menos dos accidentes que han obligado a activar protocolos de emergencia y revisar las condiciones de operación en cruces ferroviarios del sureste del país. El antecedente inmediato ocurrió el 20 de diciembre de 2025, cuando un tren de pasajeros colisionó con un tráiler en el estado deChiapas. De acuerdo con los reportes oficiales, el accidente se registró alrededor de las 09:55 horas, en un cruce ferroviario ubicado en la comunidad de Cardona, municipio de Pichucalco. El tráiler se atravesó al paso del Tren Interoceánico que cubría la rutaCoatzacoalcos–Pakal Ná, provocando un fuerte impacto; a bordo viajaban 148 personas, quienes, junto con la tripulación, resultaron ilesas, aunque la locomotora principal presentó daños visibles. Tras el accidente, se activó un protocolo de atención para garantizar el traslado seguro de los pasajeros, mediante el envío de otra unidad ferroviaria y autobuses de apoyo. Autoridades reiteraron que no hubo personas lesionadas, pero el incidente volvió a colocar bajo la lupa los riesgos en cruces a nivel, especialmente tras un nuevo accidente del Tren Interoceánico registrado días después enOaxaca, ahora con más de 200 personas a bordo.</t>
  </si>
  <si>
    <t>Fatal error: hombre confunde envase y pierde la vida al beber sustancia tóxica en Coahuila</t>
  </si>
  <si>
    <t>2025-12-27 23:36:41</t>
  </si>
  <si>
    <t>https://www.tvazteca.com/aztecanoticias/hombre-confunde-envase-y-pierde-la-vida-al-beber-sustancia-toxica-en-coahuila/</t>
  </si>
  <si>
    <t>La muerte de un hombre de 37 años encendió una fuerte alerta entre autoridades deCoahuila, luego de queperdiera la vida tras ingerir de manera accidental una sustancia tóxicaque estaba almacenada en un envase reutilizado. El caso volvió a poner sobre la mesa un riesgo cotidiano que suele normalizarse en muchos hogares:reutilizar botellas de bebidas para guardar químicos peligrosos. De acuerdo con los primeros reportes, el hombre comenzó a presentar síntomas de intoxicación y, pese a su debilitado estado, logró trasladarse por sus propios medios a una clínica delInstituto Mexicano del Seguro Social,acompañado de familiares. Al llegar, fue ingresado de manera inmediata para recibir valoración y atención de urgencia al ingerir la sustancia desconocida. Personal médico aplicó procedimientos de emergencia con el fin de revertir los efectos del tóxico. Sin embargo, la gravedad del cuadro no permitió una evolución favorable.A pesar de los esfuerzos, el paciente no mostró mejoría y falleció horas después. LaFiscalía General de Coahuilatomó conocimiento del hecho y dispuso que el cuerpo fuera trasladado al Servicio Médico Forense. Ahí se realizarán los estudios correspondientes que permitirán confirmar oficialmente la causa del deceso y establecer con precisión el tipo de sustancia involucrada. El incidente puso nuevamente en foco una práctica común pero altamente riesgosa:guardar raticidas, solventes, ácidos y otros químicos en recipientes similares a los utilizados para agua, refrescos o jugos. Su apariencia puede inducir a confusión, incluso entre personas adultas, y en muchos casos termina en tragedias que pudieron evitarse.</t>
  </si>
  <si>
    <t>Tragedia en la carretera Victoria-Zaragoza: Choque de autobús deja al menos 2 muertos y decenas de heridos</t>
  </si>
  <si>
    <t>2025-12-27 16:22:53</t>
  </si>
  <si>
    <t>Monterrey</t>
  </si>
  <si>
    <t>https://www.tvazteca.com/aztecanoticias/tragedia-en-la-carretera-victoria-zaragoza-choque-autobus-trailer-deja-al-menos-2-muertos/</t>
  </si>
  <si>
    <t>Ungrave percance vialse registró este día en el kilómetro 92 de lacarretera Victoria-Zaragoza, en un punto cercano a la intersección que conduce hacia Monterrey. El incidente ocurrió específicamente en la zona conocida como La Toron, donde un autobús de pasajeros, que transportaba alrededor de 37 personas,se estrelló violentamentecontra la parte trasera de un tráiler. De acuerdo con los reportes preliminares, el camión de carga se encontraba detenido sobre el acotamiento de la vía, aparentemente debido a una falla mecánica. El impacto del autobús contra la caja del tráiler fue directo, provocando daños severos en la parte frontal de la unidad de pasajeros. Se dio a conocer sobre el fallecimiento de dos personas como consecuencia de la colisión. Por otro lado, se informó que ambos conductores de las unidades involucradas lograron sobrevivir al fuerte choque. Debido a la magnitud del impacto, varios pasajeros quedaron atrapados entre los restos del autobús, entre ellos un menor de edad, cuyos gritos de auxilio se escuchaban desde el exterior. Para facilitar las labores de rescate, los paramédicos y rescatistas se vieron en la necesidad de retirar asientos y romper las ventanas laterales del vehículo para acceder a las víctimas más graves. Se estima que entre cinco y 10 personas requirieron maniobras especializadas para ser extraídas en camillas rígidas debido a fracturas en sus extremidades y otras heridas de consideración, de acuerdo con información local. La Guardia Nacional estableció un doble perímetro de seguridad para resguardar la escena y permitir que los rescatistas trabajaran de forma coordinada siguiendo los protocolos de investigación. El tráfico en la zona se vio afectado, especialmente para quienes circulaban desde la carretera a Monterrey hacia la desviación a Zaragoza.</t>
  </si>
  <si>
    <t>Muere alcalde de Tepeapulco, Hidalgo en accidente de tránsito</t>
  </si>
  <si>
    <t>2025-12-26 23:46:28</t>
  </si>
  <si>
    <t>https://www.tvazteca.com/aztecanoticias/muere-alcalde-de-tepeapulco-hidalgo-alfredo-gonzalez-accidente-carretero/</t>
  </si>
  <si>
    <t>Elpresidente municipal de Tepeapulco, Hidalgo, Alfredo González Quiroz, murió en un accidente de tránsito en la carreteraCuautepec-Tepeapulco; el chofer del alcalde y su escolta resultaron lesionados. De acuerdo con el reporte de la policía local en chofer perdió el control de la unidad a la altura de la comunidad delos Coyotesy provocó que se volcara la unidad de lujo de 3.5 millones de pesos. De acuerdo con información proporcionada por su equipo deComunicación Social, el alcalde perdió la vida tras el accidente automovilístico ocurrido en la carreteraTepeapulco–Cuautepec. Elgobernador del estado de Hidalgo, Julio Menchaca, confirmó el deceso en sus redes sociales al lamentar eldeceso y enviar el pésame a sus familiares. En tanto, mediante un comunicado, laSecretaría de Seguridad Pública del estado de Hidalgodetalló que el percance en el que el edil falleció ocurrió alrededor de las 15:00 horas de este viernes 26 de diciembre,sobre la carretera que va de Cuautepec hacia Tepeapulco. Se informó queAlfredo González Quiroziba de regreso aTepeapulco, luego de visitar una comunidad en la que entregó juguetes a los niños hidalguenses por la Navidad. De acuerdo con la dependencia, a causa de la lluvia y la cinta asfáltica mojada, el conductor de la camioneta perdió el control y se estrelló contra un árbol. Por lo fuerte del impacto, el presidente municipal falleció en el lugar; mientras que su escolta y el chofer fueron trasladados a un hospital de la región en situación crítica.</t>
  </si>
  <si>
    <t>¡Terrible! Dos autobuses chocan de frente sobre la carretera Tlapa-Puebla; hay muertos</t>
  </si>
  <si>
    <t>2025-12-26 22:58:03</t>
  </si>
  <si>
    <t>Puebla</t>
  </si>
  <si>
    <t>https://www.tvazteca.com/aztecanoticias/muertos-y-heridos-dos-autobuses-chocan-frente-la-carretera-tlapa-puebla/</t>
  </si>
  <si>
    <t>Un aparatoso accidente ocurrió en lacarretera Tlapa-Puebla la mañana de este viernes 26 de diciembre de 2025, al impactarase de frente dos autobuses de pasajeros; autoridades de rescate, reportaron muertos y varios heridos. El accidente ocurrió cerca del poblado deIxcateopan municipio de Alpoyecaa unos metros de la bodega Cermo. Lamentablemente se reportan pérdidas humanas y varios heridos, por lo que personal de Protección civil de Tlapa llegó al lugar para auxiliar a los heridos y trasladarlos al hospitalIMSS Bienestar. El accidente ocurrió alrededor de las 8:00 de la mañana en las inmediaciones de la comunidad de Ixcateopan, en un tramo de alta afluencia vehicular. En el choque se vieron involucradas unidades de laslíneas Oro y Sur,que cubrían rutas entreTlapa de Comonfort, Puebla y la Ciudad de México,respectivamente. De acuerdo con los primeros informes de las autoridades, el choque movilizó a elementos deProtección Civil,paramédicos y corporaciones policiacas, quienes brindaron atención prehospitalaria a los lesionados y coordinaron su traslado a hospitales cercanos para su valoración médica. Hasta el momento, se reporta de manera preliminar lamuerte de al menos tres personas y más de una decena de heridos; sin embargo, las cifras podrías cambiar conforme avanza las labores de auxilio y se confirme la información oficial. Lacarretera Puebla–Tlapafue cerrada de manera parcial a la circulación mientras se realizaban los trabajos de atención a las víctimas, retiro de las unidades impactadas y levantamiento de datos para el peritaje correspondiente. Ante ello, las autoridades exhortaron a los automovilistas aextremar precaucionesy utilizar rutas alternas. Las causas del accidente aún no han sido determinadas y serán las autoridades correspondientes las encargadas de esclarecer cómo ocurrió la colisión. Mientras tanto,cuerpos de emergenciapermanecen en la zona para garantizar la seguridad de quienes transitan por la vía.</t>
  </si>
  <si>
    <t>Lo que impide la indemnización a la familia de Abril “N”, madre que perdió la vida tras la explosión en Iztapalapa</t>
  </si>
  <si>
    <t>2025-12-26 00:43:40</t>
  </si>
  <si>
    <t>https://www.tvazteca.com/aztecanoticias/explosion-en-iztapalapa-por-que-la-familia-abril-n-madre-fallecida-no-ha-recibido/</t>
  </si>
  <si>
    <t>La familia deAbril “N”,madre de cuatro pequeños que perdió la vida tras la explosión de la pipa en Iztapalapa,continúasin recibir la indemnizaciónque se les prometió. A pesar del tiempo transcurrido y de los trámites realizados, el pago sigue detenido, y recientementese dio a conocer la razón que ha frenado el apoyo económico que esperan para enfrentar los efectos de la tragedia. Desde que se registró el incidente, autoridades capitalinas informaron que se han brindado apoyos directos a los deudos, entre ellos lacobertura de gastos funerarios,apoyo solidario, orientación jurídica yatención psicológica especializadapara las hijas e hijos de lavíctima, así como para las personas que actualmente se hacen cargo de su cuidado. Abril “N” era madre dedos hijas y dos hijos, quienes hoy están bajo el resguardo de un familiar cercano. De acuerdo con la Fiscalía, las y los menores recibenseguimiento psicológico continuo, con sesiones periódicas y enfoque especializado, como parte de las acciones deprotección integral a víctimas indirectas. Sin embargo, lareparación del dañoaún no se ha formalizado. La propia Fiscalía explicó que existe unconflicto familiar en proceso de resolución, relacionado con la definición legal de laguarda y custodiade las y los menores. Esta definición es indispensable para establecer un mecanismo jurídico seguro que permita garantizar que los recursos de la reparaciónse destinen exclusivamente a las hijas e hijos de la víctima. Además, laFGRseñaló que el caso de Abril, continúa siendo atendido y que el acompañamiento institucional y humano se mantiene activo. Además, señaló queel caso no se dará por concluido hasta que el proceso familiar permita avanzarplenamente hacia unareparación integral del daño, con justicia y protección efectiva para las niñas, niños y adolescentes que quedaron en orfandad tras la tragedia. Abril Díaz, de 34 años, fue otra de las víctimas de la explosión de la pipa de gas LP en el puente de La Concordia, murió el pasado 18 de septiembre, trasquemaduras en aproximadamente el 95% de su cuerpo. Su hermana confirmó que la jovenmurióa consecuencia de las graves quemaduras sufridas el pasado 10 de septiembre.</t>
  </si>
  <si>
    <t>"¡Qué feo lo que pasa aquí!"; dos muertos, deja estallido de pirotecnia en Oaxaca</t>
  </si>
  <si>
    <t>2025-12-25 22:46:50</t>
  </si>
  <si>
    <t>https://www.tvazteca.com/aztecanoticias/dos-muertos-deja-explosion-pirotecnia-en-jalapa-del-marquesado-oaxaca/</t>
  </si>
  <si>
    <t>Poco después del mediodía de este jueves 25 de diciembre, se registró unaexplosión,presuntamente por elmal manejo de pirotecniaque se expendía en una tienda de abarrotes en la localidad deJalapa del Marqués, en el Istmo de Tehuantepec, Oaxaca. Las autoridades reportaron a dos personas fallecidas,cuerpos de emergenciaacudieron al lugar para auxiliar a los heridos y apoyar para sofocar el fuego generado por la explosión. De acuerdo con la Coordinación Estatal de Protección Civil y Gestión de Riesgos (CEPCyGR) de Oaxaca, se atendió una explosión registrada al interior de una vivienda en la cual se almacenabapirotecnia, en el municipio deSanta María Jalapa del Marqués, en la que se reportandos personas fallecidas y una lesionada. Este incidente se presentó en el domicilio ubicado en la calle Diagonal Oriente con Primera Poniente, donde se realizabantrabajos de soldadura,lo que, de acuerdo con los primeros informes, pudo generar esta situación. Además, en el sitio había untanque de gasque provocó una explosión de gran magnitud que sorprendió a los vecinos de la zona. De manera preliminar, se reportan dos personas fallecidas del sexo masculino, de nombres Fernando T. V., y Fernando T. Mientras que lapersona lesionadafue identificado como Jair L., quien fue trasladado a una clínica de esa municipalidad para recibir atención médica. Al sitio acudieron corporaciones de auxilio y seguridad federales, estatales y municipales quienes controlaron la emergencia. La dependencia reiteró su llamado a la ciudadanía para no manipular pirotecnia, evitar su almacenamiento en viviendas y reportar cualquier actividad irregular, con el fin de preveniraccidentes fatales. Servicios de emergencia laboran en explosión de toma clandestina</t>
  </si>
  <si>
    <t>Explosión en polvorín del Edomex: Reportan heridos y destrozos tras estallido en bodega de pirotecnia en Ozumba</t>
  </si>
  <si>
    <t>2025-12-25 17:18:52</t>
  </si>
  <si>
    <t>https://www.tvazteca.com/aztecanoticias/explosion-polvorin-ozumba-edomex-dos-heridos-estallido-taller-pirotecnia-24-diciembre/</t>
  </si>
  <si>
    <t>AlertayemergenciaenNochebuena:unaexplosiónregistrada lanoche del 24 de diciembreactivó unaintensa movilizaciónde cuerpos de rescate tras elestallidode unpolvorínenOzumba, Edomex. El incidente ocurrió mientras las familias se encontraban celebrando, por lo que este hecho deúltima horagenerócaospor elincendioy una rápida respuesta deProtección Civil, bomberos y servicios médicosen esta localidad mexiquense De acuerdo con los primeros reportes, laexplosión del polvorínenOzumba, Edomex,se registró alrededor de las21:15 horasen untaller de pirotecniaubicado en la calle de losCoheteros, en el barrio delChamizal, a un costado del libramiento que conecta la carreteraMéxico-CuautlaconAtlautla. La explosión provocó un incendio de grandes proporciones dentro del polvorín, donde chispas y cohetes encendidos salían del inmueble, generando una escena de alto riesgo para los habitantes de la zona. Paramédicos confirmaron que dos hombres resultaron lesionados con quemaduras de segundo grado, consideradas de prioridad, por lo que ambos fueron estabilizados en el lugar y trasladados a hospitales de la región deAmecamecapara recibir atención especializada. Autoridades municipales deOzumba, Edomex, informaron que, pese a la magnitud del estallido del polvorín, no se reportaron personas fallecidas; no obstante, los destrozos en el taller son totales, dejando pérdidas significativas tras la explosión. TAMBIÉN TE PUEDE INTERESAR:¿QUIÉNES MURIERON EN LA EXPLOSIÓN DE PESQUERÍA? AUMENTA LISTA DE VÍCTIMAS EN NUEVO LEÓN Tras controlar el fuego, elementos deProtección Civil de Ozumba, Tepetlixpa y Atlautla, junto conCruz Roja Amecamecay policías estatales y municipales, acordonaron la zona para evitar riesgos adicionales. Al concluir las labores de emergencia, el presidente municipal deOzumba, Ricardo Valencia, informó que el gobierno local se mantendrá atento a la situación tras laexplosióndelpolvorínregistrada enEdomexdurante laNochebuena. El edil subrayó que su administración dará seguimiento puntual tanto a la seguridad de la zona como al estado de los lesionados. "Nuestro compromiso es estar cerca de la ciudadanía en los momentos más difíciles, trabajando con responsabilidad, solidaridad y coordinación", expresó el alcalde, mientras continuaban los peritajes para esclarecer las condiciones en las que ocurrió la explosión.</t>
  </si>
  <si>
    <t>Fatal choque en San Antonio Abad: Conductor de taxi de la CDMX muere tras volcadura; rescatan a su perro entre los fierros</t>
  </si>
  <si>
    <t>2025-12-25 15:20:26</t>
  </si>
  <si>
    <t>https://www.tvazteca.com/aztecanoticias/choque-san-antonio-abad-hoy-muere-chofer-taxi-cdmx-y-rescatan-perro-accidente/</t>
  </si>
  <si>
    <t>Unchoque fatalregistrado en plenaNavidaddesató unaemergenciadeúltima horaen laCDMX, luego de que unTaxise impactara contra una palmera y terminara en volcadura, provocando lamuerte del conductory un fuertecaos vial. El accidente ocurrió sobre la calzadaSan Antonio Abad, en la alcaldía Cuauhtémoc, activando una alerta para los cuerpos de rescate en uno de los corredores más transitados de la capital. De acuerdo con los primeros reportes, eltaxi de la CDMXcirculaba a la altura del cruce conJosé T. Cuéllar,en lacolonia Obrera, cuando el conductor perdió el control, se impactó violentamente ysufrió unavolcadura. La fuerza delchoqueen calles de laCDMXprovocó que el chofer fuera eyectado del vehículo, perdiendo la vida de manera inmediata. Servicios de emergencia confirmaron el fallecimiento en el lugar del accidente. Al interior del taxi, además del conductor, viajaba un perro que quedó prensado entre los fierros tras lavolcadura.Elementos del Heroico Cuerpo de Bomberos de la CDMX realizaron maniobras de rescate y lograron liberar con vida al animal, una escena que conmovió a testigos del choque ocurrido en plena madrugada deNavidad. TAMBIÉN TE PUEDE INTERESAR:CAOS VIAL EN NAVIDAD: ¡APARATOSO CHOQUE EN CDMX! AUTO CON JÓVENES SALE DISPARADO A DESNIVEL DE OCEANÍA Estechoqueno fue el único accidente que generócaosen laCDMXdurante este 25 de diciembre. En laalcaldía Venustiano Carranza, otro percance terminó en volcadura y caída a desnivel sobre avenidaOceanía, a la altura de la coloniaRomero Rubio, lo que activó una nuevaemergenciaymovilización policiaca. En ese accidente, ocurridohoy 25 de diciembre, un vehículo perdió el control tras un choque con otro automóvil, salió del camino y cayó a un desnivel. Cuatro personas viajaban a bordo; dos jóvenes resultaron lesionados y fueron trasladados alHospital General de Balbuena. Aunque el choque en la CDMX fue aparatoso, no se reportaron víctimas mortales. Autoridades acordonaron ambas zonas para permitir el retiro de los vehículos siniestrados. Los choques, volcaduras y accidentes registrados duranteNavidadencendieron la alerta en laCDMX, donde continúan las investigaciones para deslindar responsabilidades.</t>
  </si>
  <si>
    <t>Caos vial en Navidad: ¡Aparatoso choque en CDMX! Auto con jóvenes sale disparado a desnivel de Oceanía</t>
  </si>
  <si>
    <t>2025-12-25 14:02:50</t>
  </si>
  <si>
    <t>https://www.tvazteca.com/aztecanoticias/choque-cdmx-hoy-volcadura-emergencia-navidad-auto-jovenes-sale-disparado-oceania/</t>
  </si>
  <si>
    <t>Elcaos vialvolvió a sacudir a laCDMXmientras la ciudad dormía y celebraba laNavidad 2025, luego deunchoqueque terminó envolcaduray caída a desnivel sobreavenida Oceanía, en laalcaldía Venustiano Carranza. El accidente, ocurridohoy 25 de diciembre, activó unaalerta de emergenciay una intensa movilización de cuerpos de rescate, convirtiéndose en un hecho de última hora que afectó la circulación en esta zona del oriente capitalina. De acuerdo con los primeros reportes, un vehículo particular circulaba sobreOceaníacuando otro automóvil le cerró el paso de forma repentina. El conductor intentó esquivar el impacto, pero perdió el control y salió proyectado de la vialidad, cayendo a un desnivel en el cruce con la calle Siberia, en la colonia Romero Rubio. ElchoqueenOceanía, en plenaCDMX, dejó escenas de alto riesgo y obligó al cierre parcial de la avenida. Dentro del automóvil viajaban cuatro personas. Trasel choque, dos jóvenes resultaron lesionados: un menor de 16 años y otro de aproximadamente 20, quienes fueron atendidos por paramédicos en el lugar y trasladados alHospital General de Balbuena. Aunque el accidente en Oceanía fue aparatoso, ambos se reportaron fuera de peligro. Elementos de seguridad acordonaron la zona para facilitar las maniobras de rescate y el retiro del vehículo siniestrado. Elchoqueen laCDMXprovocó afectaciones viales durante varias horas, mientras autoridades iniciaron las investigaciones para determinar responsabilidades. Hasta el momento, no se reportan personas detenidas por este accidente registrado enOceanía. A pocos kilómetros delchoqueenOceanía, laNavidaden laCDMXse vivió de otra forma. Afuera de hospitales, familiares de pacientes pasaron la noche en vigilia, esperando noticias en medio de la preocupación. Algunos llevaban horas; otros, días sin volver a casa. TAMBIÉN TE PUEDE INTERESAR:¡CAOS EN PERIFÉRICO SUR POR CHOQUE! CIERRAN LATERAL POR EMERGENCIA TRAS APARATOSA VOLCADURA| MIENTRAS DORMÍA En este escenario,ciudadanos y voluntariosdecidieron cambiar su cena navideña por salir a las calles con ollas de pozole, atole y comida caliente. Recorrieron hospitales ofreciendo alimento y consuelo a quienes enfrentaban una noche difícil; no hubo preguntas ni condiciones, solo apoyo. Así, mientras el choque enOceaníarecordaba lo frágil que puede ser la vida en laCDMX, gestos solidarios demostraron que incluso en medio de una emergencia, laNavidadtambién puede significar esperanza y humanidad.</t>
  </si>
  <si>
    <t>¡Buscan esta camioneta! Revelan video del fatal atropellamiento en la ZMG; el conductor mató a una niña y huyó</t>
  </si>
  <si>
    <t>2025-12-24 20:29:33</t>
  </si>
  <si>
    <t>atropellamiento</t>
  </si>
  <si>
    <t>Guadalajara</t>
  </si>
  <si>
    <t>https://www.tvazteca.com/aztecanoticias/filtran-video-fatal-accidente-zmg-jalisco-revelan-clip-atropellamiento-mortal-tonala/</t>
  </si>
  <si>
    <t>Unaalertayemergenciase mantieneactivaen laZona Metropolitana de Guadalajara (ZMG), Jalisco, luego de que se revelara elvideodelatropellamientoque terminó con la vida de una niña de nueve años enTonalá. Las imágenes, difundidas este martes, muestran elmomento exactode latragediay son clave para ubicar al vehículo responsable, cuyo conductor huyó tras el impacto. El video, captado por una cámara de seguridad de un comercio en la coloniaSan Gaspar,exhibe cómo una madre y sus hijas intentan cruzar la avenidaTonaltecascuando una camioneta negra circula a alta velocidad. El atropellamiento ocurre en segundos: la madre es proyectada y la niña es arrollada, perdiendo la vida de manera instantánea; el conductor no se detuvo y escapó, lo que desató indignaciónen la ZMG. De acuerdo con los reportes, el atropellamiento ocurrió la noche del lunes 22 de diciembre, alrededor de las 21:55 horas. Paramédicos de la Cruz Verde atendieron la emergencia y confirmaron que la niña ya no contaba con signos vitales. Su madre, de 33 años, fue trasladada de urgencia con fracturas expuestas en ambas piernas a un hospital de tercer nivelenGuadalajara. Este video se convirtió en una pieza clave para las investigaciones, ya que permite observar características del vehículo involucrado en el atropellamiento, así como la ruta de escape. Autoridades deJaliscoconfirmaron que ya se revisan cámaras delC5para reforzar el análisis del material. TAMBIÉN TE PUEDE INTERESAR:TRÁGICO ACCIDENTE EN LA ZMG: CONDUCTOR SE PASA EL ALTO, MATA A UNA NIÑA, DEJA A SU MADRE GRAVE Y HUYE HOY 23 DE DICIEMBRE La difusión del video busca que la ciudadanía ayude a identificar la camioneta implicada en este atropellamiento que enluta a una familia de la ZMG. El caso mantiene a Tonalá en alerta, mientras continúan las diligencias para localizar al conductor que provocó la tragedia y abandonó a la niña y a su madre tras el impacto. Las autoridades reiteraron el llamado a aportar información que ayude a esclarecer este atropellamiento, uno de los hechos viales más graves registrados recientemente en laZona Metropolitana de Guadalajara.</t>
  </si>
  <si>
    <t>Choque entre patrulla de policía y camioneta particular en la ZMG termina en pleito, destrozos y caos vial HOY</t>
  </si>
  <si>
    <t>2025-12-24 14:38:17</t>
  </si>
  <si>
    <t>https://www.tvazteca.com/aztecanoticias/accidente-zmg-hoy-fuerte-choque-patrulla-camioneta-golpes-caos-vial-emergencia/</t>
  </si>
  <si>
    <t>Unchoque registradodurante la madrugada dehoy 24 de diciembreprovocócaos vial, alarmay una ampliamovilización de emergenciaen laZMGdeJalisco, luego de que una patrulla de policía deGuadalajarase impactara contra una camioneta particular. Elaccidenteocurrió en un cruce de alta afluencia y derivó en destrozos, cierre parcial de la vialidad y un enfrentamiento entre policías y familiares de los ocupantes del vehículo involucrado. Elaccidentese registró en el cruce de avenidaJavier Minay calleBasilio Vadillo, en lacolonia La Penal, punto donde el choque obligó a detener la circulación durante varias horas. Tras el impacto, se solicitó apoyo inmediato, lo que generó la llegada de más unidades de la patrulla de policía, ambulancias de la Cruz Roja y personal de rescate, reforzando la movilización deemergenciaen laZMG. En la camioneta particular viajaba una familia integrada por un hombre de 34 años, una mujer y un menor de siete años. Tras el accidente, ninguno requirió traslado hospitalario, aunque presentaron golpes leves. En contraste, dos elementos que viajaban en la patrulla de policía resultaron lesionados y fueron llevados a un hospital para su valoración médica, luego del choque. Las causas del choque son motivo de versiones encontradas. Testigos señalaron que lapatrulla de policíahabría cruzado el semáforo sin señales luminosas ni audibles, mientras que laComisaría de Guadalajaraindicó que el conductor de la camioneta presuntamente no respetó la luz roja; será la autoridad vial la que determine la mecánica del accidente ocurridoen laZMG. TAMBIÉN TE PUEDE INTERESAR:TRÁGICO ACCIDENTE EN LA ZMG: CONDUCTOR SE PASA EL ALTO, MATA A UNA NIÑA, DEJA A SU MADRE GRAVE Y HUYE HOY 23 DE DICIEMBRE Tras el choque, el conductor de la camioneta fue asegurado por policías, lo que generó un altercado con familiares y personas que se encontraban en el sitio. Hubo gritos e intercambio de golpes, situación que aumentó el caos vial y mantuvo la zona acordonada mientras continuaban los peritajes delaccidenteen laZMG. Las autoridades informaron que las investigaciones continúan para deslindar responsabilidades por este choque que involucró a una patrulla de policía, registrado hoy 24 de diciembre y que encendió la alerta en el oriente de la ciudad.</t>
  </si>
  <si>
    <t>¡Caos en Periférico Sur por choque! Cierran lateral por emergencia tras aparatosa volcadura| Mientras Dormía</t>
  </si>
  <si>
    <t>2025-12-24 13:51:07</t>
  </si>
  <si>
    <t>https://www.tvazteca.com/aztecanoticias/fuerte-accidente-periferico-sur-choque-coche-arbol-volcadura-cdmx-benito-juarez/</t>
  </si>
  <si>
    <t>Minutos antes de la medianoche,Mientras Usted Dormía, se registró unfuerte choqueque derivó en unaccidente vialen la lateral delPeriférico Sur,a la altura de la calleJuan Tinoco, en la coloniaMerced Gómez, alcaldíaBenito Juárez. Un vehículo compacto terminó completamente con las llantas arriba tras unaaparatosa volcaduraal impactar contra un árbol, lo que movilizó a distintos cuerpos de emergencia. De acuerdo con los primeros reportes recabados en el lugar del accidente, el conductor perdió el control de la unidad mientras circulaba por la lateral del periférico sur, lo que provocó el choque contra el árbol y la posterior volcadura. El choque ocurrió cuando la circulación era moderada, por lo que fue necesaria la intervención inmediata de autoridades para evitar mayores riesgos. Al sitio del accidente acudieron elementos de laSecretaría de Seguridad Ciudadana, Bomberos de la Ciudad de Méxicoy personal deProtección Civil. Paramédicos de laCruz Rojabrindaron atención prehospitalaria al conductor en el lugar, sin que se reportaran lesiones de gravedad. El percance no involucró a otros vehículos. TAMBIÉN TE PUEDE INTERESAR:¡EMERGENCIA EN EL EDOMEX HOY! VUELCA PIPA DE GAS EN AUTOPISTA PEÑÓN-TEXCOCO Y DESATA CAOS VIAL POR BLOQUEO DE CARRETERA Durante las maniobras de auxilio, la circulación vehicular en el periférico sur fue cerrada de manera temporal, principalmente desde avenida Barranca del Muerto, con el objetivo de permitir el retiro seguro del automóvil y evitar un nuevo choque. Policías viales implementaron cortes y desvíos preventivos. Tras varios minutos de trabajo coordinado, el vehículo fue colocado nuevamente en su posición normal y retirado de la zona del choque. Una vez concluidas las labores, la circulación en el periférico sur se restableció de forma gradual. Este accidente se suma a otros percances registrados durante la noche en vialidades de alta velocidad, por lo que autoridades reiteran el llamado a conducir con precaución, especialmente en tramos del periférico sur donde se han reportado choques recientes.</t>
  </si>
  <si>
    <t>Reportan incendio en la Colonia Hacienda del Jardín, Tultepec; desalojan viviendas</t>
  </si>
  <si>
    <t>2025-12-24 04:13:07</t>
  </si>
  <si>
    <t>https://www.tvazteca.com/aztecanoticias/incendio-en-colonia-hacienda-del-jardin-tultepec-desalojan-viviendas/</t>
  </si>
  <si>
    <t>La noche de este martes 23 de diciembre, se registró un incendio en elfraccionamiento Hacienda del Jardín Dos, en elmunicipio de Tultepec, Estado de México (Edomex), dondetubos de drenajeque se encontraban en el lugar ardieron en su totalidad, generando una intensa movilización de cuerpos de emergencia. De acuerdo con el reporte preliminar, al sitio acudieron elementos delCuerpo de Bomberos de Tultepec, así como de municipios vecinos, quienes trabajaron de manera coordinada para combatir y sofocar las llamas. El fuerteincendioprovocó preocupación entre los habitantes de la zona debido a la cercanía del fuego con viviendas. Como medida preventiva,vecinos de casas aledañas fueron desalojados durante el desarrollo de la emergencia,con el objetivo de salvaguardar su integridad ante la propagación delfuego y el humo generado por la combustión de los materiales. Tras varios minutos de labores, los bomberos lograron controlar y finalmente sofocar el incendio, evitando que se extendiera a otras áreas del fraccionamiento. Una vez eliminados los riesgos, la situación fue controlada en el lugar. Autoridades informaron que, pese a la magnitud del siniestro, no se reportaron personas lesionadas.Hasta el momento no se han dado a conocer las causas que originaron el incendio ni si se registraron daños adicionales, por lo que se espera que las autoridades correspondientes continúen con las revisiones en la zona. El pasadodomingo21 de diciembre, se vivieron momentos decaosyalarmatras registrarseunaexplosióndentro de untianguis instaladosobre laavenida Pedregal, al poniente deMorelia. Esto sucedió, luego de que un puesto de pirotecnia estallara de forma repentina, provocando pánico entre comerciantes y visitantes; el incidente activó una movilización deemergencia, aunque autoridades confirmaron que no hubo personas lesionadas. Las autoridades informaron que, al momento de la revisión, únicamente se localizaron restos de la pirotecnia sin detonar y las mesas utilizadas para su comercialización; el presunto responsable del puesto involucrado en la explosión no fue localizado en el lugar.</t>
  </si>
  <si>
    <t>¡Emergencia en el Edomex HOY! Vuelca pipa de gas en autopista Peñón-Texcoco y desata caos vial por bloqueo de carretera</t>
  </si>
  <si>
    <t>2025-12-23 16:39:56</t>
  </si>
  <si>
    <t>https://www.tvazteca.com/aztecanoticias/vuelca-pipa-autopista-penon-texcoco-hoy-edomex-alerta-caos-vial-bloqueo-carretera-cierre/</t>
  </si>
  <si>
    <t>¡Vuelcaotrapipadegas!Alertadeúltima horaen la autopistaPeñón–Texcocoporaparatoso accidente: Unavolcadurade unapipaque transportabagasdesató caos vial, emergencia y un bloqueo carreteroa la altura delkilómetro 10, con dirección aTexcoco, generando unaintensa movilizacióndecuerpos de auxilioy un severocongestionamiento vehicularen los límites conChimalhuacányNezahualcóyotl. La situación obligó al cierre total de la circulación como medida preventiva ante el riesgo que implicaba la unidad siniestrada. De acuerdo con los primeros reportes, el accidente se originó por exceso de velocidad y falta de precaución del conductor pasando el puente a la desviación aPirámidescon rumbo a laCDMX. La pipa, que se encontraba aproximadamente al 80 por ciento de su capacidad, terminó volcada fuera del pavimento. Por lavolcaduraen laautopista Peñón-Texcocono se reportan personas lesionadas ni fuga de gas, pero bomberos y personal deProtección Civil del Estado de Méxicorealizan maniobras de enfriamiento, revisión y preparación para el trasvase del combustible, mientras grúas trabajan para retirar la unidad y restablecer la circulación, que avanza de forma lenta y controlada. TAMBIÉN TE PUEDE INTERESAR:VUELCA Y SE INCENDIA PIPA CON CHAPOPOTE EN CHIAPAS; REPORTAN UNA PERSONA SIN VIDA Lavolcadurade lapipa de de gasocurrió a pocos metros de la caseta de laautopista Peñón–Texcoco, lo que ha permitido que, de manera intermitente, algunos automovilistas, motociclistas y unidades de transporte público avancen con dirección al Libramiento Periférico y hacia la Ciudad de México, principalmente rumbo al Aeropuerto Internacional. Autoridadesrecomiendan paciencia y sugieren como vía alterna la carretera federal, ya que en los próximos minutos podrían registrarse mayores afectaciones en esta zona del municipio deTexcoco, Estado de México. Los tripulantes de la unidad fueron valorados por paramédicos en el lugar y permanecen a la espera del arribo de las aseguradoras para iniciar el deslinde de responsabilidades. Hasta el momento, las autoridades no han confirmado si la volcadura se debió a exceso de velocidad o a una posible falla mecánica, por lo que las investigaciones continúan.</t>
  </si>
  <si>
    <t>Trágico accidente en la ZMG: Conductor se pasa el alto, mata a una niña, deja a su madre grave y huye HOY 23 de diciembre</t>
  </si>
  <si>
    <t>2025-12-23 15:10:08</t>
  </si>
  <si>
    <t>https://www.tvazteca.com/aztecanoticias/fatal-accidente-en-zmg-hoy-conductor-atropella-a-menor-deja-grave-a-su-madre-y-huye/</t>
  </si>
  <si>
    <t>Caos, alertaymovilización de emergenciaen laZona Metropolitana de Guadalajara(ZMG). Unaintensa madrugadamarcada portragedia y accidentessacudió aGuadalajara HOY 23 de diciembre, luego de que un accidente vial enTonalácobrara la vida de una menor y dejara a su madre gravemente herida. El caso activó una fuerte respuesta de cuerpos de auxilio y encendió las alertas en laZMG, donde autoridades atendieron varios percances casi de forma simultánea enGuadalajaray su zona conurbada. De acuerdo con los primeros reportes, elaccidenteocurrió sobre la avenidaTonal Altec, en la coloniaSan Gaspar de Tonalá, dentro de laZMG; una mujer de 33 años y dos de sus hijas intentaban cruzar la vialidad cuando fueron atropelladas por un vehículo que circulaba a exceso de velocidad. Paramédicos de laCruz Verdelocalizaron a la mujer y a una niña de nueve años con múltiples lesiones; una menor más resultó ilesa. Pese a los esfuerzos médicos, laniña fallecióen el lugar debido a heridas incompatibles con la vida, mientras que su madre fue trasladada en estado grave a un hospital deGuadalajara, con fracturas en ambas piernas. ¿Qué se sabe del vehículo involucrado en el accidente de Tonalá en la ZMG? Testigos indicaron que se trató de una camioneta que presuntamente omitió la luz roja del semáforo y huyó tras el accidente. Autoridades de la ZMG ya revisan cámaras del C5 de Guadalajara para tratar de ubicar el vehículo responsable y esclarecer los hechos ocurridos en esta zona de alto flujo vehicular. TAMBIÉN TE PUEDE INTERESAR:SIAPA ANUNCIA MEGACORTE MASIVO DE AGUA EN MÁS DE 800 COLONIAS DEL ÁREA METROPOLITANA DE GUADALAJARA Horas antes y después del atropellamiento,laZMGregistró otros accidentes relevantes. En la autopistaGuadalajara–Zapotlanejo, a la altura del fraccionamientoLa Aurora, un tráiler volcó y quedó atravesado en sentido contrario, lo que obligó al cierre parcial de la circulación; el conductor presentó múltiples contusiones, sin requerir traslado. En otro punto dela ZMG, sobre la carretera aAgua Blanca, en el municipio deEl Salto, una camioneta volcó tras salir de la cinta asfáltica. Un adulto quedó prensado y fue rescatado por unidades especializadas; dos adultos y un menor resultaron lesionados y recibieron atención médica. Autoridades reiteraron el llamado a extremar precauciones al conducir por Guadalajara y la ZMG, especialmente durante la madrugada, donde el exceso de velocidad sigue siendo un factor constante en cada accidente.</t>
  </si>
  <si>
    <t>Noche de terror en la ZMG de Jalisco por ataque armado: Encapuchados irrumpen en bar y acribillan a tres</t>
  </si>
  <si>
    <t>2025-12-22 14:13:28</t>
  </si>
  <si>
    <t>https://www.tvazteca.com/aztecanoticias/balacera-tonala-jalisco-hoy-ataque-armado-bar-colonia-francisco-villa-zmg/</t>
  </si>
  <si>
    <t>Unataque armadoen unbardesató unanoche de terroren laZona Metropolitana de Jalisco (ZMG), luego de que unabalaceradejara un saldo preliminar detres personas asesinadasy un sobreviviente herido por proyectil de arma de fuego. El hecho ocurrió al exterior de un establecimiento ubicado sobre la calleDivisión del Norte, en la coloniaFrancisco Villa, en el municipio deTonalá, donde sujetos armados sorprendieron a las víctimas y abrieron fuego de manera directa, consumando elasesinatode dos hombres y una mujer. De acuerdo con los primeros reportes, las detonaciones alertaron a vecinos y provocaron la movilización inmediata de policías municipales y paramédicos. A su arribo, confirmaron que tres de las víctimas ya no contaban con signos vitales debido a múltiples impactos de bala. Un cuarto hombre logró sobrevivir alataque armadoy fue trasladado a un puesto de socorro con una herida de bala en una pierna; su estado de salud fue reportado como regular. Testigos señalaron que los agresores, presuntamente encapuchados, huyeron tras labalacera. TAMBIÉN TE PUEDE INTERESAR:ROBO VIOLENTO Y MOVILIZACIÓN DE EMERGENCIA EN DOS COLONIAS DE GUADALAJARA Sin embargo, este hecho no fue el únicoepisodio violentoregistrado durante la jornada. Horas antes, agentes investigadores se trasladaron a las instalaciones de laCruz RojadelParque Morelos, enGuadalajara, tras el ingreso de un hombre herido por arma blanca. La víctima, atacada en calles de la coloniaLa Mezquitera, enSan Pedro Tlaquepaque, fue atendida en el área de urgencias, pero falleció pese a las maniobras de reanimación. El caso fue catalogado como asesinato y el cuerpo trasladado a la morgue metropolitana para su identificación. En otro punto de la zona conurbada, unataque armadoduranteun asaltoa una empresa en la coloniaParques del Castillo, en El Salto, dejó a un hombre de 27 años en estado crítico. El sujeto recibió un disparo en el cráneo y fue estabilizado por paramédicos antes de ser llevado a un hospital de tercer nivel. Las autoridades informaron que al menos diez hombres armados participaron en la agresión. Además, enZapopan, un menor de 13 años resultó gravemente herido tras ser atropellado por una camioneta que se impactó contra un puesto de comida. El conductor fue detenido. Las autoridades estatales mantienen abiertas diversas carpetas de investigación para esclarecer cada ataque armado, identificar a los responsables de estas balaceras y deslindar responsabilidades en los distintos hechos de violencia que marcaron una noche crítica en laZona Metropolitana de Jalisco.</t>
  </si>
  <si>
    <t>Explosión en Ecatepec ya no sería accidente por acumulación de gas: Investigan amenaza y estallido provocado</t>
  </si>
  <si>
    <t>2025-12-21 23:42:38</t>
  </si>
  <si>
    <t>https://www.tvazteca.com/aztecanoticias/explosion-acumulacion-gas-hoy-ecatepec-destrozos-herido-emergencia/</t>
  </si>
  <si>
    <t>Tensión y alarma regresaron aEcatepec, Estado de México,traslaexplosiónque sacudió una vivienda en la coloniaGranjas Valle de Guadalupe,luego de que autoridades revelaran que elestallido no habría sido accidental. El incidente, que ayer movilizó a cuerpos de emergencia por una supuesta acumulación de gas, ahora es investigado como un hecho posiblemente provocado. De acuerdo con autoridades y versiones vecinales,laexplosiónhabría sido causada por un hombre que habitaba el departamento, quien presuntamente amenazó a su esposa con detonar el inmueble si no regresaba a casa. Minutos después, se habría registrado el estallido tras la liberación deliberada de gas en el lugar. La onda expansiva provocó el colapso parcial de la losa, lanzó fragmentos de concreto a la vía pública y causó daños en al menos tres viviendas cercanas, así como en vehículos estacionados; afortunadamente, no había peatones en la calle al momento del estallido. El hombre, identificado comoVíctor Hugo, fue presentado ante laFiscalía del Estado de México, donde se determinará su situación jurídica en las próximas horas. La explosión ocurrió durante la mañana del domingo en una casa habitación ubicada en la coloniaGranjas Valle de Guadalupe, enEcatepec, específicamente en la esquina de la callePascual Moralesy la avenidaGobernador Gustavo Baz. De acuerdo con los primeros reportes, se indicó que una acumulación de gas en el segundo nivel del inmueble generó la detonación que sacudió la zona y fue escuchada por vecinos a varias cuadras a la redonda. Tras el reporte alCentro de Mando, se desplegó un operativo inmediato con la participación deAtención Prehospitalaria, Rescate Urbano y Bomberos de Ecatepec,quienesconfirmaron que la explosiónfue consecuencia directa de la acumulación de gas al interior de la vivienda. En el lugar fue localizado un hombre de 43 años con quemaduras en aproximadamente el 30 por ciento del cuerpo. TAMBIÉN TE PUEDE INTERESAR:VIDEO: ¡TRAGEDIA EN CDMX! CAPTURAN MOMENTO EXACTO DE LA EXPLOSIÓN DE GAS EN LINDAVISTA; HAY DOS LESIONADOS El lesionado recibió atención médica inmediata y, debido a la gravedad de las heridas provocadas por la explosión, fue trasladado de urgencia alHospital 1ro. de Octubre del ISSSTE; personal médico continúa su valoración, mientras se mantiene bajo observación especializada. La onda expansiva generada por la explosión y la acumulación de gas causó daños estructurales importantes, por lo que personal deGestión Integral de Riesgosrealizó una inspección técnica del inmueble. Ante el riesgo de colapso, bomberos deEcatepecefectuaron trabajos de apuntalamiento provisional para reducir peligros adicionales. Además,Rescate Urbanoreportó afectaciones en al menos tres viviendas aledañas, daños en varios vehículos y la caída de un poste de telefonía. La zona permaneció acordonada durante varias horas mientras continuaban las labores de evaluación y seguridad.</t>
  </si>
  <si>
    <t>Siniestro en Zacatecas: Volcadura de autobús de jornaleros deja 5 muertos y 16 heridos en carretera federal 45</t>
  </si>
  <si>
    <t>2025-12-21 22:32:28</t>
  </si>
  <si>
    <t>Zacatecas</t>
  </si>
  <si>
    <t>https://www.tvazteca.com/aztecanoticias/accidente-zacatecas-hoy-volcadura-autobus-jornaleros-carretera-45-muertos-heridos/</t>
  </si>
  <si>
    <t>Caosy alerta enZacatecas. Unaccidentedeúltima horadesató unamovilización de emergenciay unintenso operativosobre lacarretera federal 45, luego de la volcadura de unautobús de pasajerosquetransportaba jornaleros. ElaccidenteenZacatecas, registradodurante la madrugadade estedomingo, dejó un saldo preliminar decinco personas sin vidayal menos 16 lesionadas, algunos de gravedad, lo que obligó al cierre parcial de la vialidad mientras cuerpos de auxilio y fuerzas de seguridad atendían la emergencia. Elaparatoso accidenteenZacatecasocurrió en el tramoMorelos–Calera, a la altura delkilómetro 16, justo al descender el puente deMorelos. De acuerdo con reportes delC-5, el conductor del camión perdió el control de la unidad, lo que provocó una volcadura violenta. El autobús, tipo 'banana', terminó fuera del pavimento y con desprendimiento de la carrocería. La unidad transportaba a cerca de30 jornalerosprocedentes deGuadalajara, Jalisco, con destino a la comunidad deRío Florido, enFresnillo. Tras el accidente, automovilistas que pasaban por la zona solicitaronauxilio inmediatoal observar lamagnitudde lavolcadura. Al sitio del accidente enZacatecasarribaron elementos deProtección Civil, paramédicosycorporaciones de seguridad, quienes iniciaron labores de rescate. En el lugar de la volcadura, las autoridades confirmaron que cinco personas ya no contaban con signos vitales. TAMBIÉN TE PUEDE INTERESAR: FATAL INTENTO:CONDUCTOR MUERE ARROLLADO POR TREN EN CARRETERA ESTATAL DE HUICHAPAN AL INTENTAR GANARLE EL PASO Además,16 lesionadosfueron atendidos, entre ellos cuatro adultos en estado grave y un menor de menos de cuatro años, quienes fueron trasladados alHospitalGeneral de Zacatecas. Debido a la volcadura, la circulación fue parcialmente cerrada mientras se realizaban los peritajes correspondientes. La zona del accidente quedó bajo resguardo deSeguridad Pública, Guardia Nacional y Policía de Investigación, en espera del arribo delServicio Médico Forense.</t>
  </si>
  <si>
    <t>Tragedia en Jiutepec: auto cae a canal y 4 personas mueren atrapadas en Morelos</t>
  </si>
  <si>
    <t>2025-12-21 22:07:40</t>
  </si>
  <si>
    <t>https://www.tvazteca.com/aztecanoticias/cuatro-personas-murieron-caer-auto-a-canal-en-jiutepec-morelos/</t>
  </si>
  <si>
    <t>La tragedia embargó a una familia que viajaba a bordo de su automóvil enJiutepec, Morelos, luego de que la unidad perdiera el control y cayera a uncanal conocido como “Los Pinos”. La corriente impidió que los pasajeros salieran a tiempo y quedaran atrapados dentro del vehículo. Primeros reportes señalan que tres personas murieron ahogadas y una más fue arrastrada por el agua. Una camioneta blanca cayó desde un puente estrecho hacia un canal en lacolonia Atlacomulco, quedando volcada con las llantas hacia arriba, durante la mañana del domingo 21 de diciembre. Dentro viajaban cuatro personas, tres hombres y una mujer, que perdieron la vida tras quedar atrapadas y ser arrastradas por la fuerte corriente. Vecinos de la zona, al ver la camioneta hundirse, corrieron para intentar ayudarlos, pero la fuerza del agua hizo que el vehículo quedara atrapado en un tramo angosto del caudal, complicando las tareas de ayuda. Minutos más tarde llegaron cuerpos de emergencia, entre ellos Protección Civil y Guardia Nacional, quienes realizaron maniobras para recuperar a las víctimas, aunque el nivel de agua no ayudó mucho. En redes sociales comenzó a circular un video del rescate, pero para entonces los paramédicos ya habían confirmado que ninguna de las víctimas tenía signos vitales. Primeros reportes indican que tres cuerpos quedaron en el sitio. Mientras que, un cuarto fue arrastrado por el canal, pero personal de rescate lo localizó metros adelante. Hasta el momento se desconoce la razón por la que el chofer perdió el control de la camioneta y cayó al canal. Testigos señalan que el conductor habría derrapado al tomar una curva, volcándose hasta el fondo del arroyo. Versiones extraoficiales apuntan a que las víctimas regresaban de un convivio y que el conductor manejaba en estado inconveniente, posible causa delaccidente. Las investigaciones continuarán para determinar responsabilidades y confirmar si falló el vehículo, el pavimento o si hubo exceso de confianza al intentar cruzar por el estrecho puente.</t>
  </si>
  <si>
    <t>VIDEO: ¡Caos por explosión en el Pedregal! Estalla puesto de pirotecnia en pleno tianguis de Morelia</t>
  </si>
  <si>
    <t>2025-12-21 20:18:11</t>
  </si>
  <si>
    <t>https://www.tvazteca.com/aztecanoticias/explosion-tianguis-morelia-hoy-captan-video-estallido-incendio-pedregal/</t>
  </si>
  <si>
    <t>La mañana de estedomingo21 de diciembre, se vivieron momentos decaosyalarmatras registrarseunaexplosióndentro de untianguis instaladosobre laavenida Pedregal, al poniente deMorelia, luego de que un puesto de pirotecnia estallara de forma repentina, provocando pánico entre comerciantes y visitantes; el incidente activó una movilización deemergencia, aunque autoridades confirmaron que no hubo personas lesionadas. De acuerdo con los primeros reportes oficiales, la explosión ocurrió en eltianguisque se coloca cada domingo a la altura de la coloniaEduardo Ruiz, cuando el material pirotécnico comenzó a detonar mientras era acomodado para su venta; el estruendo se escuchó a varios metros y generó temor entre quienes se encontraban realizando compras en eltianguisdeMorelia, lo que obligó a desalojos preventivos en la zona. Testigos señalaron que, tras laexplosión, algunos locatarios actuaron de inmediato utilizando cubetas con agua para contener las llamas iniciales, mientras otros solicitaron apoyo al número de emergencia '911'; minutos después arribaron elementos delCuerpo de Bomberos y personal de Protección Civil,quienes lograron controlar por completo el incidente en el tianguis de Morelia, evitando que el fuego se propagara a otros puestos. TAMBIÉN TE PUEDE INTERESAR:11 LESIONADOS TRAS EXPLOSIÓN EN BAZAR NAVIDEÑO EN TEOLOYUCAN, EDOMEX Las autoridades detallaron que, al momento de la revisión, únicamente se localizaron restos de la pirotecnia sin detonar y las mesas utilizadas para su comercialización; el presunto responsable del puesto involucrado en la explosión no fue localizado en el lugar, por lo que se dará seguimiento administrativo al caso, ya que la venta de estos productos representa un riesgo dentro de espacios públicos como un tianguis. Protección Civilreiteró el llamado a la ciudadanía para evitar la compra y almacenamiento de pirotecnia, especialmente en mercados y zonas de alta afluencia en Morelia, al advertir que una explosión de este tipo puede derivar en consecuencias graves; también se pidió reportar de inmediato cualquier situación de riesgo para prevenir nuevos incidentes en tianguis de la ciudad.</t>
  </si>
  <si>
    <t>Vuelca y se incendia pipa con chapopote en Chiapas; reportan una persona sin vida</t>
  </si>
  <si>
    <t>2025-12-21 03:55:42</t>
  </si>
  <si>
    <t>https://www.tvazteca.com/aztecanoticias/vuelca-y-explota-pipa-chapopote-en-chiapas-hay-una-persona-sin-vida/</t>
  </si>
  <si>
    <t>¡Vuelca pipa con chapopote! Autoridades informaron de manera preliminar sobre un accidente registrado la tarde de este sábado en elmunicipio de Chamula, Chiapas, luego de que unapipa que transportaba material peligroso,específicamente chapopote, volcara en Tojtic.Reportan una persona sin vida. El percance generó la movilización decuerpos de emergencia,quienes acudieron al sitio para evaluar los riesgos, controlar la situación y evitar posibles afectaciones a la población y al entorno, mientras se determinan las causas del accidente. ElSistema Estatal de Protección Civilinformó de manera preliminar sobre un accidente de alto riesgo ocurrido la tarde de este día en el municipio deChamula, específicamenteen la localidad de Tojtic, donde se registró lavolcadura y la explosión de una pipa. De acuerdo con el reporte inicial de las autoridades,el saldo preliminar del accidente es de una persona sin signos vitales,quien hasta el momento permanece encalidad de desconocido,así comoun masculino lesionado en código rojo,lo que indica que su estado desalud es crítico. Ambos casos fueron atendidos en el lugar por personal especializado, mientras se llevaban a cabo las labores de auxilio y control de riesgos. Ante la volcadura de la unidad, las autoridades implementaron medidas preventivas para asegurar la zona y evitar mayores afectaciones, considerando que elchapopote es un material peligroso que puede representar riesgos tanto para la población como para el entorno. El área fue intervenida por la fuerza de tarea desplegada, integrada por elementos deProtección Civil Municipal y Policía Municipal,quienes realizan trabajos de atención, coordinación y apoyo en el sitio. Las autoridades municipales y estatales continúan recabando información para esclarecer las circunstancias en las que ocurrió el accidente, así como para determinar responsabilidades y evaluar posibles daños adicionales. ElSistema Estatal de Protección Civil del estadoseñaló que la información es de carácter preliminar y que conforme avancen las investigaciones se dará a conocer cualquier actualización oficial sobre este hecho registrado enChamula.</t>
  </si>
  <si>
    <t>Fallece la influencer "Mayits": esto se sabe sobre la muerte de María José Calderón</t>
  </si>
  <si>
    <t>2025-12-21 00:38:11</t>
  </si>
  <si>
    <t>https://www.tvazteca.com/aztecanoticias/que-murio-mayits-esto-se-sabe-la-muerte-la-influencer-maria-jose-calderon/</t>
  </si>
  <si>
    <t>El mundo digital amaneciódevastado. Lasredes socialesse llenaron de mensajes de dolor y despedida tras confirmarse eltrágico fallecimiento de la influencer, modelo y creadora de contenido María José Calderón, conocida como “Mayits”, quien perdió la vida a los 23 años de edad en unaccidente vial. De acuerdo con la información con medios locales,“Mayits” falleció de manera instantánea luego de verse involucrada en un choque contra un camión, ocurrido minutos antes del mediodía del jueves 18 de diciembre, sobre la avenida Regional, a la altura del sector deIndustriales y la plaza comercial Monterrey. La joven, originaria deMedellín, Antioquia, Colombia,sedesplazaba en su motocicleta en sentido norte–sur, en medio de una alta congestión vehicular. Según los reportes, transitaba detrás de un camión de carga cuando este frenó de manera repentina en un carril de incorporación, lo que le impidió maniobrar o frenar a tiempo, impactando directamente contra la parte trasera del vehículo pesado. El choque provocó queMaría José sufriera un fuerte golpe en la cabeza.Aunque portaba casco,la gravedad del impacto le causó la muerte en el lugar de los hechos. Minutos después arribó una ambulancia; sin embargo, los cuerpos de emergencia confirmaron que la joven ya no presentaba signos vitales. La influencer filipina Gina Lima fallecióa los 23 años de edad el 16 de noviembre de 2025, y su pareja, el también creador de contenido Ivan Cezar Ronquillo, murió tres días después a los 24 años. Un informe elaborado por la unidad forense de la Policía deQuezon Cityindica queLimapresentaba lesiones externas no fatales, además de líquido en los pulmones y congestión en el corazón. La causa exacta de su muerte sigue sin ser determinada a la espera de los resultados depruebas toxicológicas. Durante una conferencia de prensa, la vocera de la policía de Quezon City,Jennifer Gannaban, informó que en la habitación dondeLimafue hallada inconsciente se encontraron marihuana y otros medicamentos.</t>
  </si>
  <si>
    <t>Fatal intento: conductor muere arrollado por tren en carretera estatal de Huichapan al intentar ganarle el paso</t>
  </si>
  <si>
    <t>2025-12-20 22:56:12</t>
  </si>
  <si>
    <t>https://www.tvazteca.com/aztecanoticias/conductor-muere-al-intentar-ganarle-el-paso-al-tren-en-la-carretera-huichapan-san-jose/</t>
  </si>
  <si>
    <t>Un conductor muere enHuichapantras un trágico intento por ganarle el paso a una locomotora la mañana del viernes 20 de diciembre, cuandoun vehículo particular fue impactado por un trende Ferromex sobre lacarretera estatal Huichapan–San José,a la altura de la estación del tren. De acuerdo con los reportes de laSecretaría de Seguridad Pública del Municipio de Huichapan,el accidente ocurrió cuando el conductor del automóvil no respetó el derecho de vía del tren, lo que provocó el impacto directo con la locomotora. Tras el reporte de emergencia, elementos deSeguridad Pública Municipal y de Protección Civilacudieron de inmediato al lugar. Al arribar, los cuerpos de auxilio confirmaron que el conductor del vehículo ya no contaba con signos vitales, por lo que se acordonó la zona para preservar el lugar de los hechos y facilitar las labores correspondientes. La unidad particular quedó sobre lasvías férreas,lo que generó afectaciones temporales a la circulación del tren en ese tramo. Las autoridades municipales informaron que se dio aviso alMinisterio Público, quedando el sitio bajo resguardo en espera del arribo de los servicios periciales de laProcuraduría del Estado, quienes se encargarán de realizar las diligencias necesarias y el levantamiento del cuerpo. Hasta el momento, las autoridades no se han dado a conocer más detalles sobre la identidad del conductor fallecido. El pasado domingo 14 de diciembre, se registró un fuerte sobre lacarretera Miguel Alemán, en laZona Metropolitana de Monterrey. Donde unautobúsperdió el control por causas que aún se encuentran bajo investigación, por lo que la unidad terminó volcada a un costado de la carretera. El accidente ocurrido en laruta 611 Apodaca-Pesquería, y se confirmó de manera oficial que al menos ocho personas murieron en el lugar, mientras que otras más resultaron lesionadas, algunas de ellas de gravedad.</t>
  </si>
  <si>
    <t>Noche de caótica: volcadura en Viaducto Río Piedad e incendio en bar de la Zona Rosa</t>
  </si>
  <si>
    <t>2025-12-19 13:06:07</t>
  </si>
  <si>
    <t>Benito Juárez</t>
  </si>
  <si>
    <t>https://www.tvazteca.com/aztecanoticias/volcadura-viaducto-rio-piedad-incendio-bar-zona-rosa/</t>
  </si>
  <si>
    <t>La madrugada de este viernes, laCiudad de Méxicofue escenario de dos emergencias que movilizaron a los cuerpos de seguridad y rescate, primero se registró unincendioen unbar de la Zona Rosay después lavolcadurade un auto en elViaducto Río de la Piedad, ambos incidentes sin víctimas mortales, pero con importantes afectaciones, además de llamados de alerta a la ciudadanía. ¿Qué pasó en el Viaducto?Un aparatoso accidente vial se registró sobre elViaducto Río de la Piedad, justo a la altura de lacolonia San Pedro de los Pinos, en la alcaldía Benito Juárez. De acuerdo con los primeros reportes, el exceso de velocidad, presuntamente combinado con estado de ebriedad, provocó que el conductor perdiera el control de su automóvil. El vehículo se impactó contra el muro de contención y terminó volcado sobre la cinta asfáltica, generando afectaciones momentáneas a la circulación. Testigos alertaron a los servicios de emergencia a través del 911. Al lugar del siniestro arribaron elementos delHeroico Cuerpo de Bomberos, quienes realizaron maniobras para retirar la unidad y prevenir riesgos adicionales. Paramédicos valoraron al conductor, un hombre de 28 años, quien presentó diversas contusiones. Después de recibir la atenciónprehospitalaria, el automovilista fue asegurado y trasladado ante el Ministerio Público, donde se determinará su situación jurídica. Horas antes, unincendio en el bar Baby, ubicado sobre la calle Londres, en lacolonia Juárez, generó alarma entre clientes y vecinos de la Zona Rosa. El fuego se originó en el tercer nivel del inmueble, mientras decenas de jóvenes se encontraban en el lugar. ¿Qué pasó en el bar Baby?Gracias a la rápida reacción del personal, se activaron los protocolos de evacuación, por lo que se logró desalojar a todos los asistentes de forma ordenada.Bomberos de la Ciudad de Méxicoarribaron minutos después y trabajaron para sofocar las llamas, además de evitar la propagación del fuego. Autoridades confirmaron que no se registraron personas lesionadas ni intoxicadas por humo. Las causas del incendio serán investigadas por las instancias correspondientes. Ante estos siniestros se hace un llamado para evitar el consumo de alcohol al conducir, respetar los límites de velocidad y atender las medidas de seguridad en establecimientos nocturnos. La prevención sigue siendo clave para salvar vidas.</t>
  </si>
  <si>
    <t>Desalojo masivo en centro de Toluca por fuga de gas; evacúan a más de mil personas</t>
  </si>
  <si>
    <t>2025-12-18 20:52:03</t>
  </si>
  <si>
    <t>https://www.tvazteca.com/aztecanoticias/edomex-fuga-gas-en-el-centro-toluca-provoca-evacuacion-masiva-y-cierres-viales-hoy/</t>
  </si>
  <si>
    <t>Unafuga gasen plenocentrodeTolucaencendió lasalertasla mañana deeste 18 de diciembrey provocó undesalojo masivoen una de las zonas más transitadas de la capital delEdomex. La emergencia se registró en el barrio deLa Merced,donde trabajos de encarpentamiento habríandañadounducto de gas natural, generando unamovilizacióninmediata decuerpos de auxilio. De acuerdo con los primeros reportes oficiales, la fuga de gas en el centro deTolucaocurrió cuando personal que realizaba obras golpeó accidentalmente una línea subterránea, lo que ocasionó una liberación de gas y un riesgo latente para habitantes, comerciantes y peatones. En cuestión de minutos, el olor se expandió por varias calles, obligando a activar protocolos de seguridad. Elementos de Protección CivilyBomberos de Tolucaacudieron de inmediato al sitio de la fuga gas en el centro deTolucapara acordonar el área y evitar un incidente mayor. Paralelamente, personal especializado de la empresa proveedora comenzó las maniobras para controlar y reparar el ducto afectado, mientras se mantenía el monitoreo constante de la zona. TAMBIÉN TE PUEDE INTERESAR:TENSIÓN CERCA DEL ESTADIO AZTECA: VUELCA PIPA CON 31 MIL LITROS DE GASOLINA Como medida preventiva ante lafuga de gasen el centro deToluca, se ordenó la evacuación temporal de viviendas, negocios y planteles educativos cercanos. Autoridades estatales confirmaron que se desalojó un perímetro de al menos 100 metros a la redonda, incluyendo una escuela primaria, con un saldo aproximado de mil 500 personas evacuadas. ElAyuntamiento de Tolucainformó que, derivado de lafuga gasen el centro deToluca, se realizaron cierres viales estratégicos, entre ellos la avenida Morelos, desde la calle Felipe Villanueva, para facilitar el trabajo de los cuerpos de emergencia y reducir riesgos para automovilistas y peatones. Hasta el momento, las autoridades reportan que lafuga de gasen centro elTolucano ha dejado personas lesionadas ni intoxicadas, aunque sí se atendieron casos de crisis nerviosa entre algunos evacuados. Los cuerpos de auxilio reiteraron el llamado a la población a no acercarse al sitio y a seguir únicamente información oficial.</t>
  </si>
  <si>
    <t>Familia fallecida en avionazo de Toluca acababa de ganar campeonato de béisbol</t>
  </si>
  <si>
    <t>2025-12-18 18:32:42</t>
  </si>
  <si>
    <t>https://www.tvazteca.com/aztecanoticias/avionazo-en-toluca-viajaban-equipo-beisbol-campeon-un-dia-antes/</t>
  </si>
  <si>
    <t>Lo que debía ser una semana de celebración absoluta se transformó en una de las tragedias más dolorosas del año. Apenas 24 horas después de levantar el trofeo de "Campeón de Campeones", algunos integrantes del equipoSultanesy su familia perdieron la vida en eldesplome de una aeronavecerca delAeropuerto Internacional de Toluca. El destino fue cruelmente puntual. El domingo 14 de diciembre, la familiaGómez Buenfilcelebraba su victoria contra los Rangers en el Deportivo Reynosa. El lunes 15, el jet en el que viajaban desde Acapulco se estrelló, dejando un saldo de10 personas fallecidas, sin ningún sobreviviente. La tragedia golpeó a tres generaciones de una familia dedicada al deporte y a dos tripulantes experimentados. La lista de fallecidos, confirmada tras las investigaciones y mencionada por la presidenta Claudia Sheinbaum, incluye a: La noticia ha sacudido a la comunidad deportiva de la capital. LaLiga Única de Beisbol Azcapotzalco A.C.confirmó que las víctimas eran el corazón de los Sultanes. "Se nos fueron los campeones", lamentaron en redes sociales equipos hermanos como Piratas, Rieleros y la Liga Petrolera. Raúl Gómez Ruiz y su hijo no solo jugaban; invertían tiempo, dinero y pasión para mantener viva la tradición del "Rey de los Deportes" en el norte de la Ciudad de México. Su último recuerdo será el de la victoria del domingo, un triunfo que ahora se convierte en un homenaje póstumo. El accidente ocurrió alrededor de las 12:30 horas del lunes. La aeronave, unCessna Citation IIIcon matrículaXA-PROoperado por la empresa Jet Pro, cubría la rutaAcapulco-Toluca. Audios recuperados de la comunicación con la torre de control revelan el dramatismo de los instantes finales. El piloto, identificado con el código"Papa Romeo Óscar",reportó fallas críticas antes de lanzar su última transmisión:"Nos estamos desplomando". Videos del impacto sugieren que logró maniobrar la aeronave hacia una zona industrial despejada enSan Pedro Totoltepec, impactando contra un taller de tráileres vacío y evitando así caer sobre zonas habitadas, lo que hubiera aumentado la magnitud de la catástrofe. La Fiscalía General de la República (FGR) y la Agencia Federal de Aviación Civil (AFAC) han tomado control de la escena.Lacaja negraya fue localizaday será clave para determinar si el siniestro se debió a una falla mecánica, como sugiere la hipótesis preliminar del gobierno federal. Mientras las autoridades buscan respuestas técnicas, en Azcapotzalco queda el silencio de un estadio vacío y el recuerdo de una familia que se fue siendo campeona.</t>
  </si>
  <si>
    <t>Noche violenta en CDMX: Fatal accidente en Iztacalco y un homicidio en Azcapotzalco</t>
  </si>
  <si>
    <t>2025-12-18 13:12:34</t>
  </si>
  <si>
    <t>https://www.tvazteca.com/aztecanoticias/fatal-accidente-iztacalco-homicidio-azcapotzalco-y-ambulancia-impactada/</t>
  </si>
  <si>
    <t>La madrugada en laCiudad de Méxicoestuvo marcada por hechos de alto impacto que movilizaron a cuerpos de emergencia y seguridad en distintas alcaldías. Unaccidente vehicularmortal enIztacalco, unhomicidio en Azcapotzalcoy el choque de unaambulanciacon fuga del responsable dejaron un saldo de personas fallecidas y lesionadas. ¿Qué pasó en La Viga?Un trágicoaccidente vehicularcobró la vida de dos hombres, además de que dejó a un tercero gravemente herido en laalcaldía Iztacalco. De acuerdo con los primeros reportes, tres personas viajaban a bordo de una motocicleta, cuando circulaban aexceso de velocidadsobre lacalzada La Viga, al cruce con Eje 4 Sur Plutarco Elías Calles, en la colonia Santa Anita. Por causas que aún son investigadas, el conductor perdió el control de la unidad. Los tripulantes salieron proyectados contra el pavimento, mientras que la motocicleta avanzó sin control y quedó a más de 20 metros de distancia, evidenciando la fuerza del impacto. Solo uno de los ocupantes portaba casco de seguridad, quien sobrevivió con lesiones de consideración y fue trasladado de urgencia a un hospital. Horas más tarde, se registró unhomicidio por arma de fuegoen la colonia Santa María Maninalco,alcaldía Azcapotzalco. Un hombre de aproximadamente 30 años fue atacado con al menos tres disparos. Según reportes preliminares, la víctima habría sido seguida por su agresor hasta un callejón de la calle Cuatotonque, donde el atacante se acercó y abrió fuego, para posteriormente huir. Vecinos escucharon varias detonaciones y solicitaron ayuda, pero el hombre murió en el lugar de la agresión. Autoridades acordonaron la zona e iniciaron las investigaciones correspondientes. En otro punto deIztacalco, uncamión tipo “Torton”impactó a una ambulancia en el cruce de calzada La Viga y Eje 5 Sur,colonia El Triunfo, y se dio a la fuga. Dos paramédicos resultaron lesionados, por lo que recibieron atención prehospitalaria. La paciente que era trasladada fue llevada a otro hospital en una unidad distinta para descartar complicaciones. Unapareja tuvo una violenta riñaal interior de unhotel ubicado en la colonia Peralvillo, en la alcaldía Cuauhtémoc. De acuerdo con los primeros reportes, la discusión escaló hasta los golpes, lo que provocó heridas visibles en ambos involucrados, generando alarma entre empleados y huéspedes del lugar. Elementos de la policía preventiva acudieron al sitio para tomar conocimiento de los hechos, mientras paramédicos valoraron a la pareja; ninguno requirió traslado hospitalario. Las autoridades iniciaron las investigaciones correspondientes para deslindar responsabilidades y determinar si existe algún delito que perseguir. Delincuentes robarontubería de cobre de gas natural de un restaurante, lo que provocó una fuga en la colonia 20 de noviembre. Los hechos ocurrieron en la esquina de las calles Sericultura y Electricistas, en la alcaldía Venustiano Carranza. El incidente fue detectado por vecinos de la zona, quienes solicitaron apoyo de los servicios de emergencia tras percibir olor a gas. Elementos del Heroico Cuerpo de Bomberos acudieron al sitio y lograron controlar la fuga. No se reportaron personas intoxicadas ni lesionadas. Las autoridades ya investigan el robo para dar con los responsables.</t>
  </si>
  <si>
    <t>Tragedia en Puebla: Conductor huye tras choque, atropella a mujer y cae en zanja; ¿era trabajador del gobierno?</t>
  </si>
  <si>
    <t>2025-12-17 20:55:35</t>
  </si>
  <si>
    <t>https://www.tvazteca.com/aztecanoticias/conductor-huye-choque-puebla-atropella-mujer-cae-en-zanja-cuautlancingo-hoy</t>
  </si>
  <si>
    <t>Unchoqueregistrado la mañana de estemiércolesencendió las alertas de seguridadenPuebla,luego de que un conductor intentara huir tras unaccidente vial, atropellara a una mujer y terminara dentro de una zanja en la junta auxiliar deLa Trinidad Chautenco, en elmunicipio deCuautlancingo. El choque provocó una rápida movilización policial de emergencia y generó confusión entre vecinos, quienes exigían claridad sobre la identidad del responsable y su posible vínculo con el gobierno dePuebla. De acuerdo con los primeros reportes, el choque ocurrió sobre la calle 18 de Marzo, a un costado de una escuela primaria, cuando el conductor de un auto particular perdió el control tras impactar otros vehículos. En su intento por escapar delchoque, el automovilista avanzó varios metros hasta atropellar a una mujer que se encontraba en la zona; la unidad terminó cayendo en una zanja, lo que agravó el saldo del accidente ocurridoenPuebla. Testigos señalaron que el conductor descendió del vehículo con dificultad, por lo que solicitaron apoyo de cuerpos de emergencia. Tras el choque, elementos de bomberos, policías y paramédicos arribaron al sitio para auxiliar tanto al responsable como a la mujer lesionada, quien fue trasladada a un hospital de la región dePueblapara su valoración médica. TAMBIÉN TE PUEDE INTERESAR:PUEBLA VA POR VEHÍCULOS FORÁNEOS: ASÍ APLICARÁN LAS FOTOMULTAS Y ESTO ES LO QUE PODRÍAS PAGAR Mientras se realizaban las maniobras de rescate, el choque generó tensión entre vecinos y automovilistas afectados, quienes intentaron retener al conductor al que señalaron de manejar en presunto estado de ebriedad. Minutos después, autoridades municipales aseguraron al presunto responsable y lo pusieron a disposición del Ministerio Público para deslindar responsabilidades por el choque registrado en Puebla. Ante los rumores que circularon tras el choque,elAyuntamiento de Cuautlancingoaclaró mediante un comunicado oficial que el conductor involucrado no es trabajador del gobierno municipal de Puebla. La autoridad confirmó que la mujer lesionada recibió atención inmediata y que el caso seguirá su curso legal conforme a lo establecido, mientras se determina la situación jurídica derivada de este choque que volvió a sacudir a Puebla.</t>
  </si>
  <si>
    <t>Múltiple choque en Aguascalientes termina en tragedia: Chofer de tráiler muere tras incendio por carambola</t>
  </si>
  <si>
    <t>2025-12-17 17:57:07</t>
  </si>
  <si>
    <t>https://www.tvazteca.com/aztecanoticias/choque-aguascalientes-tragedia-caos-vial-bloqueos-carreteras-hoy-muere-chofer-trailer</t>
  </si>
  <si>
    <t>Unfatalchoque múltipleenAguascalientesdesatócaos vial, bloqueosy elcierre total de carreterasclaves desde las primeras horas dehoy miércoles 17 de diciembre. El accidente ocurrió en elLibramiento Sur, donde trestráileresse vieron involucrados en una carambola que terminó en incendio, dejando como saldo lamuerte de un chofer de tráiler,quien quedó atrapado dentro de la unidad envuelta en llamas. La magnitud del siniestro obligó a una movilización de emergencia y paralizó por completo la circulación en ambos sentidos. De acuerdo con los primeros reportes oficiales,el choquese registró antes de las 06:00 horas, en el tramo que conecta la carretera 42 con la carretera 45 Sur, una de lascarreterasmás transitadas deAguascalientes. Tras el impacto inicial entre los tráileres, al menos una de las unidades se incendió de forma inmediata, generando una densa columna de humo visible a varios kilómetros y provocando bloqueos totales en la zona. Elchoque en Aguascalientesinvolucró directamente a tres tráileres, dos de los cuales resultaron con daños severos tras el impacto. El fuego consumió por completo uno de los vehículos de carga pesada, impidiendo que el conductor pudiera salir a tiempo. Minutos después, cuerpos de bomberos confirmaron el fallecimiento del operador del tráiler, quien fue localizado calcinado en el interior de la cabina. Además del fallecido, servicios de emergencia atendieron a personas lesionadas en el sitio, quienes fueron trasladadas a hospitales cercanos bajo resguardo médico. Elementos de seguridad estatal y federal acordonaron el área para permitir las labores de auxilio, control del incendio y evaluación de riesgos adicionales derivados delchoqueentre los tráileres. Como consecuencia directa del accidente, las autoridades ordenaron el cierre total del Libramiento Sur, así como restricciones en la carretera 45 Sur y en la salida hacia Calvillo. Estos bloqueos provocaron largas filas de vehículos de carga y automóviles particulares, extendiéndose por varios kilómetros y generando afectaciones severas en la movilidad regional. TAMBIÉN TE PUEDE INTERESAR:CAOS VIAL Y HERIDOS TRAS CHOQUE MÚLTIPLE DE VAN DE PASAJEROS EN CARRETERA LA BARCA – ATOTONILCO, JALISCO El choquey el incendio del tráiler mantuvieron colapsadas varias carreteras estratégicas de Aguascalientes, especialmente durante las horas pico de la mañana. Conductores que intentaban ingresar o salir de la ciudad quedaron varados, mientras personal de tránsito implementó desvíos de emergencia para reducir el impacto vial. Las labores para retirar los tráiler siniestrados continúan y podrían prolongarse durante varias horas, debido al nivel de daño estructural y al riesgo que representa la carga transportada. Autoridades confirmaron que la circulación no será reabierta hasta que se garantice la seguridad total de la zona. Ante este escenario, se recomienda evitar el Libramiento Sur y las carreteras afectadas, además de utilizar rutas alternas mientras persistan los bloqueos derivados del choque en Aguascalientes.</t>
  </si>
  <si>
    <t>Impresionante choque de auto en Iztapalapa deja 3 heridos</t>
  </si>
  <si>
    <t>2025-12-17 13:18:14</t>
  </si>
  <si>
    <t>https://www.tvazteca.com/aztecanoticias/mientras-dormia-choque-auto-iztapalapa-danos-personas-heridas</t>
  </si>
  <si>
    <t>Elementos del Heroico Cuerpo de Bomberos y equipos de rescate se movilizaron al oriente de laCiudad de México (CDMX)tras un aparatoso choque en la calzada Ermita Iztapalapa en la colonia Lomas de Zaragoza, de la alcaldíaIztapalapa. Tres personas, dos hombres y una mujer, circulaban a exceso de velocidad cuando el conductor perdió el control de la unidad. El automóvil se estrelló primero contra un muro de concreto y luego volcó, con lo que quedó con las llantas hacia arriba. La unidad quedó destruida. “Ya han pasado muchos choques aquí, justo con el muro de contención. (...) A cada rato se andan volteando aquí”, compartió Eduardo Villa, un vecino de la zona, a cámaras y micrófonos deFuerza Informativa Azteca (FIA). Otras personas que viven cerca escucharon el estruendo del choque. Los ocupantes lograron salir del vehículo por sus propios medios antes de que llegaran los cuerpos de emergencia. Varias ambulancias acudieron al lugar; paramédicos valoraron a los tripulantes y confirmaron que ninguno presentó heridas de gravedad. Solo uno resultó con una lesión en una pierna, sin necesidad de traslado hospitalario. Autoridades señalaron que fragmentos de concreto dispersos en la vialidad, restos de un percance previo en el mismo punto, contribuyeron como posible factor del accidente. Bomberos de laCiudad de Méxicoacudieron de inmediato a la colonia San Juan de Aragón, Tercera Sección, en la alcaldíaGustavo A. Madero, tras el alerta de un vecino sobre un poste que amenazaba con colapsar. La estructura se inclinaba visiblemente y solo el cableado eléctrico la sostenía, lo que generaba riesgo para habitantes y transeúntes en el cruce de las calles 609 y 606. Al llegar, los elementos realizaron una valoración para descartar peligros mayores. Verificaron que no existía riesgo inmediato, movieron el poste para evitar molestias al propietario de la vivienda afectada y resguardaron la zona. Autoridades informaron que no se reportaron personas lesionadas ni daños mayores. Recomendaron avisar a las instancias correspondientes para el retiro definitivo delposte. Un accidente ocurrió sobreCircuito Interior, luego de que unautomóvilse estrellara contra el muro de contención a la altura de avenida Jardín, lo que derivó en el cierre total de la vialidad para quienes se desplazaban delAeropuerto de la Ciudad de MéxicohaciaLa Raza. El choque ocasionó intenso congestionamiento vehicular; ante la falta de circulación, algunos conductores intentaron dar vuelta en sentido contrario, provocando un bloqueo a la altura delhospital de La Raza. Al sitio acudieron elementos de Tránsito de la Secretaría de Seguridad Ciudadana, quienes implementaron cortes a la circulación y coordinaron las maniobras para retirar el vehículo accidentado. Una grúa de tránsito remolcó el auto, que quedó severamente dañado, para trasladarlo al depósito vehicular. Tras estos trabajos, la circulación se normalizó.</t>
  </si>
  <si>
    <t>Atropellan a niña mientras jugaba en el Mercado del Norte en Chiapas; conductor fue detenido</t>
  </si>
  <si>
    <t>2025-12-17 00:12:59</t>
  </si>
  <si>
    <t>https://www.tvazteca.com/aztecanoticias/video-atropellan-a-nina-mientras-jugaba-en-el-estacionamiento-del-mercado-del-norte</t>
  </si>
  <si>
    <t>Una niña de aproximadamente 3 años estuvo a punto de morir, luego de que unauto la atropellaramientras jugaba en el estacionamiento delMercado Popular del Norte,enSan Cristóbal de las Casas, Chiapas. Una cámara de seguridad captó el momento en que las llantas del coche pasaron por el cuerpo de la pequeña, quien fue trasladada a una clínica de inmediato. De acuerdo con los primeros reportes, el conductor aseguró que no vio a la pequeña antes de avanzar, ya que se encontraba jugando justo frente a su coche. Las imágenes captadas muestran primero a a dos menores jugando en el piso del estacionamiento. En el video se observa que uno de ellos se aleja y sale del cuadro, mientras laniña se queda parada frente a un automóvil gris. Solo pasan unos segundos cuando el conductor arranca. Pasa con las llantas sobre su cuerpo, sin siquiera detenerse. Es hasta que otro niño corre hacia el vehículo para alertar al chofer de lo que estaba pasando. En ese momento, la copiloto baja del auto y un hombre que vestía camisa a cuadros se acerca rápidamente para sacar a la niña debajo del coche. Laniñafue atendida de manera inmediata tras elaccidentey trasladada a un hospital para su valoración médica. Autoridades confirmaron que ya se encuentra fuera de peligro, a pesar de que sus bracitos fueron aplastados. Uno de los reportes señala que una de las llantas sí pasó sobre su espalda, lo que pudo haber provocado lesiones de consideración, pero se desconoce el grado de las heridas. Luego delaccidente, el conductor fue puesto a disposición de las autoridades, quienes realizarán las diligencias para deslindar responsabilidades. El sujeto afirmó no haberse percatado de la presencia de la menor al poner en marcha el vehículo. Sin embargo, el caso será analizado conforme a la ley para determinar si existió unaimprudencia al volante. Ahora bien, en el Código Penal deChiapas, este tipo de incidentes pueden clasificarse comolesiones culposas, pero si se trata de una falta de precaución, las sanciones pueden incluir multas, reparación integral del daño y el pago de gastos médicos. Autoridades y especialistas recuerdan que lasvialidades y estacionamientos son zonas de alto riesgopara menores. Por ello, recomiendan: Más allá de buscar culpables, este caso nos recuerda la importancia de vigilar en todo momento a los niños, porque un descuido de segundos puede cambiarlo todo.</t>
  </si>
  <si>
    <t>VIDEO: Momento exacto en que colapsa el monumento “El Colotero” en Álamo, Veracruz</t>
  </si>
  <si>
    <t>2025-12-16 23:21:04</t>
  </si>
  <si>
    <t>https://www.tvazteca.com/aztecanoticias/video-fue-como-colapso-el-monumento-el-colotero-en-alamo-veracruz</t>
  </si>
  <si>
    <t>La estatua de acero"El Colotero"le daba la bienvenida a decenas de turistas y pobladores deÁlamo Temapache, Veracruz,como recordatorio de su identidad como la capital de la naranja; sin embargo, tras las fuertes lluvias, elmonumentofinalmente cedió este 16 de diciembre. El momento exacto delcolapsoquedó registrado por cámaras de seguridad, sorprendiendo a automovilistas que circulaban por la zona. Cámaras de vigilancia captaron el instante exacto en que la imponente figura se desploma, generando una nube de polvo; aunque sin afectar la circulación. Vecinos deÁlamohabían advertido desde hace tiempo sobre el estado en el que se encontraba la figura y el riesgo que representaba, especialmente tras las afectaciones provocadas por lasinundacionesen octubre de 2025. De acuerdo con autoridades estatales, no se reportaron personas lesionadas ni daños a viviendas o vehículos cercanos, aunque el momento rápidamente se viralizó en redes sociales. La Secretaría de Protección Civil deVeracruzinformó que el monumento ya presentaba fracturas visibles desde hace varios meses, derivadas de las intensas lluvias e inundaciones registradas por el paso de latormenta tropical "Priscilla". Debido a estos daños estructurales, la zona se mantenía acordonada como medida preventiva. Además, las autoridades señalaron que elcolapsotambién se vio agravado por la vibración constante de los vehículos que circulan por la carretera federal 127 Pánuco–Tihuatlán,donde se ubicaba laescultura. El gobierno municipal adelantó que se buscará levantar la réplica del monumento con el mismo diseño original, como parte del rescate simbólico de uno de los íconos más importantes deÁlamo. "El Colotero" medía 15 metros de altura y fue inaugurado en 2004 como un homenaje a los trabajadores del campo dedicados a la cosecha denaranja, actividad que representa la economía local. La figura mostraba a un campesino descalzo, con el pantalón arremangado, el torso desnudo y vaciando un colote, el canasto tradicional hecho de carrizo y cuero, lleno de naranjas. De ahí el nombre “colotero”, que es como se le conoce a los cortadores de cítricos en la región. Elmonumentofue diseñado por el artista originario de Poza Rica, Miguel Vargas Martínez, y se convirtió en un punto de referencia para quienes visitaban el municipio. El colapso de la estatua no resulta extraño luego de las severasinundacionesque sufrióÁlamo Temapache, tras el desbordamiento de los ríosPantepec y Cazones, provocado por latormenta tropical "Priscilla". El río Cazones alcanzó niveles de hasta 8.5 metros, afectando comunidades enteras. Más de 16 mil viviendas resultaron con daños, muchas de ellas con pérdida total a causa del lodo. Pero la situación se agravó conforme pasaban los días y bajaba el nivel del agua, debido a la contaminación y a la falta de atención sanitaria. A dos meses de la emergencia, el municipio intenta dejar atrás la peor inundación  sufrida desde 1999.</t>
  </si>
  <si>
    <t>Conductor de pipa de agua pierde el control y vuelca en Periférico Oriente, Iztapalapa</t>
  </si>
  <si>
    <t>2025-12-16 22:16:47</t>
  </si>
  <si>
    <t>https://www.tvazteca.com/aztecanoticias/vuelca-pipa-agua-en-periferico-oriente-iztapalapa-conductor-resulta-lesiones-leves</t>
  </si>
  <si>
    <t>¡Se vuelca! Un aparatoso accidente se registró la tarde de este martes sobrePeriférico Oriente, a la altura del Eje 6 Trabajadores Sociales, en laalcaldía Iztapalapa, luego de que el conductor de unapipa que transportaba agua perdiera el control de la unidad al dar vuelta en un retorno. El incidente provocó unamovilización de cuerpos de emergenciay afectaciones a la circulación vehicular en la zona. Unapipa que transportaba aguaprotagonizó un aparatoso accidente la tarde de este martes sobrePeriférico Oriente, de acuerdo con los primeros reportes, el conductor de la unidad perdió el control al intentar dar vuelta en un retorno, lo que provocó que elvehículo volcara y quedara atravesado sobre la cinta asfáltica. Tras el incidente, se registró una movilización de cuerpos de emergencia, quienes acudieron de manera inmediata para atender la situación y evitar mayores riesgos en el lugar de los hechos. Al lugar arribaron elementos delHeroico Cuerpo de Bomberos de la Ciudad de México, personal de Protección Civil y policías del sector, quienes se encargaron de acordonar la zona y realizaron labores de seguridad para proteger tanto al conductor como a los automovilistas que circulaban por el área. Los paramédicos de una unidad médica valoraronal chofer de la pipa de agua, quien, pese a lo aparatoso del accidente,solo presentó lesiones leves que no ameritaron su traslado a un hospital. El conductor permaneció en el sitio mientras se realizaban las maniobras correspondientes para retirar la unidad siniestrada. La circulación vehicular enPeriférico Oriente se vio seriamente afectadadurante varios minutos, generando carga vehicular en ambos sentidos, mientras una grúa particular trabajaba para colocar la pipa en su posición normal y posteriormente retirarla del lugar de los hechos. Como medida preventiva,los bomberos esparcieron tierra sobre los aceites y líquidos derramados en el pavimento, con el objetivo de evitar otro accidente.</t>
  </si>
  <si>
    <t>Caos vial y heridos tras choque múltiple de van de pasajeros en carretera La Barca – Atotonilco, Jalisco</t>
  </si>
  <si>
    <t>2025-12-16 17:32:00</t>
  </si>
  <si>
    <t>https://www.tvazteca.com/aztecanoticias/choque-multiple-jalisco-hoy-carambola-heridos-caos-vial-carretera-federal-la-barca-totonilco</t>
  </si>
  <si>
    <t>Unaalertadeúltima horasacudió la regiónCiénegadeJalisco. La mañana dehoy 16 de diciembre,unchoque múltiplesobre lacarretera La Barca – Atotonilcoprovocócaos vial, tráfico intensoy unafuerte movilizacióndeemergencia, luego de que unavan de pasajerosy unvehículo compactocolisionaran en elkilómetro 10 de esta vía federal, una de las más transitadas de la zona. Elchoque múltipleen la carreteraLa Barca – Atotonilcoocurrió alrededor de las 08:38 horas, cuando automovilistas que circulaban por la carretera federal reportaron el impacto y la presencia de personas lesionadas. La colisión generó reducción de carriles y complicaciones en la circulación, mientrascuerpos de auxiliose desplazaban al sitio para atender laemergencia. De acuerdo con información oficial,elchoque múltipleen lacarretera La Barca – Atotonilcodejó un saldo de nueve personas lesionadas, algunas de ellas con heridas de consideración. Siete de los afectados fueron trasladados a hospitales deLa Barca, mientras que dos más fueron llevados a unidades médicas de Atotonilco, donde permanecen bajo observación médica. La atención del choque múltiplecarretera La Barca – Atotonilcose realizó mediante un operativo coordinado entre elementos deProtección Civil de La Barca, Protección Civil Atotonilco y la Guardia Nacional, quienes trabajaron en conjunto para brindar primeros auxilios, realizar traslados y asegurar la zona delaccidente. Durante varios minutos, el choque múltiple carretera La Barca – Atotonilco obligó a implementar maniobras de control vehicular, ya que el flujo de automóviles se vio afectado por la presencia de ambulancias, unidades de rescate y patrullas federales. Autoridades exhortaron a los conductores a extremar precauciones y respetar las indicaciones mientras continuaban las labores. TAMBIÉN TE PUEDE INTERESAR:CAOS VIAL Y CIERRE TOTAL: CHOQUE MÚLTIPLE PARALIZA AUTOPISTA GUADALAJARA A COLIMA LaUnidad Estatal de Protección Civil y Bomberos de Jaliscoconfirmó que el choque múltiple carreteraLa Barca – Atotonilcosigue bajo revisión, mientras se recaban datos para determinar cómo ocurrió el percance y deslindar responsabilidades. En tanto, la vialidad fue liberada de forma gradual conforme concluyeron los trabajos de auxilio y retiro de vehículos involucrados.</t>
  </si>
  <si>
    <t>Trágico accidente vehicular cobra la vida de un hombre en la alcaldía Tlalpan</t>
  </si>
  <si>
    <t>2025-12-16 13:24:00</t>
  </si>
  <si>
    <t>Tlalpan</t>
  </si>
  <si>
    <t>https://www.tvazteca.com/aztecanoticias/mientras-dormia-accidente-vehicular-un-muerto-colonia-la-joya-alcaldia-tlalpan-cdmx</t>
  </si>
  <si>
    <t>Unaccidente vehicularcausó la muerte de un hombre que cayó de sumotocicletaal sur de laCiudad de México (CDMX)cerca de la medianoche de este martes16 de diciembre de 2025.La tragedia sucedió enViaducto Tlalpan,casi al cruce con la avenida de los Insurgentes, colonia la Joya, en la alcaldía Tlalpan. Los primeros reportes indican que el motociclista circulaba por la zona cuando perdió el control de la unidad y cayó sobre el asfalto, lo que le causó lesiones graves. Testigos solicitaron de inmediato el apoyo de los servicios de emergencia, quienes llegaron al sitio para brindarle atención, pero al revisarlo confirmaron que ya no contaba con signos vitales. Las autoridades informaron de manera preliminar que lavíctimano portaba el equipo de protección adecuado, como casco y demás aditamentos de seguridad. Elementos de laSecretaría de Seguridad Ciudadanaacordonaron la zona para facilitar las labores de los servicios periciales de la Fiscalía General de Justicia de laCiudad de México. La vialidad permaneció cerrada por varias horas, lo que generó afectaciones al tránsito, hasta que concluyeron los trabajos y se realizó el levantamiento del cuerpo. Las autoridades investigarán para determinar con precisión cómo ocurrieron los hechos y descartar o confirmar la posible participación de otrovehículoen el percance. Tras una riña, un hombre sufrió una agresión con arma blanca la noche de este lunes en la alcaldíaCuauhtémoc. Los hechos ocurrieron en el cruce delPaseo de la Reformay elEje Central Lázaro Cárdenas, en la colonia Guerrero. Una persona activó el botón de pánico instalado en la vía pública, para pedir el apoyo de los servicios de emergencia. Elementos de seguridad y personal médico acudieron al sitio para atender la situación y resguardar la zona. Paramédicos brindaron primeros auxilios a un hombre de 30 años de edad, con una herida provocada por un objeto punzocortante en uno de los brazos. Los paramédicos le limpiaron la lesión y le colocaron varias puntadas. Esta herida no ponía en riesgo su vida, por lo que no fue necesario su traslado a un hospital. El afectado permaneció en el lugar mientras rendía su declaración ante las autoridades correspondientes, quienes iniciaron el registro de los hechos. Mientras que el presunto agresor logró darse a la fuga antes de la llegada de los cuerpos de emergencia. Ante ello, las autoridades ya realizan labores de búsqueda para localizarlo. Cuatro adultos mayores recibieron atención de paramédicos después de que inhalaron humo por unincendioregistrado al interior del departamento número 2, ubicado en la calle Tres A, en la coloniaCuchilla Pantitlán, en la alcaldíaVenustiano Carranza. Las flamas consumieron el interior de la vivienda. Servicios de emergencia acudieron a la zona y paramédicos trataron a los cuatro afectados por síntomas de intoxicación de humo, por lo cual les suministraron oxígeno. Autoridades informaron que ninguno de los afectados presentó quemaduras ni lesiones de gravedad, por lo que no fue necesario su traslado a un hospital. Elementos del Heroico Cuerpo de Bomberos de la Ciudad de Méxicotrabajaron durante más de una hora para sofocar las llamas y realizar labores de enfriamiento en los cuartos afectados por el fuego, con el fin de evitar una posible reactivación. De manera preliminar informaron que elincendiopudo haberse originado por un corto circuito, pero las autoridades ya investigan las causas precisas del siniestro.</t>
  </si>
  <si>
    <t>Detrás de la tragedia del Interoceánico: Señalan contratos y "amiguismos" de Bobby López Beltrán</t>
  </si>
  <si>
    <t>https://www.tvazteca.com/aztecanoticias/tren-interoceanico-accidente-senalan-contratos-y-amiguismos-bobby-lopez-beltran-hijo-amlo/</t>
  </si>
  <si>
    <t>El descarrilamiento delTren Interoceánico, que cobró la vida de más de una decena de personas, ha dejado de ser visto solo como un accidente para convertirse en el epicentro de un escándalo político y empresarial. Detrás de esta tragedia hay señalamientos de contratos millonarios y “amiguismos” que implican aBobby López Beltrán, hijo del expresidenteAndrés ManuelLópez Obrador. Se trata de un tren manejado por el gobierno y supervisado por el propio hijo del exmandatario. Fue en 2022 cuando el entonces presidente López Obrador confirmó que el Tren Interoceánico sería operado directamente por el Estado. “El proyecto del Istmo va a ser manejado por la Secretaría de Marina, estamos hablando de cerca de mil 500 kilómetros de vías férreas...”, aseguró en aquel entonces. Dos años después, el propio López Obrador reveló que su hijo Gonzalo supervisaba lamegaobra: “Gonzalo ha ayudado como honorífico en el Interoceánico, pero no cobra y no va a trabajar en el gobierno”, declaró el 5 de julio de 2024. Pero lo que no dijo López Obrador es que su hijo Gonzalo, mejor conocido como“Bobby”, presuntamente dio el millonario negocio de las piedras —necesarias para la estabilidad del tren— a su amigoAmílcar Olán, quien según versiones periodísticas mantiene una asociación con su hermano Andy López. El negocio fue confirmado en una llamada filtrada de Amílcar Olán: “Bobby me dijo que nos van a dar un frente de unas minas allá por Oaxaca, que nosotros las explotemos porque yo soy el que va a meter todo el dinero... me preguntó ‘Oye Tigre, ¿tú tienes el triturador y todo?’ y ya le dije que obviamente sí". Ya con la mina, se dedicaron a generar elbalastopara esa obra emblemática del gobierno de López Obrador. En las grabaciones, Olán se jacta de su posición:“Como ya vieron que somos la fábrica más grande del país en trituración, ahí andan jodiéndonos”. Amílcar Olán presumió una y otra vez el apoyo de Bobby López y sugirió reuniones con el Capitán de Navío Alan Tarsicio Cruz, quien dirigióese ferrocarril. “Bobby es el que me metió en este desmadre… Sí, él te lo acomoda porque te lo acomoda. Se va a necesitar un verguero... Ahora sí que como fui ya con los meros meros, ya tú sabes quiénes, les dije ‘fíjate que traigo estos temas’, ya yo cumplí con lo que me pidieron”, se escucha en los audios. La labor de Bobby López y sus amigos en esta obra no se puede revisar, ya que las oficinas encargadasno tienen bitácorasde las reuniones y decisiones que tomó. Lo que sí está documentado, lamentablemente, es que el tren descarriló y mató a más de una decena de personas.</t>
  </si>
  <si>
    <t>"Iba muy fuerte", sobreviviente al descarrilamiento del Tren Interoceánico en Oaxaca</t>
  </si>
  <si>
    <t>https://www.tvazteca.com/aztecanoticias/testigo-narra-como-fue-el-descarrilamiento-del-tren-interoceanico-en-oaxaca/</t>
  </si>
  <si>
    <t>Uno de los 250 personas que viajaban en elTren Interoceánico que se descarriló en Nizanda, Oaxaca,contó cómo fue eldescarrilamientoen un video que ya circula en redes sociales. El accidente en laruta Salina Cruz–Coatzacoalcosque dejó al menos 13 muertos y 98 lesionadas causó la movilización de servicios de emergencia. En redes sociales circulan grabaciones de pasajeros en el interior de los vagones, algunos tirados, con menores en brazos, pidiendo ayuda después del descarrilamiento. “Ayúdenos, por favor”. Primeros reportes indican que eldescarrilamientocuando lalocomotoraprincipal se salió de las vías; las primeras imágenes del accidente muestran a los vagones volcados. Mientras varias personas tratan de ayudar a los heridos en tanto llegan servicios de emergencias. “Se descarriló este tren, íbamos a Coatzacolcos, nosotros venimos en otro vagón. Estamos tratando de sacar gente. Está muy triste. No sabemos si se quedó sin frenos, venía muy fuerte”, contó uno de los pasajeros que al parecer salió ileso delaccidente al estar lejos de la locomotora que se descarriló. Autoridades federales indicaron que de los 98 heridos, 36 fueron trasladados a hospitales localizados en los municipios de Matías Romero, Salina Cruz, Juchitán y Tuxtepec. Algunos de los heridos son reportados como graves. Mientras servicios de emergencias laboran en el lugar del descarrilamiento para poder retirar al vehículo volcado de las vías. Alrededor de las 7:00 horas, salió deSalinas Cruzel tren, cuya ruta va deSalina Cruz–Coatzacoalcos, pero fue en el tramo de Ciudad Ixtepec y Matías Romero, ubicadas en las comunidadNizanday deChivela, donde la locomotora se descarriló en una curva. Ya se indaga en las causas del accidente. Este es elsegundo incidente del Tren Interoceánico ocurrido en este mes:el 20 de diciembre, cuando un tráiler se impactó en el cruce ubicado en la comunidad de Cardona, en el municipio de Pichucalco. Ese día, viajaban 148 personas las cuales no resultaron heridas, según reportes de autoridades. El Tren Interoceánicofue inaugurado en diciembre de 2023, cuenta con 10 estaciones y conecta a varios municipios de los estados de Oaxaca, Chiapas, Veracruz y Tabasco.</t>
  </si>
  <si>
    <t>Isaac podría perder su pierna tras ser atropellado en CDMX; lleva un año esperando justicia</t>
  </si>
  <si>
    <t>https://www.tvazteca.com/aztecanoticias/doble-tragedia-isaac-atropellado-por-conductora-y-olvidado-por-su-abogado</t>
  </si>
  <si>
    <t>ParaIsaac Pérez, la búsqueda de justicia se ha convertido en un calvario tan doloroso como sus propias heridas. En enero pasado, mientras trabajaba en su mototaxi para llevar el sustento a sus dos hijos, su vida cambió en un segundo: un auto lo embistió, lo proyectó varios metros y lo dejó tirado en el asfalto. Hoy, a casi un año del accidente, Isaac no solo enfrenta el riesgo de perder su pierna, sino la impotencia de un sistema legal colapsado. El diagnóstico médico es devastador. La fuerza del impacto dejó secuelas que le impiden trabajar y que podrían ser permanentes. “Tengo ruptura de tibia y peroné, desprendimiento de plantilla y ruptura de ligamentos”, detalla Isaac. Pero el dolor físico se agravó con la indiferencia humana. La mujer que conducía el vehículo responsable no se detuvo.“No me auxiliaron, me dejaron ahí abandonado”, relata la víctima. Al no contar con recursos económicos para pagar un defensor privado, Isaac recurrió a unabogado de oficio. Sin embargo, esto lo llevó a un callejón sin salida. Su caso no avanza, no por falta de pruebas, sino por exceso de trabajo. Isaac asegura que su defensa es inexistente debido a la saturación del sistema: “Se dice que es el único del área y él es el único que anda de allá para acá", explica, justificando la falta de atención que ha recibido su expediente. La parálisis legal tiene consecuencias directas en la mesa de su hogar. Isaac es padre soltero y el único sustento de dos menores de edad. Sin poder trabajar y sin recibir la reparación del daño, la desesperación crece. “Mucha frustración, más que nada, pues miedo porque a mi familia no tengo cómo darles de comer... Lo que yo pido es la reparación del daño”, exige. El caso de Isaac no es único. Miles de víctimas en México se encuentran en “lista de espera” de justicia debido a la carga laboral de las defensorías públicas. Sin embargo, existen alternativas poco conocidas. Expertos señalan que los ciudadanos pueden acudir aBarras y Colegios de Abogados, organizaciones que a menudo ofrecen serviciospro bono(gratuitos) o asesoría legal social para evitar que casos como el de Isaac queden en la impunidad por falta de presupuesto.</t>
  </si>
  <si>
    <t>VIDEO: ¡Tragedia en CDMX! Capturan momento exacto de la explosión de gas en Lindavista; hay dos lesionados</t>
  </si>
  <si>
    <t>https://www.tvazteca.com/aztecanoticias/video-momento-exacto-explosion-gas-en-lindavista-que-dejo-dos-personas-heridas-gam-cdmx</t>
  </si>
  <si>
    <t>La tarde del pasado6 de diciembre de 2025, se reportó unafuerte explosión de gasen calles de la coloniaLindavista, en laalcaldía Gustavo A. Maderocerca de las 12 horas del día, dejando un saldo dedos personas heridas. Cámaras de seguridadlograroncapturar el momento exactodel flamazo y el estruendo que conmocionó a los habitantes de la zona; en elvideose pueden escuchar los gritos de algunas personas. Además de los daños provocados por laexplosión de gas en la GAM, se registrarondos personas con quemaduras; hasta el momento se desconoce elestado de saludde los afectados. Por otro lado, al menos 35 personas fueron evacuadas de sus hogares por los servicios de emergencia para evitar que otroflamazode esa magnitud pudiera generarse. Elementos de Protección Civil detalló el reporte de una explosión al interior del domicilio, se confirmó un incendio que se extendió rápidamente en el inmueble. Lasllamasy el humo fueron visibles desde algunas calles de la colonia, por lo que se activaron losprotocolos de evacuación de la zona. Los primeros reportes indican que elflamazose originó por la acumulación de gas debido a un mal manejo de una pipa, por lo que los daños en la propiedad y unidades vecinas, fueron evidentes. Por su parte, el portón fue derribado por la fuerza de la explosión. Los interiores, las paredes, muebles y demás enseres resultaron totalmente calcinados. La vivienda aledaña también resultó notablemente afectada. ¡Atención, capitalinos! En caso de percibir una fuga de gas dentro de una casa en la Ciudad de México (CDMX), las autoridades recomiendan mantener la calma y realizar el siguiente protocolo. De acuerdo con Protección Civil, si tienes alguna emergencia debes comunicarte al 911, o a la estación central de bomberos 57 68 37 00, ellos acudirán al lugar en el que se presente está situación.</t>
  </si>
  <si>
    <t>¿Cuánto vale una vida? Lenia Batres propone pagar indemnizaciones en UMAS y reducirlas un 60%</t>
  </si>
  <si>
    <t>https://www.tvazteca.com/aztecanoticias/lenia-batres-propone-indemnizaciones-en-umas-alertan-reduccion-del-60-en-pagos-a-victimas</t>
  </si>
  <si>
    <t>La pérdida de un ser querido es irreparable; ninguna suma de dinero devuelve la vida ni borra el dolor. Sin embargo, en casosde accidentesy negligencias médicas, una indemnización justa es vital para que las familias no enfrenten la ruina económica en sus momentos más vulnerables. Ahora, este derecho está en riesgo: laSuprema Corte de Justicia de la Nación (SCJN)discutirá un proyecto que pretende reducir drásticamente los montos a pagar. La ministraLenia Batres Guadarramatiene listo un proyecto para discutirse este jueves en el Pleno, el cual propone que la reparación del daño patrimonial y moral se calcule con base en laUnidad de Medida y Actualización (UMA)y no en Salarios Mínimos, como se hace actualmente para buscar el mayor beneficio. Expertos en derecho alertan que estodevalúa la vida de las víctimas de un plumazo, pues la diferencia económica es abismal: Haga cuentas:Mientras que 10 salarios mínimos equivalen a2 mil 789 pesos, 10 UMAs son apenasmil 130 pesos. Esto representa unareducción real del 60%en el dinero que recibirían los afectados. Especialistas señalan que, en el fondo, la ministra buscabeneficiar al gobierno y no al pueblo. Al cambiar el cálculo, se le ahorraría una fortuna a las autoridades cuando sean halladas responsables de indemnizar a ciudadanos. Esto aplicaría, por ejemplo, en casos denegligencias médicas en hospitales públicos, accidentes en obras del gobierno o servicios a su cargo. El Estado pagaría menos por sus errores, dejando desprotegidas a las víctimas. “La creación de la Unidad de Medida (UMA), que no ha ido creciendo paralelamente junto con el salario mínimo... lo que hace claramente es dejar en desventaja y hacer que los montos de las indemnizaciones sean menores...”, advirtióHéctor Pérez, abogado. Juristas comoRodrigo Maldonado Ríosseñalan que utilizar solo la UMA sería un grave retroceso en derechos adquiridos, violando el principio constitucional que obliga a aplicar siempre la norma demayor beneficio para el ciudadano. “Los afectados son la ciudadanía común. ¿En qué momento se van a devaluar los bienes tutelados? Porque una UMA no coincide proporcionalmente al monto real de un salario mínimo...”, cuestionó Maldonado. En lo que críticos llaman la“Corte del Acordeón”, el proyecto de Batres está listo para votarse, amenazando con abaratar el costo de la justicia y la reparación del daño para los mexicanos.</t>
  </si>
  <si>
    <t>Conductor arrolla a peleador "El Chakal" Navarro y lo deja al borde del retiro de la MMA</t>
  </si>
  <si>
    <t>https://www.tvazteca.com/aztecanoticias/atropellan-a-el-chakal-navarro-promesa-la-mma-en-chiapas</t>
  </si>
  <si>
    <t>Victor “El Chakal” Navarrodedicó diez años de su vida a construir una carrera sólida en las Artes Marciales Mixtas (MMA); sin embargo,una imprudencia al volanteocurrida enChiapasha puesto en pausa, y quizás finalizado, su sueño deportivo, dejándolo postrado en una cama y con un futuro incierto. El incidente ocurrió cuando “El Chakal”, quien además de deportista es padre de familia, salía de su turno como guardia de seguridad alrededor de las 4:00 de la mañana enTuxtla Gutiérrez. Fuerza Informativa Aztecapudo conocer que Víctor se encontraba a bordo de su motocicleta esperando la luz verde del semáforo en el cruce delBulevar Los Laguitos y la calle Ciro Farrera, en la capital deChiapas. Fue en ese momento estático cuando la tragedia lo golpeó. Un acelerado automovilista lo arrolló causándole graves heridas. Lejos de auxiliarlo, el responsable huyó del lugar, dejando al atleta gravemente herido sobre el asfalto. Las consecuencias físicas para un hombre que vive de su cuerpo han sido devastadoras.Alejandro Navarro, hermano de la víctima, detalló la gravedad de las lesiones: “Se le tuvo que hacer cirugía para sacar un sangrado interno que tenía, y el golpe de la espalda... pues prácticamente le impide la movilidad al cien por ciento”. El diagnóstico médico no es alentador. Debido a la severidad de las heridas, existe una alta probabilidad de que “El Chakal”no pueda volver a pelear profesionalmente, truncando una década de esfuerzo y disciplina. La familia ya presentó una denuncia formal ante laFiscalía del estado de Chiapas. Aunque las autoridades aseguran estar dando seguimiento al caso, los afectados denuncian que no hay avances reales y que se han topado con burocracia para acceder a pruebas clave. “No le han dado ningún seguimiento... piden las cámaras y no las dan, las piden y no las dan”, lamentóAlejandro Navarro. Más allá del dolor físico,Víctorenfrenta una dura batalla emocional y económica. Al ser el único sostén de su familia, el encierro y la inactividad lo han sumido en la tristeza. “Emocionalmente se encuentra mal, triste, la depresión... por lo mismo que está encerrado siendo una persona activa”, explicó su hermano. La familia de “El Chakal” hace un llamado urgente: esperan que el responsable tenga la humanidad de contactarlos para ayudar con los gastos médicos, o que la autoridad finalmente agilice la búsqueda para que este caso, que apagó una brillante trayectoria deportiva, no quede impune.</t>
  </si>
  <si>
    <t>diciembre</t>
  </si>
  <si>
    <t>lunes</t>
  </si>
  <si>
    <t>Tuxtla Gutiérrez, Chiapas, Mexico</t>
  </si>
  <si>
    <t>Cancún, Quintana Roo, Mexico</t>
  </si>
  <si>
    <t>Sinaloa, Sinaloa, Mexico</t>
  </si>
  <si>
    <t>Zapopan, Jalisco, Mexico</t>
  </si>
  <si>
    <t>Michoacán, Michoacán, Mexico</t>
  </si>
  <si>
    <t>Ciudad de México, Ciudad de México, Mexico</t>
  </si>
  <si>
    <t>Oaxaca, Oaxaca, Mexico</t>
  </si>
  <si>
    <t>Chihuahua, Chihuahua, Mexico</t>
  </si>
  <si>
    <t>Hidalgo, Hidalgo, Mexico</t>
  </si>
  <si>
    <t>Mérida, Yucatán, Mexico</t>
  </si>
  <si>
    <t>Culiacán, Sinaloa, Mexico</t>
  </si>
  <si>
    <t>Yucatán, Yucatán, Mexico</t>
  </si>
  <si>
    <t>Sonora, Sonora, Mexico</t>
  </si>
  <si>
    <t>Veracruz, Veracruz, Mexico</t>
  </si>
  <si>
    <t>Nuevo León, Nuevo León, Mexico</t>
  </si>
  <si>
    <t>León, Guanajuato, Mexico</t>
  </si>
  <si>
    <t/>
  </si>
  <si>
    <t>Ciudad Juárez, Chihuahua, Mexico</t>
  </si>
  <si>
    <t>domingo</t>
  </si>
  <si>
    <t>Acapulco de Juárez, Guerrero, Mexico</t>
  </si>
  <si>
    <t>Chiapas, Chiapas, Mexico</t>
  </si>
  <si>
    <t>Aguascalientes, Aguascalientes, Mexico</t>
  </si>
  <si>
    <t>Mazatlán, Sinaloa, Mexico</t>
  </si>
  <si>
    <t>Guerrero, Guerrero, Mexico</t>
  </si>
  <si>
    <t>sábado</t>
  </si>
  <si>
    <t>Tamaulipas, Tamaulipas, Mexico</t>
  </si>
  <si>
    <t>Morelia, Michoacán, Mexico</t>
  </si>
  <si>
    <t>Baja California Sur, Baja California Sur, Mexico</t>
  </si>
  <si>
    <t>Hermosillo, Sonora, Mexico</t>
  </si>
  <si>
    <t>viernes</t>
  </si>
  <si>
    <t>Coyoacán, Ciudad de México, Mexico</t>
  </si>
  <si>
    <t>jueves</t>
  </si>
  <si>
    <t>Estado de México, Estado de México, Mexico</t>
  </si>
  <si>
    <t>miércoles</t>
  </si>
  <si>
    <t>Torreón, Coahuila, Mexico</t>
  </si>
  <si>
    <t>Cuauhtémoc, Ciudad de México, Mexico</t>
  </si>
  <si>
    <t>noviembre</t>
  </si>
  <si>
    <t>Morelos, Morelos, Mexico</t>
  </si>
  <si>
    <t>Ecatepec, Estado de México, Mexico</t>
  </si>
  <si>
    <t>San Pedro Tlaquepaque, Jalisco, Mexico</t>
  </si>
  <si>
    <t>octubre</t>
  </si>
  <si>
    <t>Tijuana, Baja California, Mexico</t>
  </si>
  <si>
    <t>Matamoros, Tamaulipas, Mexico</t>
  </si>
  <si>
    <t>septiembre</t>
  </si>
  <si>
    <t>Tonalá, Jalisco, Mexico</t>
  </si>
  <si>
    <t>Nezahualcóyotl, Estado de México, Mexico</t>
  </si>
  <si>
    <t>Toluca, Estado de México, Mexico</t>
  </si>
  <si>
    <t>Azcapotzalco, Ciudad de México, Mexico</t>
  </si>
  <si>
    <t>martes</t>
  </si>
  <si>
    <t>Tlalnepantla de Baz, Estado de México, Mexico</t>
  </si>
  <si>
    <t>Álvaro Obregón, Ciudad de México, Mexico</t>
  </si>
  <si>
    <t>Gustavo A. Madero, Ciudad de México, Mexico</t>
  </si>
  <si>
    <t>Iztapalapa, Ciudad de México, Mexico</t>
  </si>
  <si>
    <t>Iztacalco, Ciudad de México, Mexico</t>
  </si>
  <si>
    <t>Miguel Hidalgo, Ciudad de México, Mexico</t>
  </si>
  <si>
    <t>Milpa Alta, Ciudad de México, Mexico</t>
  </si>
  <si>
    <t>Jalisco, Jalisco, Mexico</t>
  </si>
  <si>
    <t>Coahuila, Coahuila, Mexico</t>
  </si>
  <si>
    <t>Monterrey, Nuevo León, Mexico</t>
  </si>
  <si>
    <t>Puebla, Puebla, Mexico</t>
  </si>
  <si>
    <t>Guadalajara, Jalisco, Mexico</t>
  </si>
  <si>
    <t>Zacatecas, Zacatecas, Mexico</t>
  </si>
  <si>
    <t>Benito Juárez, Ciudad de México, Mexico</t>
  </si>
  <si>
    <t>Tlalpan, Ciudad de México, Mexico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</si>
</sst>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0.0000"/>
    <numFmt numFmtId="166" formatCode="#,##0.0"/>
  </numFmts>
  <fonts count="4">
    <font>
      <sz val="10.0"/>
      <color rgb="FF000000"/>
      <name val="Arial"/>
      <scheme val="minor"/>
    </font>
    <font>
      <b/>
      <color theme="1"/>
      <name val="Arial"/>
    </font>
    <font>
      <color theme="1"/>
      <name val="Arial"/>
    </font>
    <font>
      <u/>
      <color rgb="FF0000FF"/>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2" fontId="2" numFmtId="0" xfId="0" applyAlignment="1" applyFill="1" applyFont="1">
      <alignment horizontal="center" shrinkToFit="0" vertical="center" wrapText="1"/>
    </xf>
    <xf borderId="0" fillId="2" fontId="2" numFmtId="164" xfId="0" applyAlignment="1" applyFont="1" applyNumberFormat="1">
      <alignment horizontal="center" shrinkToFit="0" vertical="center" wrapText="1"/>
    </xf>
    <xf borderId="0" fillId="2" fontId="2" numFmtId="3" xfId="0" applyAlignment="1" applyFont="1" applyNumberFormat="1">
      <alignment horizontal="center" shrinkToFit="0" vertical="center" wrapText="1"/>
    </xf>
    <xf borderId="0" fillId="2" fontId="2" numFmtId="165" xfId="0" applyAlignment="1" applyFont="1" applyNumberFormat="1">
      <alignment horizontal="center" shrinkToFit="0" vertical="center" wrapText="1"/>
    </xf>
    <xf borderId="0" fillId="2" fontId="2" numFmtId="166" xfId="0" applyAlignment="1" applyFont="1" applyNumberFormat="1">
      <alignment horizontal="center" shrinkToFit="0" vertical="center" wrapText="1"/>
    </xf>
    <xf borderId="0" fillId="3" fontId="2" numFmtId="3" xfId="0" applyAlignment="1" applyFill="1" applyFont="1" applyNumberFormat="1">
      <alignment horizontal="center" shrinkToFit="0" vertical="center" wrapText="1"/>
    </xf>
    <xf borderId="0" fillId="3" fontId="2" numFmtId="0" xfId="0" applyAlignment="1" applyFont="1">
      <alignment horizontal="center" shrinkToFit="0" vertical="center" wrapText="1"/>
    </xf>
    <xf borderId="0" fillId="3" fontId="2"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wrapText="0"/>
    </xf>
    <xf borderId="0" fillId="0" fontId="2" numFmtId="164" xfId="0" applyFont="1" applyNumberFormat="1"/>
    <xf borderId="0" fillId="0" fontId="2" numFmtId="3" xfId="0" applyFont="1" applyNumberFormat="1"/>
    <xf borderId="0" fillId="0" fontId="2" numFmtId="165" xfId="0" applyFont="1" applyNumberFormat="1"/>
    <xf borderId="0" fillId="0" fontId="3" numFmtId="0" xfId="0" applyFont="1"/>
    <xf borderId="0" fillId="0" fontId="2" numFmtId="166"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eluniversal.com.mx/estados/reportan-tres-asesinatos-en-sinaloa-una-de-las-victimas-es-un-adolescente-de-15-anos/" TargetMode="External"/><Relationship Id="rId190" Type="http://schemas.openxmlformats.org/officeDocument/2006/relationships/hyperlink" Target="https://diarioportal.com/seguridad-y-justicia/magistrado-gilberto-batiz-asume-la-presidencia-del-tepjf" TargetMode="External"/><Relationship Id="rId42" Type="http://schemas.openxmlformats.org/officeDocument/2006/relationships/hyperlink" Target="https://www.eluniversal.com.mx/estados/intensifican-busqueda-de-adulta-mayor-desaparecida-en-yucatan-participaron-51-cuadrillas-de-rastreo/" TargetMode="External"/><Relationship Id="rId41" Type="http://schemas.openxmlformats.org/officeDocument/2006/relationships/hyperlink" Target="https://www.eluniversal.com.mx/estados/descarrilamiento-del-tren-interoceanico-en-oaxaca-deja-20-heridos-sigue-en-vivo-la-cobertura/" TargetMode="External"/><Relationship Id="rId44" Type="http://schemas.openxmlformats.org/officeDocument/2006/relationships/hyperlink" Target="https://www.eluniversal.com.mx/estados/hallan-sin-vida-a-joven-desaparecida-en-hidalgo-sospechan-atentado-en-su-contra/" TargetMode="External"/><Relationship Id="rId194" Type="http://schemas.openxmlformats.org/officeDocument/2006/relationships/hyperlink" Target="https://diarioportal.com/seguridad-y-justicia/exigen-cesar-a-alcaldesa-de-el-oro-por-robo-de-dinero-publico-y-abandono-de-funciones" TargetMode="External"/><Relationship Id="rId43" Type="http://schemas.openxmlformats.org/officeDocument/2006/relationships/hyperlink" Target="https://www.eluniversal.com.mx/estados/hallan-tres-camionetas-del-ejercito-clonadas-en-chiapas-presuntamente-pertenecen-al-cjng/" TargetMode="External"/><Relationship Id="rId193" Type="http://schemas.openxmlformats.org/officeDocument/2006/relationships/hyperlink" Target="https://diarioportal.com/seguridad-y-justicia/hallan-ileso-a-transportista-secuestrado-en-jilotepec-detienen-a-3-presuntos-plagiarios" TargetMode="External"/><Relationship Id="rId46" Type="http://schemas.openxmlformats.org/officeDocument/2006/relationships/hyperlink" Target="https://www.eluniversal.com.mx/estados/despliegan-megaoperativo-en-chiapas-tras-quema-de-bares-y-secuestro-de-ocho-personas-uno-fue-hallado-sin-vida/" TargetMode="External"/><Relationship Id="rId192" Type="http://schemas.openxmlformats.org/officeDocument/2006/relationships/hyperlink" Target="https://diarioportal.com/seguridad-y-justicia/accidente-en-la-mexicopiramides-deja-una-persona-sin-vida" TargetMode="External"/><Relationship Id="rId45" Type="http://schemas.openxmlformats.org/officeDocument/2006/relationships/hyperlink" Target="https://www.eluniversal.com.mx/estados/autoridades-confirman-15-heridos-tras-descarrilamiento-del-tren-interoceanico-en-oaxaca-victimas-son-trasladadas-a-hospitales-cercanos/" TargetMode="External"/><Relationship Id="rId191" Type="http://schemas.openxmlformats.org/officeDocument/2006/relationships/hyperlink" Target="https://diarioportal.com/seguridad-y-justicia/tlalnepantla-esta-libre-de-feminicidios-y-secuestros-bajan-19-delitos-de-alto-impacto" TargetMode="External"/><Relationship Id="rId48" Type="http://schemas.openxmlformats.org/officeDocument/2006/relationships/hyperlink" Target="https://www.eluniversal.com.mx/estados/enfrentamiento-armado-en-aguascalientes-deja-un-muerto-aic-repele-agresion-en-villa-montana/" TargetMode="External"/><Relationship Id="rId187" Type="http://schemas.openxmlformats.org/officeDocument/2006/relationships/hyperlink" Target="https://diarioportal.com/seguridad-y-justicia/el-hoy-detenido-habria-agredido-a-la-victima-en-un-establecimiento-comercial-bar-del-municipio-de-la-paz" TargetMode="External"/><Relationship Id="rId47" Type="http://schemas.openxmlformats.org/officeDocument/2006/relationships/hyperlink" Target="https://www.eluniversal.com.mx/estados/descarrila-tren-transistmico-de-pasajeros-en-oaxaca-se-desconoce-el-numero-de-personas-lesionadas/" TargetMode="External"/><Relationship Id="rId186" Type="http://schemas.openxmlformats.org/officeDocument/2006/relationships/hyperlink" Target="https://diarioportal.com/seguridad-y-justicia/lider-de-la-organizacion-conocida-como-los-jasso-fue-sentenciado-a-11-anos-de-prision-por-robo-de-vehiculo-con-violencia" TargetMode="External"/><Relationship Id="rId185" Type="http://schemas.openxmlformats.org/officeDocument/2006/relationships/hyperlink" Target="https://diarioportal.com/seguridad-y-justicia/prevalecen-labores-para-prevenir-agresiones-sexuales-con-operativo-violeta-en-el-edomex" TargetMode="External"/><Relationship Id="rId49" Type="http://schemas.openxmlformats.org/officeDocument/2006/relationships/hyperlink" Target="https://www.eluniversal.com.mx/estados/activan-alertas-por-personas-desaparecidas-en-mazatlan-buscan-a-dos-mujeres-y-dos-adolescentes/" TargetMode="External"/><Relationship Id="rId184" Type="http://schemas.openxmlformats.org/officeDocument/2006/relationships/hyperlink" Target="https://diarioportal.com/seguridad-y-justicia/policias-de-tlalnepantla-enfrentan-a-ladron-armado-que-robo-gasolinera-y-lo-capturan-en-plena-huida" TargetMode="External"/><Relationship Id="rId189" Type="http://schemas.openxmlformats.org/officeDocument/2006/relationships/hyperlink" Target="https://diarioportal.com/seguridad-y-justicia/afirman-que-conspiraron-iranies-para-ultimar-a-la-embajadora-de-israel-en-mexico-sre-y-la-sspc-desmienten-la-version" TargetMode="External"/><Relationship Id="rId188" Type="http://schemas.openxmlformats.org/officeDocument/2006/relationships/hyperlink" Target="https://diarioportal.com/seguridad-y-justicia/detiene-fiscalia-edomex-a-sujeto-investigado-por-presunto-fraude-en-la-venta-de-vehiculos-en-tlalnepantla" TargetMode="External"/><Relationship Id="rId31" Type="http://schemas.openxmlformats.org/officeDocument/2006/relationships/hyperlink" Target="https://www.eluniversal.com.mx/estados/rina-entre-aficionados-de-la-trinca-fresera-y-chivas-deja-cuatro-lesionados-dos-son-policias/" TargetMode="External"/><Relationship Id="rId30" Type="http://schemas.openxmlformats.org/officeDocument/2006/relationships/hyperlink" Target="https://www.eluniversal.com.mx/estados/video-tren-interoceanico-ayudennos-por-favor-pasajeros-graban-desde-el-vagon-momento-del-descarrilamiento/" TargetMode="External"/><Relationship Id="rId33" Type="http://schemas.openxmlformats.org/officeDocument/2006/relationships/hyperlink" Target="https://www.eluniversal.com.mx/estados/tren-interoceanico-se-descarrila-hay-13-muertos/" TargetMode="External"/><Relationship Id="rId183" Type="http://schemas.openxmlformats.org/officeDocument/2006/relationships/hyperlink" Target="https://diarioportal.com/seguridad-y-justicia/permanecen-a-la-baja-los-crimenes-en-zona-oriente-edomex-con-operacion-del-mando-unificado" TargetMode="External"/><Relationship Id="rId32" Type="http://schemas.openxmlformats.org/officeDocument/2006/relationships/hyperlink" Target="https://www.eluniversal.com.mx/estados/empresa-compro-seguro-para-el-tren-interoceanico-es-por-10-millones-de-pesos/" TargetMode="External"/><Relationship Id="rId182" Type="http://schemas.openxmlformats.org/officeDocument/2006/relationships/hyperlink" Target="https://diarioportal.com/seguridad-y-justicia/sancionaran-a-9-policias-de-toluca-por-agresion-del-2-de-octubre-a-periodistas" TargetMode="External"/><Relationship Id="rId35" Type="http://schemas.openxmlformats.org/officeDocument/2006/relationships/hyperlink" Target="https://www.eluniversal.com.mx/estados/descarrilamientos-y-choques-estos-son-los-incidentes-en-el-tren-maya-y-el-tren-interoceanico-entre-2024-y-2025/" TargetMode="External"/><Relationship Id="rId181" Type="http://schemas.openxmlformats.org/officeDocument/2006/relationships/hyperlink" Target="https://diarioportal.com/seguridad-y-justicia/gobierno-de-ecatepec-recupera-198-millones-de-litros-de-agua-que-era-hichicoleada" TargetMode="External"/><Relationship Id="rId34" Type="http://schemas.openxmlformats.org/officeDocument/2006/relationships/hyperlink" Target="https://www.eluniversal.com.mx/estados/el-crematorio-plenitud-un-duelo-que-no-termina-en-ciudad-juarez/" TargetMode="External"/><Relationship Id="rId180" Type="http://schemas.openxmlformats.org/officeDocument/2006/relationships/hyperlink" Target="https://diarioportal.com/seguridad-y-justicia/detienen-al-exdirector-del-trijaem-por-presunta-participacion-en-el-desvio-de-32-mdp" TargetMode="External"/><Relationship Id="rId37" Type="http://schemas.openxmlformats.org/officeDocument/2006/relationships/hyperlink" Target="https://www.eluniversal.com.mx/estados/el-tren-venia-muy-fuerte-no-sabemos-si-se-quedo-sin-frenos-pasajero-narra-momento-del-descarrilamiento-del-tren-interoceanico/" TargetMode="External"/><Relationship Id="rId176" Type="http://schemas.openxmlformats.org/officeDocument/2006/relationships/hyperlink" Target="https://diarioportal.com/seguridad-y-justicia/alcaldesa-de-capulhuac-detenida-por-violentar-a-trabajadora-puede-elegir-un-sustituto" TargetMode="External"/><Relationship Id="rId297" Type="http://schemas.openxmlformats.org/officeDocument/2006/relationships/hyperlink" Target="https://www.tvazteca.com/aztecanoticias/testigo-narra-como-fue-el-descarrilamiento-del-tren-interoceanico-en-oaxaca/" TargetMode="External"/><Relationship Id="rId36" Type="http://schemas.openxmlformats.org/officeDocument/2006/relationships/hyperlink" Target="https://www.eluniversal.com.mx/estados/encuentran-sin-vida-a-nataly-montserrat-en-area-verde-de-cancun-llevaba-cuatro-dias-desaparecida/" TargetMode="External"/><Relationship Id="rId175" Type="http://schemas.openxmlformats.org/officeDocument/2006/relationships/hyperlink" Target="https://diarioportal.com/seguridad-y-justicia/baja-31-el-promedio-diario-de-homicidios-del-edomex-en-10-meses" TargetMode="External"/><Relationship Id="rId296" Type="http://schemas.openxmlformats.org/officeDocument/2006/relationships/hyperlink" Target="https://www.tvazteca.com/aztecanoticias/tren-interoceanico-accidente-senalan-contratos-y-amiguismos-bobby-lopez-beltran-hijo-amlo/" TargetMode="External"/><Relationship Id="rId39" Type="http://schemas.openxmlformats.org/officeDocument/2006/relationships/hyperlink" Target="https://www.eluniversal.com.mx/estados/donde-descarrilo-el-tren-interoceanico-mapa-muestra-ruta-y-zona-donde-ocurrio-la-tragedia/" TargetMode="External"/><Relationship Id="rId174" Type="http://schemas.openxmlformats.org/officeDocument/2006/relationships/hyperlink" Target="https://diarioportal.com/seguridad-y-justicia/despliegan-900-elementos-policiales-para-resguardar-la-seguridad-durante-buen-fin-en-toluca" TargetMode="External"/><Relationship Id="rId295" Type="http://schemas.openxmlformats.org/officeDocument/2006/relationships/hyperlink" Target="https://www.tvazteca.com/aztecanoticias/mientras-dormia-accidente-vehicular-un-muerto-colonia-la-joya-alcaldia-tlalpan-cdmx" TargetMode="External"/><Relationship Id="rId38" Type="http://schemas.openxmlformats.org/officeDocument/2006/relationships/hyperlink" Target="https://www.eluniversal.com.mx/estados/identifican-cadaveres-de-estudiantes-desaparecidos-en-acapulco-restos-tenian-senas-de-tortura/" TargetMode="External"/><Relationship Id="rId173" Type="http://schemas.openxmlformats.org/officeDocument/2006/relationships/hyperlink" Target="https://diarioportal.com/seguridad-y-justicia/concentran-4-municipios-mayoria-de-reportes-por-intento-de-ciberdelitos-en-edomex" TargetMode="External"/><Relationship Id="rId294" Type="http://schemas.openxmlformats.org/officeDocument/2006/relationships/hyperlink" Target="https://www.tvazteca.com/aztecanoticias/choque-multiple-jalisco-hoy-carambola-heridos-caos-vial-carretera-federal-la-barca-totonilco" TargetMode="External"/><Relationship Id="rId179" Type="http://schemas.openxmlformats.org/officeDocument/2006/relationships/hyperlink" Target="https://diarioportal.com/seguridad-y-justicia/se-registran-42-menos-homicidios-diarios-en-el-edomex" TargetMode="External"/><Relationship Id="rId178" Type="http://schemas.openxmlformats.org/officeDocument/2006/relationships/hyperlink" Target="https://diarioportal.com/seguridad-y-justicia/azucena-da-banderazo-a-operativo-de-seguridad-en-ecatepec-por-bien-fin" TargetMode="External"/><Relationship Id="rId299" Type="http://schemas.openxmlformats.org/officeDocument/2006/relationships/hyperlink" Target="https://www.tvazteca.com/aztecanoticias/video-momento-exacto-explosion-gas-en-lindavista-que-dejo-dos-personas-heridas-gam-cdmx" TargetMode="External"/><Relationship Id="rId177" Type="http://schemas.openxmlformats.org/officeDocument/2006/relationships/hyperlink" Target="https://diarioportal.com/seguridad-y-justicia/piden-retrasar-entrada-en-escuelas-ante-frio-intenso" TargetMode="External"/><Relationship Id="rId298" Type="http://schemas.openxmlformats.org/officeDocument/2006/relationships/hyperlink" Target="https://www.tvazteca.com/aztecanoticias/doble-tragedia-isaac-atropellado-por-conductora-y-olvidado-por-su-abogado" TargetMode="External"/><Relationship Id="rId20" Type="http://schemas.openxmlformats.org/officeDocument/2006/relationships/hyperlink" Target="https://www.eluniversal.com.mx/estados/tribunal-electoral-revisara-35-impugnaciones-en-veracruz-podrian-cambiar-resultados-municipales/" TargetMode="External"/><Relationship Id="rId22" Type="http://schemas.openxmlformats.org/officeDocument/2006/relationships/hyperlink" Target="https://www.eluniversal.com.mx/estados/elemento-de-la-aei-de-oaxaca-manipula-su-arma-en-presunto-estado-de-ebriedad-lo-separan-de-su-cargo/" TargetMode="External"/><Relationship Id="rId21" Type="http://schemas.openxmlformats.org/officeDocument/2006/relationships/hyperlink" Target="https://www.eluniversal.com.mx/estados/mueren-dos-trabajadores-al-quedar-prensados-por-maquinaria-investigan-accidente-laboral-en-nuevo-leon/" TargetMode="External"/><Relationship Id="rId24" Type="http://schemas.openxmlformats.org/officeDocument/2006/relationships/hyperlink" Target="https://www.eluniversal.com.mx/estados/hallan-sin-vida-a-menor-reportada-como-desaparecida-tras-descarrilamiento-del-tren-interoceanico-continua-recuento-de-victimas/" TargetMode="External"/><Relationship Id="rId23" Type="http://schemas.openxmlformats.org/officeDocument/2006/relationships/hyperlink" Target="https://www.eluniversal.com.mx/estados/aumentan-quejas-en-hospitales-del-issste-en-veracruz-denuncian-negligencias-y-carencias-de-insumos/" TargetMode="External"/><Relationship Id="rId26" Type="http://schemas.openxmlformats.org/officeDocument/2006/relationships/hyperlink" Target="https://www.eluniversal.com.mx/estados/el-31-de-diciembre-rendiran-protesta-212-ayuntamientos-en-veracruz-entraran-en-funciones-el-1-de-enero/" TargetMode="External"/><Relationship Id="rId25" Type="http://schemas.openxmlformats.org/officeDocument/2006/relationships/hyperlink" Target="https://www.eluniversal.com.mx/estados/muere-periodista-oaxaqueno-en-descarrilamiento-del-tren-interoceanico-gremio-lamenta-su-fallecimiento/" TargetMode="External"/><Relationship Id="rId28" Type="http://schemas.openxmlformats.org/officeDocument/2006/relationships/hyperlink" Target="https://www.eluniversal.com.mx/estados/detienen-a-presunto-feminicida-en-culiacan-crimen-ocurrio-en-nochebuena/" TargetMode="External"/><Relationship Id="rId27" Type="http://schemas.openxmlformats.org/officeDocument/2006/relationships/hyperlink" Target="https://www.eluniversal.com.mx/estados/controlan-incendio-en-basurero-clandestino-de-culiacan-bomberos-logran-extincion-total/" TargetMode="External"/><Relationship Id="rId29" Type="http://schemas.openxmlformats.org/officeDocument/2006/relationships/hyperlink" Target="https://www.eluniversal.com.mx/estados/aseguran-arsenal-y-explosivos-en-dos-fraccionamientos-de-culiacan-tres-detenidos-tras-operativos-especiales/" TargetMode="External"/><Relationship Id="rId11" Type="http://schemas.openxmlformats.org/officeDocument/2006/relationships/hyperlink" Target="https://www.eluniversal.com.mx/estados/autoridades-de-sinaloa-piden-denunciar-disparos-al-aire-en-ano-nuevo-piden-sumarse-a-la-campana-celebra-sin-disparar/" TargetMode="External"/><Relationship Id="rId10" Type="http://schemas.openxmlformats.org/officeDocument/2006/relationships/hyperlink" Target="https://www.eluniversal.com.mx/estados/identifican-al-conductor-de-lamborghini-muerto-tras-tiroteo-en-zapopan-era-comerciante-del-mercado-de-abastos-de-guadalajara/" TargetMode="External"/><Relationship Id="rId13" Type="http://schemas.openxmlformats.org/officeDocument/2006/relationships/hyperlink" Target="https://www.eluniversal.com.mx/estados/arrancones-en-la-carretera-merida-progreso-provocan-accidente-hay-un-motociclista-con-heridas-graves/" TargetMode="External"/><Relationship Id="rId12" Type="http://schemas.openxmlformats.org/officeDocument/2006/relationships/hyperlink" Target="https://www.eluniversal.com.mx/estados/explotan-dos-camionetas-en-san-agustin-tlaxiaca-hidalgo-eran-presuntamente-usadas-para-el-robo-de-combustible/" TargetMode="External"/><Relationship Id="rId15" Type="http://schemas.openxmlformats.org/officeDocument/2006/relationships/hyperlink" Target="https://www.eluniversal.com.mx/estados/desmantelan-tienda-de-sustancias-ilicitas-en-maxcanu-yucatan-reportan-diversos-detenidos/" TargetMode="External"/><Relationship Id="rId198" Type="http://schemas.openxmlformats.org/officeDocument/2006/relationships/hyperlink" Target="https://diarioportal.com/seguridad-y-justicia/urge-reforzar-estrategia-para-erradicar-embarazos-adolescentes-jennifer-glez" TargetMode="External"/><Relationship Id="rId14" Type="http://schemas.openxmlformats.org/officeDocument/2006/relationships/hyperlink" Target="https://www.eluniversal.com.mx/estados/ataques-armados-en-culiacan-dejan-dos-muertos-hay-cinco-heridos-entre-ellos-una-mujer-y-su-hijo/" TargetMode="External"/><Relationship Id="rId197" Type="http://schemas.openxmlformats.org/officeDocument/2006/relationships/hyperlink" Target="https://diarioportal.com/seguridad-y-justicia/homicidios-bajaron-31-en-edomex-no-bajara-la-guardia-gem-ante-crimen-horacio-duarte" TargetMode="External"/><Relationship Id="rId17" Type="http://schemas.openxmlformats.org/officeDocument/2006/relationships/hyperlink" Target="https://www.eluniversal.com.mx/estados/fallecen-tres-veracruzanos-en-accidente-del-tren-interoceanico-confirman-victimas-de-minatitlan/" TargetMode="External"/><Relationship Id="rId196" Type="http://schemas.openxmlformats.org/officeDocument/2006/relationships/hyperlink" Target="https://diarioportal.com/seguridad-y-justicia/otorga-azucena-incentivos-economicos-a-policias-de-ecatepec-y-anuncia-que-tendran-mejores-condiciones-laborales-antes-de-acabar-2025" TargetMode="External"/><Relationship Id="rId16" Type="http://schemas.openxmlformats.org/officeDocument/2006/relationships/hyperlink" Target="https://www.eluniversal.com.mx/estados/se-descarrila-vagon-de-tren-ferromex-en-sonora-reportan-perdidas-materiales/" TargetMode="External"/><Relationship Id="rId195" Type="http://schemas.openxmlformats.org/officeDocument/2006/relationships/hyperlink" Target="https://diarioportal.com/seguridad-y-justicia/vinculan-a-jacobo-n-a-proceso-por-intento-de-secuestro-y-robo-de-transporte-de-carga-en-tecamac" TargetMode="External"/><Relationship Id="rId19" Type="http://schemas.openxmlformats.org/officeDocument/2006/relationships/hyperlink" Target="https://www.eluniversal.com.mx/estados/ellos-son-los-fallecidos-en-el-descarrilamiento-del-tren-interoceanico-de-oaxaca/" TargetMode="External"/><Relationship Id="rId18" Type="http://schemas.openxmlformats.org/officeDocument/2006/relationships/hyperlink" Target="https://www.eluniversal.com.mx/estados/tiroteo-en-zapopan-deja-dos-muertos-ataque-armado-duro-mas-de-10-minutos/" TargetMode="External"/><Relationship Id="rId199" Type="http://schemas.openxmlformats.org/officeDocument/2006/relationships/hyperlink" Target="https://diarioportal.com/seguridad-y-justicia/concaem-condena-asesinato-de-alcalde-de-uruapan-carlos-manzo" TargetMode="External"/><Relationship Id="rId84" Type="http://schemas.openxmlformats.org/officeDocument/2006/relationships/hyperlink" Target="https://diarioportal.com/seguridad-y-justicia/ecatepec-muestra-signos-de-estabilizacion-estrategia-de-seguridad-del-gobierno-del-edomex-baja-25-los-delitos-de-alto-impacto" TargetMode="External"/><Relationship Id="rId83" Type="http://schemas.openxmlformats.org/officeDocument/2006/relationships/hyperlink" Target="https://www.milenio.com/policia/tonala-jalisco-hombre-asesinado-disparo-cabeza" TargetMode="External"/><Relationship Id="rId86" Type="http://schemas.openxmlformats.org/officeDocument/2006/relationships/hyperlink" Target="https://diarioportal.com/seguridad-y-justicia/sentencian-a-55-anos-de-prision-a-culpable-del-delito-de-homicidio-en-agravio-de-un-masculino-en-el-municipio-de-nezahualcoyotl" TargetMode="External"/><Relationship Id="rId85" Type="http://schemas.openxmlformats.org/officeDocument/2006/relationships/hyperlink" Target="https://diarioportal.com/seguridad-y-justicia/aplica-gobierno-de-ecatepec-cerca-de-tres-mil-pruebas-de-alcoholimetro" TargetMode="External"/><Relationship Id="rId88" Type="http://schemas.openxmlformats.org/officeDocument/2006/relationships/hyperlink" Target="https://diarioportal.com/seguridad-y-justicia/denuncias-ciudadanas-frenan-78-de-extorsiones-en-edomex" TargetMode="External"/><Relationship Id="rId150" Type="http://schemas.openxmlformats.org/officeDocument/2006/relationships/hyperlink" Target="https://diarioportal.com/seguridad-y-justicia/detienen-a-cuatro-sujetos-integrantes-de-una-banda-delictiva-en-nezahualcoyotl" TargetMode="External"/><Relationship Id="rId271" Type="http://schemas.openxmlformats.org/officeDocument/2006/relationships/hyperlink" Target="https://www.tvazteca.com/aztecanoticias/accidente-zmg-hoy-fuerte-choque-patrulla-camioneta-golpes-caos-vial-emergencia/" TargetMode="External"/><Relationship Id="rId87" Type="http://schemas.openxmlformats.org/officeDocument/2006/relationships/hyperlink" Target="https://diarioportal.com/seguridad-y-justicia/cumplimenta-fiscalia-edomex-orden-de-aprehension-a-sujeto-acusado-del-delito-de-violacion-cometido-contra-una-menor" TargetMode="External"/><Relationship Id="rId270" Type="http://schemas.openxmlformats.org/officeDocument/2006/relationships/hyperlink" Target="https://www.tvazteca.com/aztecanoticias/filtran-video-fatal-accidente-zmg-jalisco-revelan-clip-atropellamiento-mortal-tonala/" TargetMode="External"/><Relationship Id="rId89" Type="http://schemas.openxmlformats.org/officeDocument/2006/relationships/hyperlink" Target="https://diarioportal.com/seguridad-y-justicia/suspende-gobierno-del-estado-de-mexico-contingencia-ambiental-atmosferica-fase-i" TargetMode="External"/><Relationship Id="rId80" Type="http://schemas.openxmlformats.org/officeDocument/2006/relationships/hyperlink" Target="https://www.milenio.com/policia/encuentran-mas-de-cinco-kilos-de-marihuana-en-matamoros" TargetMode="External"/><Relationship Id="rId82" Type="http://schemas.openxmlformats.org/officeDocument/2006/relationships/hyperlink" Target="https://www.milenio.com/policia/asesinan-a-jefe-de-la-ssc-en-chalco-robo-de-motocicleta" TargetMode="External"/><Relationship Id="rId81" Type="http://schemas.openxmlformats.org/officeDocument/2006/relationships/hyperlink" Target="https://www.milenio.com/policia/cuanto-dinero-gana-policia-cdmx-salario-ssc" TargetMode="External"/><Relationship Id="rId1" Type="http://schemas.openxmlformats.org/officeDocument/2006/relationships/comments" Target="../comments1.xml"/><Relationship Id="rId2" Type="http://schemas.openxmlformats.org/officeDocument/2006/relationships/hyperlink" Target="https://www.eluniversal.com.mx/estados/hallan-cuerpos-de-seis-personas-levantadas-en-bares-de-villaflores-chiapas-operativo-deja-cuatro-detenidos/" TargetMode="External"/><Relationship Id="rId3" Type="http://schemas.openxmlformats.org/officeDocument/2006/relationships/hyperlink" Target="https://www.eluniversal.com.mx/estados/investigan-a-juez-de-control-por-presunta-agresion-a-su-pareja-en-cancun-solicitan-su-separacion-temporal-del-cargo/" TargetMode="External"/><Relationship Id="rId149" Type="http://schemas.openxmlformats.org/officeDocument/2006/relationships/hyperlink" Target="https://diarioportal.com/seguridad-y-justicia/integra-gem-a-personas-sordas-en-equipo-de-seguridad" TargetMode="External"/><Relationship Id="rId4" Type="http://schemas.openxmlformats.org/officeDocument/2006/relationships/hyperlink" Target="https://www.eluniversal.com.mx/estados/accidente-del-tren-interoceanico-deja-a-dona-jovita-sin-dos-hijas-y-un-yerno-querian-ir-a-conocer-y-pasear-menciona/" TargetMode="External"/><Relationship Id="rId148" Type="http://schemas.openxmlformats.org/officeDocument/2006/relationships/hyperlink" Target="https://diarioportal.com/seguridad-y-justicia/frustran-90-de-extorsiones-en-edomex-impiden-pagos-por-10-mdp-a-criminales" TargetMode="External"/><Relationship Id="rId269" Type="http://schemas.openxmlformats.org/officeDocument/2006/relationships/hyperlink" Target="https://www.tvazteca.com/aztecanoticias/choque-cdmx-hoy-volcadura-emergencia-navidad-auto-jovenes-sale-disparado-oceania/" TargetMode="External"/><Relationship Id="rId9" Type="http://schemas.openxmlformats.org/officeDocument/2006/relationships/hyperlink" Target="https://www.eluniversal.com.mx/estados/familia-misionera-de-chihuahua-entre-los-heridos-por-descarrilamiento-del-tren-interoceanico-el-hijo-continua-hospitalizado/" TargetMode="External"/><Relationship Id="rId143" Type="http://schemas.openxmlformats.org/officeDocument/2006/relationships/hyperlink" Target="https://diarioportal.com/seguridad-y-justicia/bajan-en-30-crimenes-de-alto-impacto-tras-limpia-en-la-policia-de-tlalnepantla" TargetMode="External"/><Relationship Id="rId264" Type="http://schemas.openxmlformats.org/officeDocument/2006/relationships/hyperlink" Target="https://www.tvazteca.com/aztecanoticias/muertos-y-heridos-dos-autobuses-chocan-frente-la-carretera-tlapa-puebla/" TargetMode="External"/><Relationship Id="rId142" Type="http://schemas.openxmlformats.org/officeDocument/2006/relationships/hyperlink" Target="https://diarioportal.com/seguridad-y-justicia/2025-el-ano-con-menor-indice-de-homicidios-desde-2017-en-edomex" TargetMode="External"/><Relationship Id="rId263" Type="http://schemas.openxmlformats.org/officeDocument/2006/relationships/hyperlink" Target="https://www.tvazteca.com/aztecanoticias/muere-alcalde-de-tepeapulco-hidalgo-alfredo-gonzalez-accidente-carretero/" TargetMode="External"/><Relationship Id="rId141" Type="http://schemas.openxmlformats.org/officeDocument/2006/relationships/hyperlink" Target="https://diarioportal.com/seguridad-y-justicia/vinculados-a-proceso-penal-por-robo-de-agua-funcionarios-y-supuestos-lideres-de-sindicatos" TargetMode="External"/><Relationship Id="rId262" Type="http://schemas.openxmlformats.org/officeDocument/2006/relationships/hyperlink" Target="https://www.tvazteca.com/aztecanoticias/tragedia-en-la-carretera-victoria-zaragoza-choque-autobus-trailer-deja-al-menos-2-muertos/" TargetMode="External"/><Relationship Id="rId140" Type="http://schemas.openxmlformats.org/officeDocument/2006/relationships/hyperlink" Target="https://diarioportal.com/seguridad-y-justicia/asegura-la-gn-2-camionetas-con-combustible-robado-arresta-a-un-presunto-huachicolero-en-tepetlaoxtoc" TargetMode="External"/><Relationship Id="rId261" Type="http://schemas.openxmlformats.org/officeDocument/2006/relationships/hyperlink" Target="https://www.tvazteca.com/aztecanoticias/hombre-confunde-envase-y-pierde-la-vida-al-beber-sustancia-toxica-en-coahuila/" TargetMode="External"/><Relationship Id="rId5" Type="http://schemas.openxmlformats.org/officeDocument/2006/relationships/hyperlink" Target="https://www.eluniversal.com.mx/estados/asi-quedo-el-lamborghini-tras-el-tiroteo-en-zapopan-peritos-recogen-decenas-de-casquillos/" TargetMode="External"/><Relationship Id="rId147" Type="http://schemas.openxmlformats.org/officeDocument/2006/relationships/hyperlink" Target="https://diarioportal.com/seguridad-y-justicia/obtiene-fiscalia-edomex-vinculacion-a-proceso-en-contra-de-guillermo-n-objetivo-prioritario-de-la-operacion-caudal" TargetMode="External"/><Relationship Id="rId268" Type="http://schemas.openxmlformats.org/officeDocument/2006/relationships/hyperlink" Target="https://www.tvazteca.com/aztecanoticias/choque-san-antonio-abad-hoy-muere-chofer-taxi-cdmx-y-rescatan-perro-accidente/" TargetMode="External"/><Relationship Id="rId6" Type="http://schemas.openxmlformats.org/officeDocument/2006/relationships/hyperlink" Target="https://www.eluniversal.com.mx/estados/grecia-quiroz-confirma-detencion-de-otro-implicado-en-asesinato-de-carlos-manzo-participo-en-grupo-de-whatsapp-donde-se-coordino-el-ataque/" TargetMode="External"/><Relationship Id="rId146" Type="http://schemas.openxmlformats.org/officeDocument/2006/relationships/hyperlink" Target="https://diarioportal.com/seguridad-y-justicia/por-desaparicion-forzada-de-personas-y-homicidio-de-un-ciudadano-de-origen-chino-fiscalia-edomex-obtiene-vinculacion-a-proceso-contra-un-sujeto" TargetMode="External"/><Relationship Id="rId267" Type="http://schemas.openxmlformats.org/officeDocument/2006/relationships/hyperlink" Target="https://www.tvazteca.com/aztecanoticias/explosion-polvorin-ozumba-edomex-dos-heridos-estallido-taller-pirotecnia-24-diciembre/" TargetMode="External"/><Relationship Id="rId7" Type="http://schemas.openxmlformats.org/officeDocument/2006/relationships/hyperlink" Target="https://www.eluniversal.com.mx/estados/muere-juan-pedro-franco-el-hombre-mas-obeso-del-mundo-infeccion-renal-complico-su-salud/" TargetMode="External"/><Relationship Id="rId145" Type="http://schemas.openxmlformats.org/officeDocument/2006/relationships/hyperlink" Target="https://diarioportal.com/seguridad-y-justicia/abren-linea-de-asesoria-telefonica-a-conductores-infraccionados-por-faltas-al-reglamento-de-transito" TargetMode="External"/><Relationship Id="rId266" Type="http://schemas.openxmlformats.org/officeDocument/2006/relationships/hyperlink" Target="https://www.tvazteca.com/aztecanoticias/dos-muertos-deja-explosion-pirotecnia-en-jalapa-del-marquesado-oaxaca/" TargetMode="External"/><Relationship Id="rId8" Type="http://schemas.openxmlformats.org/officeDocument/2006/relationships/hyperlink" Target="https://www.eluniversal.com.mx/estados/inicia-entrega-de-cuerpos-tras-accidente-del-tren-interoceanico-menor-de-nueve-anos-ya-fue-devuelta-a-su-familia/" TargetMode="External"/><Relationship Id="rId144" Type="http://schemas.openxmlformats.org/officeDocument/2006/relationships/hyperlink" Target="https://diarioportal.com/seguridad-y-justicia/ya-son-725-los-predios-restituidos-a-legitimos-propietarios-en-edomex-tras-despojo" TargetMode="External"/><Relationship Id="rId265" Type="http://schemas.openxmlformats.org/officeDocument/2006/relationships/hyperlink" Target="https://www.tvazteca.com/aztecanoticias/explosion-en-iztapalapa-por-que-la-familia-abril-n-madre-fallecida-no-ha-recibido/" TargetMode="External"/><Relationship Id="rId73" Type="http://schemas.openxmlformats.org/officeDocument/2006/relationships/hyperlink" Target="https://www.milenio.com/estados/detienen-a-policia-implicado-en-desaparicion-de-nina-noelia-en-oaxaca" TargetMode="External"/><Relationship Id="rId72" Type="http://schemas.openxmlformats.org/officeDocument/2006/relationships/hyperlink" Target="https://www.milenio.com/policia/comerciantes-navidenos-recomendaciones-para-vender-seguro" TargetMode="External"/><Relationship Id="rId75" Type="http://schemas.openxmlformats.org/officeDocument/2006/relationships/hyperlink" Target="https://www.milenio.com/policia/apunalan-a-policia-durante-asalto-afuera-estacion-ecatepec-del-metro" TargetMode="External"/><Relationship Id="rId74" Type="http://schemas.openxmlformats.org/officeDocument/2006/relationships/hyperlink" Target="https://www.milenio.com/estados/titular-policia-tlaquiltenango-sufre-atentado-armado" TargetMode="External"/><Relationship Id="rId77" Type="http://schemas.openxmlformats.org/officeDocument/2006/relationships/hyperlink" Target="https://www.milenio.com/estados/motociclista-resulta-lesionado-chocar-camion-torreon" TargetMode="External"/><Relationship Id="rId260" Type="http://schemas.openxmlformats.org/officeDocument/2006/relationships/hyperlink" Target="https://www.tvazteca.com/aztecanoticias/accidente-en-el-tren-interoceanico-hoy-28-diciembre-que-paso-y-que-se-sabe/" TargetMode="External"/><Relationship Id="rId76" Type="http://schemas.openxmlformats.org/officeDocument/2006/relationships/hyperlink" Target="https://www.milenio.com/policia/tlaquepaque-detienen-hombres-posesion-cartuchos-armas" TargetMode="External"/><Relationship Id="rId79" Type="http://schemas.openxmlformats.org/officeDocument/2006/relationships/hyperlink" Target="https://www.milenio.com/policia/suspenden-en-tijuana-a-14-policias-por-presunto-robo-de-droga" TargetMode="External"/><Relationship Id="rId78" Type="http://schemas.openxmlformats.org/officeDocument/2006/relationships/hyperlink" Target="https://www.milenio.com/estados/llegan-elementos-de-la-sspc-a-uruapan-para-reforzar-seguridad" TargetMode="External"/><Relationship Id="rId71" Type="http://schemas.openxmlformats.org/officeDocument/2006/relationships/hyperlink" Target="https://www.milenio.com/policia/golpean-y-desarman-a-policias-en-la-colonia-maza-cdmx" TargetMode="External"/><Relationship Id="rId70" Type="http://schemas.openxmlformats.org/officeDocument/2006/relationships/hyperlink" Target="https://www.milenio.com/estados/policias-de-torreon-salvan-a-perrito-tras-sufrir-amputacion-parcial" TargetMode="External"/><Relationship Id="rId139" Type="http://schemas.openxmlformats.org/officeDocument/2006/relationships/hyperlink" Target="https://diarioportal.com/seguridad-y-justicia/detienen-a-sujeto-por-presunto-huachicoleo-en-tepetlaoxtoc" TargetMode="External"/><Relationship Id="rId138" Type="http://schemas.openxmlformats.org/officeDocument/2006/relationships/hyperlink" Target="https://diarioportal.com/seguridad-y-justicia/joel-gonzalez-sera-encargado-de-despacho-en-la-junta-de-caminos-tras-renuncia-de-ariel-juarez" TargetMode="External"/><Relationship Id="rId259" Type="http://schemas.openxmlformats.org/officeDocument/2006/relationships/hyperlink" Target="https://www.tvazteca.com/aztecanoticias/mananera-sheinbaum-29-diciembre-que-dijo-el-descarrilamiento-del-tren-interoceanico/" TargetMode="External"/><Relationship Id="rId137" Type="http://schemas.openxmlformats.org/officeDocument/2006/relationships/hyperlink" Target="https://diarioportal.com/seguridad-y-justicia/presunto-responsable-de-secuestro-expres-con-fines-de-robo-en-la-carretera-mexicoqueretaro-es-vinculado-a-proceso" TargetMode="External"/><Relationship Id="rId258" Type="http://schemas.openxmlformats.org/officeDocument/2006/relationships/hyperlink" Target="https://www.tvazteca.com/aztecanoticias/vagon-fantasma-en-nogales-sonora-recorre-la-ciudad-sin-control-y-choca-muro-contencion/" TargetMode="External"/><Relationship Id="rId132" Type="http://schemas.openxmlformats.org/officeDocument/2006/relationships/hyperlink" Target="https://diarioportal.com/seguridad-y-justicia/llaga-al-50-habilitacion-de-vialidades-seguras-para-mujeres-en-3-municipios-con-alerta-de-genero" TargetMode="External"/><Relationship Id="rId253" Type="http://schemas.openxmlformats.org/officeDocument/2006/relationships/hyperlink" Target="https://www.jornada.com.mx/noticia/2025/12/23/capital/exhortan-a-capitalinos-a-evitar-fogatas-y-pirotecnia-en-fiestas-decembrinas" TargetMode="External"/><Relationship Id="rId131" Type="http://schemas.openxmlformats.org/officeDocument/2006/relationships/hyperlink" Target="https://diarioportal.com/seguridad-y-justicia/detiene-fgr-al-priista-cesar-duarte-por-saquear-a-chihuahua-cuando-fue-gobernador" TargetMode="External"/><Relationship Id="rId252" Type="http://schemas.openxmlformats.org/officeDocument/2006/relationships/hyperlink" Target="https://www.jornada.com.mx/noticia/2025/12/23/capital/adolescente-dispara-a-pareja-en-el-interior-del-panteon-en-la-alcaldia-ao" TargetMode="External"/><Relationship Id="rId130" Type="http://schemas.openxmlformats.org/officeDocument/2006/relationships/hyperlink" Target="https://diarioportal.com/seguridad-y-justicia/reconoce-el-gem-la-vocacion-valentia-y-entrega-de-la-policia-mexiquense" TargetMode="External"/><Relationship Id="rId251" Type="http://schemas.openxmlformats.org/officeDocument/2006/relationships/hyperlink" Target="https://www.jornada.com.mx/noticia/2025/12/23/capital/dictan-prision-preventiva-a-ex-arbitro-marco-antonio-rodriguez-por-violencia-familiar" TargetMode="External"/><Relationship Id="rId250" Type="http://schemas.openxmlformats.org/officeDocument/2006/relationships/hyperlink" Target="https://www.jornada.com.mx/noticia/2025/12/23/capital/pueblos-de-milpa-alta-denuncian-consulta-simulada-y-agresiones-para-imponer-el-cablebus-linea-6" TargetMode="External"/><Relationship Id="rId136" Type="http://schemas.openxmlformats.org/officeDocument/2006/relationships/hyperlink" Target="https://diarioportal.com/seguridad-y-justicia/fiscalia-del-edomex-obtiene-vinculacion-a-proceso-contra-dos-sujetos-por-su-probable-participacion-en-robo-a-casa-habitacion-con-violencia" TargetMode="External"/><Relationship Id="rId257" Type="http://schemas.openxmlformats.org/officeDocument/2006/relationships/hyperlink" Target="https://www.tvazteca.com/aztecanoticias/recuperan-caja-negra-del-tren-interoceanico-fgr-analiza-descarrilamiento/" TargetMode="External"/><Relationship Id="rId135" Type="http://schemas.openxmlformats.org/officeDocument/2006/relationships/hyperlink" Target="https://diarioportal.com/seguridad-y-justicia/fiscalia-edomex-y-secretaria-de-seguridad-estatal-recuperan-transporte-de-carga-con-reporte-de-robo-en-un-inmueble-de-tecamac" TargetMode="External"/><Relationship Id="rId256" Type="http://schemas.openxmlformats.org/officeDocument/2006/relationships/hyperlink" Target="https://www.tvazteca.com/aztecanoticias/luisa-camila-serrano-es-hallada-sin-vida-descarrilamiento-del-tren-interoceanico-en-oaxaca/" TargetMode="External"/><Relationship Id="rId134" Type="http://schemas.openxmlformats.org/officeDocument/2006/relationships/hyperlink" Target="https://diarioportal.com/seguridad-y-justicia/mujer-es-sentenciada-a-40-anos-de-prision-por-el-delito-de-homicidio-en-agravio-de-un-hombre" TargetMode="External"/><Relationship Id="rId255" Type="http://schemas.openxmlformats.org/officeDocument/2006/relationships/hyperlink" Target="https://www.tvazteca.com/aztecanoticias/accidente-en-la-autopista-aguascalientes-leon-en-jalisco-deja-un-fallecido/" TargetMode="External"/><Relationship Id="rId133" Type="http://schemas.openxmlformats.org/officeDocument/2006/relationships/hyperlink" Target="https://diarioportal.com/seguridad-y-justicia/continua-la-restitucion-de-predios-que-habian-despojados-a-legitimos-propietarios" TargetMode="External"/><Relationship Id="rId254" Type="http://schemas.openxmlformats.org/officeDocument/2006/relationships/hyperlink" Target="https://www.tvazteca.com/aztecanoticias/descarrilamiento-del-tren-interoceanico-oaxaca-lista-de-personas-muertas/" TargetMode="External"/><Relationship Id="rId62" Type="http://schemas.openxmlformats.org/officeDocument/2006/relationships/hyperlink" Target="https://www.milenio.com/policia/quienes-eran-las-victimas-de-la-balacera-en-zapopan" TargetMode="External"/><Relationship Id="rId61" Type="http://schemas.openxmlformats.org/officeDocument/2006/relationships/hyperlink" Target="https://www.milenio.com/estados/descarrilamiento-tren-interoceanico-noticias-en-vivo-29-diciembre" TargetMode="External"/><Relationship Id="rId64" Type="http://schemas.openxmlformats.org/officeDocument/2006/relationships/hyperlink" Target="https://www.milenio.com/estados/lerdo-disminuyen-las-quejas-contra-policias-y-transitos" TargetMode="External"/><Relationship Id="rId63" Type="http://schemas.openxmlformats.org/officeDocument/2006/relationships/hyperlink" Target="https://www.milenio.com/policia/policia-cdmx-muere-tras-frustrar-robo-alvaro-obregon-que-sabemos" TargetMode="External"/><Relationship Id="rId66" Type="http://schemas.openxmlformats.org/officeDocument/2006/relationships/hyperlink" Target="https://www.milenio.com/estados/titular-policia-de-asientos-aguascalientes-sufre-accidente-carretera" TargetMode="External"/><Relationship Id="rId172" Type="http://schemas.openxmlformats.org/officeDocument/2006/relationships/hyperlink" Target="https://diarioportal.com/seguridad-y-justicia/estrategia-de-seguridad-de-la-mesa-de-paz-efectiva-en-edomex-baja-32-homicidio-doloso-en-lo-que-va-del-ano" TargetMode="External"/><Relationship Id="rId293" Type="http://schemas.openxmlformats.org/officeDocument/2006/relationships/hyperlink" Target="https://www.tvazteca.com/aztecanoticias/vuelca-pipa-agua-en-periferico-oriente-iztapalapa-conductor-resulta-lesiones-leves" TargetMode="External"/><Relationship Id="rId65" Type="http://schemas.openxmlformats.org/officeDocument/2006/relationships/hyperlink" Target="https://www.milenio.com/policia/blindan-zona-del-aeropuerto-de-morelia-michoacan-ramirez-bedolla" TargetMode="External"/><Relationship Id="rId171" Type="http://schemas.openxmlformats.org/officeDocument/2006/relationships/hyperlink" Target="https://diarioportal.com/seguridad-y-justicia/egresa-la-1-generacion-de-policias-de-proximidad-del-edomex-reforzaran-la-seguridad-en-municipios-con-mayor-indice-delictivo" TargetMode="External"/><Relationship Id="rId292" Type="http://schemas.openxmlformats.org/officeDocument/2006/relationships/hyperlink" Target="https://www.tvazteca.com/aztecanoticias/video-fue-como-colapso-el-monumento-el-colotero-en-alamo-veracruz" TargetMode="External"/><Relationship Id="rId68" Type="http://schemas.openxmlformats.org/officeDocument/2006/relationships/hyperlink" Target="https://www.milenio.com/policia/autoridades-de-acambay-refuerzan-seguridad-por-grupos-criminales" TargetMode="External"/><Relationship Id="rId170" Type="http://schemas.openxmlformats.org/officeDocument/2006/relationships/hyperlink" Target="https://diarioportal.com/seguridad-y-justicia/abren-proceso-penal-contra-el-exdirector-del-trijaem-por-presunta-participacion-en-el-desvio-de-mas-de-32-mdp" TargetMode="External"/><Relationship Id="rId291" Type="http://schemas.openxmlformats.org/officeDocument/2006/relationships/hyperlink" Target="https://www.tvazteca.com/aztecanoticias/video-atropellan-a-nina-mientras-jugaba-en-el-estacionamiento-del-mercado-del-norte" TargetMode="External"/><Relationship Id="rId67" Type="http://schemas.openxmlformats.org/officeDocument/2006/relationships/hyperlink" Target="https://www.milenio.com/policia/coyoacan-refuerza-seguridad-y-vigilancia-en-temporada-navidena" TargetMode="External"/><Relationship Id="rId290" Type="http://schemas.openxmlformats.org/officeDocument/2006/relationships/hyperlink" Target="https://www.tvazteca.com/aztecanoticias/mientras-dormia-choque-auto-iztapalapa-danos-personas-heridas" TargetMode="External"/><Relationship Id="rId60" Type="http://schemas.openxmlformats.org/officeDocument/2006/relationships/hyperlink" Target="https://www.eluniversal.com.mx/estados/ceci-flores-denuncia-engano-con-cuerpo-falso-que-resulto-ser-cobija-con-basura-pudo-poner-en-riesgo-integridad-de-madres-buscadoras-acusa/" TargetMode="External"/><Relationship Id="rId165" Type="http://schemas.openxmlformats.org/officeDocument/2006/relationships/hyperlink" Target="https://diarioportal.com/seguridad-y-justicia/logra-toluca-la-reduccion-en-robos-de-vehiculo-mas-contundente-a-nivel-nacional" TargetMode="External"/><Relationship Id="rId286" Type="http://schemas.openxmlformats.org/officeDocument/2006/relationships/hyperlink" Target="https://www.tvazteca.com/aztecanoticias/avionazo-en-toluca-viajaban-equipo-beisbol-campeon-un-dia-antes/" TargetMode="External"/><Relationship Id="rId69" Type="http://schemas.openxmlformats.org/officeDocument/2006/relationships/hyperlink" Target="https://www.milenio.com/policia/asesinan-a-balazos-a-una-policia-municipal-de-culiacan-en-navolato" TargetMode="External"/><Relationship Id="rId164" Type="http://schemas.openxmlformats.org/officeDocument/2006/relationships/hyperlink" Target="https://diarioportal.com/seguridad-y-justicia/se-acabo-el-suministro-de-agua-para-empresarios-que-evaden-pagar-servicio-en-ecatepec" TargetMode="External"/><Relationship Id="rId285" Type="http://schemas.openxmlformats.org/officeDocument/2006/relationships/hyperlink" Target="https://www.tvazteca.com/aztecanoticias/edomex-fuga-gas-en-el-centro-toluca-provoca-evacuacion-masiva-y-cierres-viales-hoy/" TargetMode="External"/><Relationship Id="rId163" Type="http://schemas.openxmlformats.org/officeDocument/2006/relationships/hyperlink" Target="https://diarioportal.com/seguridad-y-justicia/la-democracia-sera-solida-solo-con-la-garantia-de-igualdad-entre-mujeres-y-hombres-gilberto-batiz" TargetMode="External"/><Relationship Id="rId284" Type="http://schemas.openxmlformats.org/officeDocument/2006/relationships/hyperlink" Target="https://www.tvazteca.com/aztecanoticias/volcadura-viaducto-rio-piedad-incendio-bar-zona-rosa/" TargetMode="External"/><Relationship Id="rId162" Type="http://schemas.openxmlformats.org/officeDocument/2006/relationships/hyperlink" Target="https://diarioportal.com/seguridad-y-justicia/detienen-a-7-escoltas-de-carlos-manzo-por-su-probable-implicacion-en-su-asesinato" TargetMode="External"/><Relationship Id="rId283" Type="http://schemas.openxmlformats.org/officeDocument/2006/relationships/hyperlink" Target="https://www.tvazteca.com/aztecanoticias/conductor-muere-al-intentar-ganarle-el-paso-al-tren-en-la-carretera-huichapan-san-jose/" TargetMode="External"/><Relationship Id="rId169" Type="http://schemas.openxmlformats.org/officeDocument/2006/relationships/hyperlink" Target="https://diarioportal.com/seguridad-y-justicia/cochinero-de-vilchis-en-ecatepec-detectan-gasto-de-1516-mdp-sin-justificar-durante-su-gestion-en-ayuntamiento" TargetMode="External"/><Relationship Id="rId168" Type="http://schemas.openxmlformats.org/officeDocument/2006/relationships/hyperlink" Target="https://diarioportal.com/seguridad-y-justicia/van-contra-abusos-de-autoridad-y-corrupcion-con-reforma-a-la-fgjem" TargetMode="External"/><Relationship Id="rId289" Type="http://schemas.openxmlformats.org/officeDocument/2006/relationships/hyperlink" Target="https://www.tvazteca.com/aztecanoticias/choque-aguascalientes-tragedia-caos-vial-bloqueos-carreteras-hoy-muere-chofer-trailer" TargetMode="External"/><Relationship Id="rId167" Type="http://schemas.openxmlformats.org/officeDocument/2006/relationships/hyperlink" Target="https://diarioportal.com/seguridad-y-justicia/impiden-robos-por-mas-de-500-mil-pesos-y-detienen-a-155-personas-en-operativos-por-buen-fin" TargetMode="External"/><Relationship Id="rId288" Type="http://schemas.openxmlformats.org/officeDocument/2006/relationships/hyperlink" Target="https://www.tvazteca.com/aztecanoticias/conductor-huye-choque-puebla-atropella-mujer-cae-en-zanja-cuautlancingo-hoy" TargetMode="External"/><Relationship Id="rId166" Type="http://schemas.openxmlformats.org/officeDocument/2006/relationships/hyperlink" Target="https://diarioportal.com/seguridad-y-justicia/solo-mujeres-policias-de-transito-seran-habilitadas-para-levantar-infracciones" TargetMode="External"/><Relationship Id="rId287" Type="http://schemas.openxmlformats.org/officeDocument/2006/relationships/hyperlink" Target="https://www.tvazteca.com/aztecanoticias/fatal-accidente-iztacalco-homicidio-azcapotzalco-y-ambulancia-impactada/" TargetMode="External"/><Relationship Id="rId51" Type="http://schemas.openxmlformats.org/officeDocument/2006/relationships/hyperlink" Target="https://www.eluniversal.com.mx/estados/lo-mejor-de-2025-historias-para-recordar/" TargetMode="External"/><Relationship Id="rId50" Type="http://schemas.openxmlformats.org/officeDocument/2006/relationships/hyperlink" Target="https://www.eluniversal.com.mx/estados/ola-de-violencia-sacude-culiacan-tres-muertos-ataques-armados-e-incendios/" TargetMode="External"/><Relationship Id="rId53" Type="http://schemas.openxmlformats.org/officeDocument/2006/relationships/hyperlink" Target="https://www.eluniversal.com.mx/estados/triste-noticia-muere-capibara-macho-que-llego-al-zoologico-tamatan-en-ciudad-victoria-tamaulipas-fallecio-por-estres/" TargetMode="External"/><Relationship Id="rId52" Type="http://schemas.openxmlformats.org/officeDocument/2006/relationships/hyperlink" Target="https://www.eluniversal.com.mx/estados/alcaldes-bajo-la-mira-de-los-grupos-criminales/" TargetMode="External"/><Relationship Id="rId55" Type="http://schemas.openxmlformats.org/officeDocument/2006/relationships/hyperlink" Target="https://www.eluniversal.com.mx/estados/activistas-hallan-restos-humanos-en-fosa-clandestina-en-sindicatura-de-costa-rica-sinaloa-se-desconoce-el-sexo-de-las-victimas/" TargetMode="External"/><Relationship Id="rId161" Type="http://schemas.openxmlformats.org/officeDocument/2006/relationships/hyperlink" Target="https://diarioportal.com/seguridad-y-justicia/cayo-de-hacha-ira-al-registro-de-violentadores-de-genero-por-ofensas-contra-sindica-en-redes" TargetMode="External"/><Relationship Id="rId282" Type="http://schemas.openxmlformats.org/officeDocument/2006/relationships/hyperlink" Target="https://www.tvazteca.com/aztecanoticias/que-murio-mayits-esto-se-sabe-la-muerte-la-influencer-maria-jose-calderon/" TargetMode="External"/><Relationship Id="rId54" Type="http://schemas.openxmlformats.org/officeDocument/2006/relationships/hyperlink" Target="https://www.eluniversal.com.mx/estados/reportan-7-personas-desaparecidas-tras-quema-de-bares-en-villaflores-chiapas-fiscalia-vincula-hechos-a-narcomenudeo/" TargetMode="External"/><Relationship Id="rId160" Type="http://schemas.openxmlformats.org/officeDocument/2006/relationships/hyperlink" Target="https://diarioportal.com/seguridad-y-justicia/detienen-al-exlider-del-pri-isidro-pastor-por-operaciones-con-recursos-de-dudosa-procedencia" TargetMode="External"/><Relationship Id="rId281" Type="http://schemas.openxmlformats.org/officeDocument/2006/relationships/hyperlink" Target="https://www.tvazteca.com/aztecanoticias/vuelca-y-explota-pipa-chapopote-en-chiapas-hay-una-persona-sin-vida/" TargetMode="External"/><Relationship Id="rId57" Type="http://schemas.openxmlformats.org/officeDocument/2006/relationships/hyperlink" Target="https://www.eluniversal.com.mx/estados/detienen-en-los-mochis-a-director-de-vialidad-y-transporte-de-sinaloa-por-tirar-basura-en-la-calle-forcejea-con-policias-municipales/" TargetMode="External"/><Relationship Id="rId280" Type="http://schemas.openxmlformats.org/officeDocument/2006/relationships/hyperlink" Target="https://www.tvazteca.com/aztecanoticias/explosion-tianguis-morelia-hoy-captan-video-estallido-incendio-pedregal/" TargetMode="External"/><Relationship Id="rId56" Type="http://schemas.openxmlformats.org/officeDocument/2006/relationships/hyperlink" Target="https://www.eluniversal.com.mx/estados/liberan-a-joven-detenido-en-morelia-durante-manifestacion-para-exigir-justicia-por-asesinato-de-carlos-manzo-denuncian-tortura/" TargetMode="External"/><Relationship Id="rId159" Type="http://schemas.openxmlformats.org/officeDocument/2006/relationships/hyperlink" Target="https://diarioportal.com/seguridad-y-justicia/fiscalia-edomex-logra-condena-de-46-anos-6-meses-contra-exdirector-de-seguridad-publica-de-acambay" TargetMode="External"/><Relationship Id="rId59" Type="http://schemas.openxmlformats.org/officeDocument/2006/relationships/hyperlink" Target="https://www.eluniversal.com.mx/estados/secretaria-de-marina-cierra-puerto-de-la-paz-bcs-por-pronostico-de-vientos-del-norte-aplica-a-embarcaciones-menores/" TargetMode="External"/><Relationship Id="rId154" Type="http://schemas.openxmlformats.org/officeDocument/2006/relationships/hyperlink" Target="https://diarioportal.com/seguridad-y-justicia/detectan-posible-desfalco-en-organo-municipal-de-agua-en-ecatepec" TargetMode="External"/><Relationship Id="rId275" Type="http://schemas.openxmlformats.org/officeDocument/2006/relationships/hyperlink" Target="https://www.tvazteca.com/aztecanoticias/fatal-accidente-en-zmg-hoy-conductor-atropella-a-menor-deja-grave-a-su-madre-y-huye/" TargetMode="External"/><Relationship Id="rId58" Type="http://schemas.openxmlformats.org/officeDocument/2006/relationships/hyperlink" Target="https://www.eluniversal.com.mx/estados/empresas-de-yucatan-se-mantuvieron-a-flote-en-2025-afirma-coparmex-merida-preven-retos-fiscales-para-2026/" TargetMode="External"/><Relationship Id="rId153" Type="http://schemas.openxmlformats.org/officeDocument/2006/relationships/hyperlink" Target="https://diarioportal.com/seguridad-y-justicia/caen-6-lideres-de-red-criminal-que-opera-en-13-municipios-mexiquenses" TargetMode="External"/><Relationship Id="rId274" Type="http://schemas.openxmlformats.org/officeDocument/2006/relationships/hyperlink" Target="https://www.tvazteca.com/aztecanoticias/vuelca-pipa-autopista-penon-texcoco-hoy-edomex-alerta-caos-vial-bloqueo-carretera-cierre/" TargetMode="External"/><Relationship Id="rId152" Type="http://schemas.openxmlformats.org/officeDocument/2006/relationships/hyperlink" Target="https://diarioportal.com/seguridad-y-justicia/agresiones-a-oficiales-de-transito-ameritan-multas-de-hasta-4-mil-500-pesos" TargetMode="External"/><Relationship Id="rId273" Type="http://schemas.openxmlformats.org/officeDocument/2006/relationships/hyperlink" Target="https://www.tvazteca.com/aztecanoticias/incendio-en-colonia-hacienda-del-jardin-tultepec-desalojan-viviendas/" TargetMode="External"/><Relationship Id="rId151" Type="http://schemas.openxmlformats.org/officeDocument/2006/relationships/hyperlink" Target="https://diarioportal.com/seguridad-y-justicia/otro-ridiculo-de-la-fgr-isidro-pastor-queda-libre-por-falta-de-pruebas" TargetMode="External"/><Relationship Id="rId272" Type="http://schemas.openxmlformats.org/officeDocument/2006/relationships/hyperlink" Target="https://www.tvazteca.com/aztecanoticias/fuerte-accidente-periferico-sur-choque-coche-arbol-volcadura-cdmx-benito-juarez/" TargetMode="External"/><Relationship Id="rId158" Type="http://schemas.openxmlformats.org/officeDocument/2006/relationships/hyperlink" Target="https://diarioportal.com/seguridad-y-justicia/restituidos-a-legitimos-duenos-710-inmuebles-de-los-1190-asegurados-por-despojo-en-edomex" TargetMode="External"/><Relationship Id="rId279" Type="http://schemas.openxmlformats.org/officeDocument/2006/relationships/hyperlink" Target="https://www.tvazteca.com/aztecanoticias/cuatro-personas-murieron-caer-auto-a-canal-en-jiutepec-morelos/" TargetMode="External"/><Relationship Id="rId157" Type="http://schemas.openxmlformats.org/officeDocument/2006/relationships/hyperlink" Target="https://diarioportal.com/seguridad-y-justicia/implementan-pago-digital-de-infracciones-con-reforma-al-reglamento-de-transito-en-edomex" TargetMode="External"/><Relationship Id="rId278" Type="http://schemas.openxmlformats.org/officeDocument/2006/relationships/hyperlink" Target="https://www.tvazteca.com/aztecanoticias/accidente-zacatecas-hoy-volcadura-autobus-jornaleros-carretera-45-muertos-heridos/" TargetMode="External"/><Relationship Id="rId156" Type="http://schemas.openxmlformats.org/officeDocument/2006/relationships/hyperlink" Target="https://diarioportal.com/seguridad-y-justicia/lider-vinculado-con-criminales-usa-protestas-transportistas-para-blindarse-ante-la-ley" TargetMode="External"/><Relationship Id="rId277" Type="http://schemas.openxmlformats.org/officeDocument/2006/relationships/hyperlink" Target="https://www.tvazteca.com/aztecanoticias/explosion-acumulacion-gas-hoy-ecatepec-destrozos-herido-emergencia/" TargetMode="External"/><Relationship Id="rId155" Type="http://schemas.openxmlformats.org/officeDocument/2006/relationships/hyperlink" Target="https://diarioportal.com/seguridad-y-justicia/se-sostiene-reduccion-de-violencia-en-el-edomex" TargetMode="External"/><Relationship Id="rId276" Type="http://schemas.openxmlformats.org/officeDocument/2006/relationships/hyperlink" Target="https://www.tvazteca.com/aztecanoticias/balacera-tonala-jalisco-hoy-ataque-armado-bar-colonia-francisco-villa-zmg/" TargetMode="External"/><Relationship Id="rId107" Type="http://schemas.openxmlformats.org/officeDocument/2006/relationships/hyperlink" Target="https://diarioportal.com/seguridad-y-justicia/gratifican-a-264-servidoras-judiciales-por-excelencia-en-desempeno" TargetMode="External"/><Relationship Id="rId228" Type="http://schemas.openxmlformats.org/officeDocument/2006/relationships/hyperlink" Target="https://www.jornada.com.mx/noticia/2025/12/26/capital/encuentran-cadaver-envuelto-en-cobija-en-calles-de-tepito" TargetMode="External"/><Relationship Id="rId106" Type="http://schemas.openxmlformats.org/officeDocument/2006/relationships/hyperlink" Target="https://diarioportal.com/seguridad-y-justicia/fiscalia-edomex-obtiene-sentencia-de-condena-de-20-anos-de-prision-en-contra-de-sujeto-por-robo-de-vehiculo-con-violencia" TargetMode="External"/><Relationship Id="rId227" Type="http://schemas.openxmlformats.org/officeDocument/2006/relationships/hyperlink" Target="https://www.jornada.com.mx/noticia/2025/12/26/capital/catean-bodegas-de-ustorage-en-cdmx-por-robo-de-transporte-de-carga-en-michoacan" TargetMode="External"/><Relationship Id="rId105" Type="http://schemas.openxmlformats.org/officeDocument/2006/relationships/hyperlink" Target="https://diarioportal.com/seguridad-y-justicia/vinculan-a-proceso-a-sujeto-por-su-probable-intervencion-en-el-delito-de-extorsion-en-agravio-de-un-comerciante-de-nopaltepec" TargetMode="External"/><Relationship Id="rId226" Type="http://schemas.openxmlformats.org/officeDocument/2006/relationships/hyperlink" Target="https://www.jornada.com.mx/noticia/2025/12/27/capital/hasta-15-emergencias-al-dia-en-la-cdmx-por-fugas-de-gas-y-flamazos" TargetMode="External"/><Relationship Id="rId104" Type="http://schemas.openxmlformats.org/officeDocument/2006/relationships/hyperlink" Target="https://diarioportal.com/seguridad-y-justicia/emite-gobierno-del-edomex-recomendaciones-para-unas-fiestas-decembrinas-seguras" TargetMode="External"/><Relationship Id="rId225" Type="http://schemas.openxmlformats.org/officeDocument/2006/relationships/hyperlink" Target="https://www.jornada.com.mx/noticia/2025/12/27/capital/la-zona-rosa-es-segura-afirman-comerciantes" TargetMode="External"/><Relationship Id="rId109" Type="http://schemas.openxmlformats.org/officeDocument/2006/relationships/hyperlink" Target="https://diarioportal.com/seguridad-y-justicia/se-suman-996-nuevos-elementos-a-labor-de-seguridad-en-edomex" TargetMode="External"/><Relationship Id="rId108" Type="http://schemas.openxmlformats.org/officeDocument/2006/relationships/hyperlink" Target="https://diarioportal.com/seguridad-y-justicia/aprehenden-a-3-sujetos-que-habian-secuestrado-a-una-joven-la-retuvieron-en-una-caja" TargetMode="External"/><Relationship Id="rId229" Type="http://schemas.openxmlformats.org/officeDocument/2006/relationships/hyperlink" Target="https://www.jornada.com.mx/noticia/2025/12/26/capital/detiene-a-el-tuxpan-involucrado-en-asaltos-de-tiendas-oxxo-en-iztapalapa" TargetMode="External"/><Relationship Id="rId220" Type="http://schemas.openxmlformats.org/officeDocument/2006/relationships/hyperlink" Target="https://www.jornada.com.mx/noticia/2025/12/28/capital/hay-inconsistencias-en-la-demolicion-del-teatro-manolo-fabregas-vecinos" TargetMode="External"/><Relationship Id="rId103" Type="http://schemas.openxmlformats.org/officeDocument/2006/relationships/hyperlink" Target="https://diarioportal.com/seguridad-y-justicia/sspc-comparte-una-guia-para-prevenir-fraudes-durante-la-temporada-navidena" TargetMode="External"/><Relationship Id="rId224" Type="http://schemas.openxmlformats.org/officeDocument/2006/relationships/hyperlink" Target="https://www.jornada.com.mx/noticia/2025/12/27/capital/venta-de-nochebuenas-deja-derrama-por-98-millones-de-pesos-sedema" TargetMode="External"/><Relationship Id="rId102" Type="http://schemas.openxmlformats.org/officeDocument/2006/relationships/hyperlink" Target="https://diarioportal.com/seguridad-y-justicia/gobernadora-envia-reforma-para-reforzar-investigacion-policiaca-con-inteligencia-y-prevenir-violaciones-de-derechos" TargetMode="External"/><Relationship Id="rId223" Type="http://schemas.openxmlformats.org/officeDocument/2006/relationships/hyperlink" Target="https://www.jornada.com.mx/noticia/2025/12/27/capital/joven-es-detenido-tras-atropellar-a-policia-en-punto-de-revision-en-la-lagunilla" TargetMode="External"/><Relationship Id="rId101" Type="http://schemas.openxmlformats.org/officeDocument/2006/relationships/hyperlink" Target="https://diarioportal.com/seguridad-y-justicia/otra-mas-del-transporte-publico-del-edomex-combi-choca-en-acolman-deja-3-heridos" TargetMode="External"/><Relationship Id="rId222" Type="http://schemas.openxmlformats.org/officeDocument/2006/relationships/hyperlink" Target="https://www.jornada.com.mx/noticia/2025/12/27/capital/metro-evita-104-atentados-contra-la-vida-propia-en-2025" TargetMode="External"/><Relationship Id="rId100" Type="http://schemas.openxmlformats.org/officeDocument/2006/relationships/hyperlink" Target="https://diarioportal.com/seguridad-y-justicia/celebra-clara-brugada-18-de-reduccion-de-delitos-en-azcapotzalco" TargetMode="External"/><Relationship Id="rId221" Type="http://schemas.openxmlformats.org/officeDocument/2006/relationships/hyperlink" Target="https://www.jornada.com.mx/noticia/2025/12/28/capital/mil-229-familias-aun-reciben-apoyo-para-rentas-por-sismo-de-2017" TargetMode="External"/><Relationship Id="rId217" Type="http://schemas.openxmlformats.org/officeDocument/2006/relationships/hyperlink" Target="https://www.jornada.com.mx/noticia/2025/12/28/capital/remiten-a-mas-de-mil-conductores-a-el-torito-por-operativo-conduce-sin-alcohol" TargetMode="External"/><Relationship Id="rId216" Type="http://schemas.openxmlformats.org/officeDocument/2006/relationships/hyperlink" Target="https://www.jornada.com.mx/noticia/2025/12/28/capital/stc-metro-informa-horarios-de-servicio-para-el-31-de-diciembre-y-jueves-1-de-enero" TargetMode="External"/><Relationship Id="rId215" Type="http://schemas.openxmlformats.org/officeDocument/2006/relationships/hyperlink" Target="https://www.jornada.com.mx/noticia/2025/12/28/capital/un-hombre-muere-en-entrada-de-sucursal-bancaria-en-la-alcaldia-cuauhtemoc" TargetMode="External"/><Relationship Id="rId214" Type="http://schemas.openxmlformats.org/officeDocument/2006/relationships/hyperlink" Target="https://www.jornada.com.mx/noticia/2025/12/28/capital/cae-jose-n-por-desaparicion-de-mujer-policia-en-la-alvaro-obregon" TargetMode="External"/><Relationship Id="rId219" Type="http://schemas.openxmlformats.org/officeDocument/2006/relationships/hyperlink" Target="https://www.jornada.com.mx/noticia/2025/12/28/capital/se-aglomeran-familias-en-feria-de-reyes-magos-en-avenida-hidalgo" TargetMode="External"/><Relationship Id="rId218" Type="http://schemas.openxmlformats.org/officeDocument/2006/relationships/hyperlink" Target="https://www.jornada.com.mx/noticia/2025/12/28/capital/suspenden-servicio-en-estacion-del-metro-auditorio-de-linea-7" TargetMode="External"/><Relationship Id="rId213" Type="http://schemas.openxmlformats.org/officeDocument/2006/relationships/hyperlink" Target="https://www.jornada.com.mx/noticia/2025/12/28/capital/detienen-a-8-personas-una-de-ellas-menor-vinculadas-a-grupo-delictivo-de-la-zona-oriente" TargetMode="External"/><Relationship Id="rId212" Type="http://schemas.openxmlformats.org/officeDocument/2006/relationships/hyperlink" Target="https://www.jornada.com.mx/noticia/2025/12/28/capital/en-2025-246-personas-remitidas-al-juzgado-civico-por-tirar-basura-en-la-cuauhtemoc" TargetMode="External"/><Relationship Id="rId211" Type="http://schemas.openxmlformats.org/officeDocument/2006/relationships/hyperlink" Target="https://www.jornada.com.mx/noticia/2025/12/28/capital/patrulla-de-la-ssc-atropella-a-motociclista-en-la-gam" TargetMode="External"/><Relationship Id="rId210" Type="http://schemas.openxmlformats.org/officeDocument/2006/relationships/hyperlink" Target="https://www.jornada.com.mx/noticia/2025/12/28/capital/policia-de-la-ssc-es-herido-en-intento-de-robo-de-vehiculo-en-jardines-del-pedregal" TargetMode="External"/><Relationship Id="rId129" Type="http://schemas.openxmlformats.org/officeDocument/2006/relationships/hyperlink" Target="https://diarioportal.com/seguridad-y-justicia/localizan-vehiculo-de-carga-robado-en-la-autopista-mexicopachuca" TargetMode="External"/><Relationship Id="rId128" Type="http://schemas.openxmlformats.org/officeDocument/2006/relationships/hyperlink" Target="https://diarioportal.com/seguridad-y-justicia/consolida-edomex-tendencia-a-la-baja-en-delitos-de-alto-impacto" TargetMode="External"/><Relationship Id="rId249" Type="http://schemas.openxmlformats.org/officeDocument/2006/relationships/hyperlink" Target="https://www.jornada.com.mx/noticia/2025/12/24/capital/cdmx-disminuyo-60-el-numero-de-taxis-de-150-mil-a-60-mil-unidades" TargetMode="External"/><Relationship Id="rId127" Type="http://schemas.openxmlformats.org/officeDocument/2006/relationships/hyperlink" Target="https://diarioportal.com/seguridad-y-justicia/garantizada-la-seguridad-durante-las-festividades-decembrinas-en-toluca-jorge-ayon" TargetMode="External"/><Relationship Id="rId248" Type="http://schemas.openxmlformats.org/officeDocument/2006/relationships/hyperlink" Target="https://www.jornada.com.mx/noticia/2025/12/24/capital/productividad-de-legisladores-es-de-apenas-59-pero-este-mes-su-dieta-y-aguinaldo-sera-de-169-mil-412-pesos" TargetMode="External"/><Relationship Id="rId126" Type="http://schemas.openxmlformats.org/officeDocument/2006/relationships/hyperlink" Target="https://diarioportal.com/seguridad-y-justicia/listo-blindaje-a-peregrinos-guadalupanos-en-ecatepec-azucena-pide-prudencia-de-automovilistas" TargetMode="External"/><Relationship Id="rId247" Type="http://schemas.openxmlformats.org/officeDocument/2006/relationships/hyperlink" Target="https://www.jornada.com.mx/noticia/2025/12/24/capital/ssc-detiene-a-dos-extranjeros-dedicados-al-robo-de-relojes-de-alta-gama-en-mh" TargetMode="External"/><Relationship Id="rId121" Type="http://schemas.openxmlformats.org/officeDocument/2006/relationships/hyperlink" Target="https://diarioportal.com/seguridad-y-justicia/impiden-a-criminales-cobrar-mas-de-12-mdp-por-fraude-y-extorsion-en-edomex" TargetMode="External"/><Relationship Id="rId242" Type="http://schemas.openxmlformats.org/officeDocument/2006/relationships/hyperlink" Target="https://www.jornada.com.mx/noticia/2025/12/24/capital/activan-alerta-amarilla-por-temperaturas-de-entre-4-y-6-grados-en-cdmx" TargetMode="External"/><Relationship Id="rId120" Type="http://schemas.openxmlformats.org/officeDocument/2006/relationships/hyperlink" Target="https://diarioportal.com/seguridad-y-justicia/magistrada-monica-arali-soto-fregoso-asume-funciones-en-la-comision-de-venecia-perteneciente-al-consejo-de-europa" TargetMode="External"/><Relationship Id="rId241" Type="http://schemas.openxmlformats.org/officeDocument/2006/relationships/hyperlink" Target="https://www.jornada.com.mx/noticia/2025/12/24/capital/clara-brugada-anuncia-construccion-de-una-utopia-en-alvaro-obregon" TargetMode="External"/><Relationship Id="rId240" Type="http://schemas.openxmlformats.org/officeDocument/2006/relationships/hyperlink" Target="https://www.jornada.com.mx/noticia/2025/12/24/capital/artesanos-en-el-corazon-expone-en-el-zocalo-la-diversidad-artesanal-de-18-estados" TargetMode="External"/><Relationship Id="rId125" Type="http://schemas.openxmlformats.org/officeDocument/2006/relationships/hyperlink" Target="https://diarioportal.com/seguridad-y-justicia/cae-cabecilla-de-un-grupo-dedicado-a-la-extorsion-y-despojo-en-4-municipios" TargetMode="External"/><Relationship Id="rId246" Type="http://schemas.openxmlformats.org/officeDocument/2006/relationships/hyperlink" Target="https://www.jornada.com.mx/noticia/2025/12/24/capital/ssc-refuerza-dispositivos-de-seguridad-en-terminales-de-autobuses-por-temporada-decembrina" TargetMode="External"/><Relationship Id="rId124" Type="http://schemas.openxmlformats.org/officeDocument/2006/relationships/hyperlink" Target="https://diarioportal.com/seguridad-y-justicia/implementan-operativo-de-proteccion-a-peregrinacion-guadalupana-en-el-edomex" TargetMode="External"/><Relationship Id="rId245" Type="http://schemas.openxmlformats.org/officeDocument/2006/relationships/hyperlink" Target="https://www.jornada.com.mx/noticia/2025/12/24/capital/gobierno-cdmx-pide-evitar-el-uso-de-pirotecnia-en-fiestas-decembrinas" TargetMode="External"/><Relationship Id="rId123" Type="http://schemas.openxmlformats.org/officeDocument/2006/relationships/hyperlink" Target="https://diarioportal.com/seguridad-y-justicia/hallan-un-cuerpo-embolsado-y-sin-vida-en-tultitlan" TargetMode="External"/><Relationship Id="rId244" Type="http://schemas.openxmlformats.org/officeDocument/2006/relationships/hyperlink" Target="https://www.jornada.com.mx/noticia/2025/12/24/capital/en-cdmx-777-conductores-fueron-enviados-a-el-torito-por-rebasar-limite-de-alcohol" TargetMode="External"/><Relationship Id="rId122" Type="http://schemas.openxmlformats.org/officeDocument/2006/relationships/hyperlink" Target="https://diarioportal.com/seguridad-y-justicia/cesan-a-cuatro-verificadores-sanitarios-por-corrupcion-procede-fgjem-contra-uno-por-extorsion" TargetMode="External"/><Relationship Id="rId243" Type="http://schemas.openxmlformats.org/officeDocument/2006/relationships/hyperlink" Target="https://www.jornada.com.mx/noticia/2025/12/24/capital/capacitan-a-mil-700-policias-adscritos-al-metro-en-materia-de-inclusion-y-trato-digno" TargetMode="External"/><Relationship Id="rId95" Type="http://schemas.openxmlformats.org/officeDocument/2006/relationships/hyperlink" Target="https://diarioportal.com/seguridad-y-justicia/supervisa-gobierno-del-edomex-modulos-del-programa-migrante-mexiquense-para-garantizar-atencion-a-paisanos" TargetMode="External"/><Relationship Id="rId94" Type="http://schemas.openxmlformats.org/officeDocument/2006/relationships/hyperlink" Target="https://diarioportal.com/seguridad-y-justicia/bajan-nueve-delitos-de-alto-impacto-en-el-estado-de-mexico-durante-navidad" TargetMode="External"/><Relationship Id="rId97" Type="http://schemas.openxmlformats.org/officeDocument/2006/relationships/hyperlink" Target="https://diarioportal.com/seguridad-y-justicia/caen-25-delitos-de-alto-impacto-en-toluca" TargetMode="External"/><Relationship Id="rId96" Type="http://schemas.openxmlformats.org/officeDocument/2006/relationships/hyperlink" Target="https://diarioportal.com/seguridad-y-justicia/a-las-calles-personal-del-cusaem-en-protesta-por-presunta-violacion-a-derechos-laborales" TargetMode="External"/><Relationship Id="rId99" Type="http://schemas.openxmlformats.org/officeDocument/2006/relationships/hyperlink" Target="https://diarioportal.com/seguridad-y-justicia/contundente-reduccion-de-homicidios-y-robos-de-vehiculo-en-zona-oriente-del-edomex-destaca-dga" TargetMode="External"/><Relationship Id="rId98" Type="http://schemas.openxmlformats.org/officeDocument/2006/relationships/hyperlink" Target="https://diarioportal.com/seguridad-y-justicia/se-acabo-la-espera-dga-anuncia-la-rehabilitacion-del-periferico-norte-en-2026" TargetMode="External"/><Relationship Id="rId91" Type="http://schemas.openxmlformats.org/officeDocument/2006/relationships/hyperlink" Target="https://diarioportal.com/seguridad-y-justicia/procesan-a-tres-personas-por-presunto-despojo-en-valle-de-chalco" TargetMode="External"/><Relationship Id="rId90" Type="http://schemas.openxmlformats.org/officeDocument/2006/relationships/hyperlink" Target="https://diarioportal.com/seguridad-y-justicia/reconoce-gobierno-del-edomex-a-la-protectora-de-bosques-por-excelencia-en-servicios-forestales" TargetMode="External"/><Relationship Id="rId93" Type="http://schemas.openxmlformats.org/officeDocument/2006/relationships/hyperlink" Target="https://diarioportal.com/seguridad-y-justicia/llaman-a-extremar-precauciones-para-evitar-quemaduras-en-temporada-decembrina" TargetMode="External"/><Relationship Id="rId92" Type="http://schemas.openxmlformats.org/officeDocument/2006/relationships/hyperlink" Target="https://diarioportal.com/seguridad-y-justicia/navidad-segura-en-ecatepec-con-despliegue-masivo-de-elementos-de-seguridad" TargetMode="External"/><Relationship Id="rId118" Type="http://schemas.openxmlformats.org/officeDocument/2006/relationships/hyperlink" Target="https://diarioportal.com/seguridad-y-justicia/sentenciada-exalcaldesa-de-amanalco-por-asesinato-de-un-sindico-y-su-escolta" TargetMode="External"/><Relationship Id="rId239" Type="http://schemas.openxmlformats.org/officeDocument/2006/relationships/hyperlink" Target="https://www.jornada.com.mx/noticia/2025/12/24/capital/despliega-ssc-cdmx-mas-de-14-mil-policias-por-nochebuena-y-navidad" TargetMode="External"/><Relationship Id="rId117" Type="http://schemas.openxmlformats.org/officeDocument/2006/relationships/hyperlink" Target="https://diarioportal.com/seguridad-y-justicia/duro-golpe-contra-robo-a-transporte-de-carga-en-21-municipios-del-edomex" TargetMode="External"/><Relationship Id="rId238" Type="http://schemas.openxmlformats.org/officeDocument/2006/relationships/hyperlink" Target="https://www.jornada.com.mx/noticia/2025/12/25/capital/dos-personas-fallecidas-y-dos-lesionadas-por-incendio-en-domicilio-en-iztapalapa" TargetMode="External"/><Relationship Id="rId116" Type="http://schemas.openxmlformats.org/officeDocument/2006/relationships/hyperlink" Target="https://diarioportal.com/seguridad-y-justicia/homicidios-y-robos-de-vehiculos-disminuyen-con-mando-unificado-en-oriente-del-edomex" TargetMode="External"/><Relationship Id="rId237" Type="http://schemas.openxmlformats.org/officeDocument/2006/relationships/hyperlink" Target="https://www.jornada.com.mx/noticia/2025/12/25/capital/muere-conductor-de-taxi-tras-impactarse-en-obras-en-la-calle-san-antonio-abad" TargetMode="External"/><Relationship Id="rId115" Type="http://schemas.openxmlformats.org/officeDocument/2006/relationships/hyperlink" Target="https://diarioportal.com/seguridad-y-justicia/abren-proceso-penal-contra-el-agresor-sexual-de-una-mujer-en-nextlalpan" TargetMode="External"/><Relationship Id="rId236" Type="http://schemas.openxmlformats.org/officeDocument/2006/relationships/hyperlink" Target="https://www.jornada.com.mx/noticia/2025/12/25/capital/conductor-ebrio-ocasiona-choque-en-circuito-y-rio-consulado-se-reportan-varios-heridos" TargetMode="External"/><Relationship Id="rId119" Type="http://schemas.openxmlformats.org/officeDocument/2006/relationships/hyperlink" Target="https://diarioportal.com/seguridad-y-justicia/mas-de-600-policias-resguardaran-la-final-entre-toluca-y-tigres" TargetMode="External"/><Relationship Id="rId110" Type="http://schemas.openxmlformats.org/officeDocument/2006/relationships/hyperlink" Target="https://diarioportal.com/seguridad-y-justicia/se-registran-32-menos-homicidios-en-edomex-durante-2025" TargetMode="External"/><Relationship Id="rId231" Type="http://schemas.openxmlformats.org/officeDocument/2006/relationships/hyperlink" Target="https://www.jornada.com.mx/noticia/2025/12/26/capital/hasta-el-dia-24-habian-caido-en-el-torito-850-conductores-6-heridos-y-un-muerto-en-accidentes-viales" TargetMode="External"/><Relationship Id="rId230" Type="http://schemas.openxmlformats.org/officeDocument/2006/relationships/hyperlink" Target="https://www.jornada.com.mx/noticia/2025/12/26/capital/un-lesionado-al-colapsar-barda-en-construccion-en-iztacalco" TargetMode="External"/><Relationship Id="rId114" Type="http://schemas.openxmlformats.org/officeDocument/2006/relationships/hyperlink" Target="https://diarioportal.com/seguridad-y-justicia/magistrada-arlen-siu-asumira-la-presidencia-del-oppm-del-edomex" TargetMode="External"/><Relationship Id="rId235" Type="http://schemas.openxmlformats.org/officeDocument/2006/relationships/hyperlink" Target="https://www.jornada.com.mx/noticia/2025/12/25/capital/identificacion-de-el-panu-fue-por-huellas-dactilares-detalla-fgj" TargetMode="External"/><Relationship Id="rId113" Type="http://schemas.openxmlformats.org/officeDocument/2006/relationships/hyperlink" Target="https://diarioportal.com/seguridad-y-justicia/juez-dicta-70-anos-de-carcel-para-exalcaldesa-de-amanalco-por-ultimar-a-un-sindico-y-su-escolta" TargetMode="External"/><Relationship Id="rId234" Type="http://schemas.openxmlformats.org/officeDocument/2006/relationships/hyperlink" Target="https://www.jornada.com.mx/noticia/2025/12/25/capital/reparacion-del-dano-a-abril-victima-de-la-concordia-sin-resolucion-por-conflicto-familiar" TargetMode="External"/><Relationship Id="rId112" Type="http://schemas.openxmlformats.org/officeDocument/2006/relationships/hyperlink" Target="https://diarioportal.com/seguridad-y-justicia/nezahualcoyotl-aplica-el-nuevo-reglamento-de-transito-del-estado-de-mexico-para-salvaguardar-la-vida-de-las-personas" TargetMode="External"/><Relationship Id="rId233" Type="http://schemas.openxmlformats.org/officeDocument/2006/relationships/hyperlink" Target="https://www.jornada.com.mx/noticia/2025/12/26/capital/por-fallas-en-el-metro-la-rtp-apoyo-con-mil-387-unidades-en-los-2-anos-recientes" TargetMode="External"/><Relationship Id="rId111" Type="http://schemas.openxmlformats.org/officeDocument/2006/relationships/hyperlink" Target="https://diarioportal.com/seguridad-y-justicia/inicia-proceso-penal-contra-16-detenidos-por-asaltos-homicidios-y-extorsiones-en-carreteras-mexiquenses" TargetMode="External"/><Relationship Id="rId232" Type="http://schemas.openxmlformats.org/officeDocument/2006/relationships/hyperlink" Target="https://www.jornada.com.mx/noticia/2025/12/26/capital/suben-35-afectaciones-a-vehiculos-por-los-baches" TargetMode="External"/><Relationship Id="rId303" Type="http://schemas.openxmlformats.org/officeDocument/2006/relationships/vmlDrawing" Target="../drawings/vmlDrawing1.vml"/><Relationship Id="rId302" Type="http://schemas.openxmlformats.org/officeDocument/2006/relationships/drawing" Target="../drawings/drawing2.xml"/><Relationship Id="rId301" Type="http://schemas.openxmlformats.org/officeDocument/2006/relationships/hyperlink" Target="https://www.tvazteca.com/aztecanoticias/atropellan-a-el-chakal-navarro-promesa-la-mma-en-chiapas" TargetMode="External"/><Relationship Id="rId300" Type="http://schemas.openxmlformats.org/officeDocument/2006/relationships/hyperlink" Target="https://www.tvazteca.com/aztecanoticias/lenia-batres-propone-indemnizaciones-en-umas-alertan-reduccion-del-60-en-pagos-a-victimas" TargetMode="External"/><Relationship Id="rId206" Type="http://schemas.openxmlformats.org/officeDocument/2006/relationships/hyperlink" Target="https://www.jornada.com.mx/noticia/2025/12/29/capital/ssc-detiene-a-38-personas-en-tres-dias-durante-operativos-de-seguridad-en-la-cdmx" TargetMode="External"/><Relationship Id="rId205" Type="http://schemas.openxmlformats.org/officeDocument/2006/relationships/hyperlink" Target="https://www.jornada.com.mx/noticia/2025/12/29/capital/metrobus-concluye-servicio-temporal-de-la-ruta-glorieta-cuitlahuacalameda-tacubaya" TargetMode="External"/><Relationship Id="rId204" Type="http://schemas.openxmlformats.org/officeDocument/2006/relationships/hyperlink" Target="https://www.jornada.com.mx/noticia/2025/12/29/capital/ssc-investiga-agresion-de-policias-a-un-hombre-en-cuauhtemoc" TargetMode="External"/><Relationship Id="rId203" Type="http://schemas.openxmlformats.org/officeDocument/2006/relationships/hyperlink" Target="https://www.jornada.com.mx/noticia/2025/12/29/capital/dan-emotivo-ultimo-adios-al-policia-roman-martinez-en-la-alcaldia-ao" TargetMode="External"/><Relationship Id="rId209" Type="http://schemas.openxmlformats.org/officeDocument/2006/relationships/hyperlink" Target="https://www.jornada.com.mx/noticia/2025/12/28/capital/asesinan-a-policia-de-la-ssc-durante-atencion-a-robo-en-alvaro-obregon" TargetMode="External"/><Relationship Id="rId208" Type="http://schemas.openxmlformats.org/officeDocument/2006/relationships/hyperlink" Target="https://www.jornada.com.mx/noticia/2025/12/29/capital/menester-una-reforma-profunda-de-la-contraloria-para-mejorar-su-operacion" TargetMode="External"/><Relationship Id="rId207" Type="http://schemas.openxmlformats.org/officeDocument/2006/relationships/hyperlink" Target="https://www.jornada.com.mx/noticia/2025/12/29/capital/socavones-en-vias-primarias-se-incrementaron-300-por-ciento-en-2025-segiagua" TargetMode="External"/><Relationship Id="rId202" Type="http://schemas.openxmlformats.org/officeDocument/2006/relationships/hyperlink" Target="https://diarioportal.com/seguridad-y-justicia/evitan-85-de-pagos-por-extorsiones-en-edomex-en-2-meses" TargetMode="External"/><Relationship Id="rId201" Type="http://schemas.openxmlformats.org/officeDocument/2006/relationships/hyperlink" Target="https://diarioportal.com/seguridad-y-justicia/vinculan-a-proceso-a-cristopher-n-conocido-como-el-comandante-por-el-homicidio-de-dos-personas-de-nacionalidad-colombiana" TargetMode="External"/><Relationship Id="rId200" Type="http://schemas.openxmlformats.org/officeDocument/2006/relationships/hyperlink" Target="https://diarioportal.com/seguridad-y-justicia/fiscalia-edomex-detiene-a-lider-de-banda-dedicada-al-robo-violento-de-vehiculos-en-el-valle-de-mexic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1" width="7.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15.75" customHeight="1">
      <c r="A2" s="2" t="s">
        <v>21</v>
      </c>
      <c r="B2" s="2" t="s">
        <v>22</v>
      </c>
      <c r="C2" s="2" t="s">
        <v>23</v>
      </c>
      <c r="D2" s="2">
        <v>4.0</v>
      </c>
      <c r="E2" s="2">
        <v>0.0</v>
      </c>
      <c r="F2" s="2" t="s">
        <v>24</v>
      </c>
      <c r="G2" s="2">
        <v>0.5816</v>
      </c>
      <c r="H2" s="2" t="s">
        <v>25</v>
      </c>
      <c r="I2" s="2" t="s">
        <v>26</v>
      </c>
      <c r="J2" s="2" t="s">
        <v>27</v>
      </c>
      <c r="K2" s="2" t="s">
        <v>28</v>
      </c>
      <c r="L2" s="2" t="s">
        <v>29</v>
      </c>
      <c r="M2" s="2" t="s">
        <v>30</v>
      </c>
      <c r="N2" s="2" t="s">
        <v>31</v>
      </c>
      <c r="O2" s="2">
        <v>0.7949</v>
      </c>
      <c r="Q2" s="2">
        <v>8.0</v>
      </c>
      <c r="R2" s="2" t="s">
        <v>32</v>
      </c>
      <c r="S2" s="2">
        <v>1.5</v>
      </c>
      <c r="T2" s="2">
        <v>0.0</v>
      </c>
      <c r="U2" s="2">
        <v>3.0</v>
      </c>
    </row>
    <row r="3" ht="15.75" customHeight="1">
      <c r="A3" s="2" t="s">
        <v>21</v>
      </c>
      <c r="B3" s="2" t="s">
        <v>33</v>
      </c>
      <c r="C3" s="2" t="s">
        <v>23</v>
      </c>
      <c r="D3" s="2">
        <v>4.0</v>
      </c>
      <c r="E3" s="2">
        <v>0.0</v>
      </c>
      <c r="F3" s="2" t="s">
        <v>24</v>
      </c>
      <c r="G3" s="2">
        <v>0.4838</v>
      </c>
      <c r="H3" s="2" t="s">
        <v>25</v>
      </c>
      <c r="I3" s="2" t="s">
        <v>26</v>
      </c>
      <c r="J3" s="2" t="s">
        <v>27</v>
      </c>
      <c r="K3" s="2" t="s">
        <v>34</v>
      </c>
      <c r="L3" s="2" t="s">
        <v>35</v>
      </c>
      <c r="M3" s="2" t="s">
        <v>36</v>
      </c>
      <c r="N3" s="2" t="s">
        <v>37</v>
      </c>
      <c r="O3" s="2">
        <v>0.7123</v>
      </c>
      <c r="Q3" s="2">
        <v>8.5</v>
      </c>
      <c r="R3" s="2" t="s">
        <v>38</v>
      </c>
      <c r="S3" s="2">
        <v>3.5</v>
      </c>
      <c r="T3" s="2">
        <v>0.0</v>
      </c>
      <c r="U3" s="2">
        <v>3.0</v>
      </c>
    </row>
    <row r="4" ht="15.75" customHeight="1">
      <c r="A4" s="2" t="s">
        <v>21</v>
      </c>
      <c r="B4" s="2" t="s">
        <v>39</v>
      </c>
      <c r="C4" s="2" t="s">
        <v>23</v>
      </c>
      <c r="D4" s="2">
        <v>2.0</v>
      </c>
      <c r="E4" s="2">
        <v>-0.9626</v>
      </c>
      <c r="F4" s="2" t="s">
        <v>40</v>
      </c>
      <c r="G4" s="2">
        <v>0.9626</v>
      </c>
      <c r="H4" s="2" t="s">
        <v>41</v>
      </c>
      <c r="I4" s="2" t="s">
        <v>26</v>
      </c>
      <c r="J4" s="2" t="s">
        <v>42</v>
      </c>
      <c r="K4" s="2" t="s">
        <v>43</v>
      </c>
      <c r="L4" s="2" t="s">
        <v>43</v>
      </c>
      <c r="M4" s="2" t="s">
        <v>44</v>
      </c>
      <c r="N4" s="2" t="s">
        <v>45</v>
      </c>
      <c r="O4" s="2">
        <v>0.663</v>
      </c>
      <c r="Q4" s="2">
        <v>3.0</v>
      </c>
      <c r="R4" s="2" t="s">
        <v>32</v>
      </c>
      <c r="S4" s="2">
        <v>1.0</v>
      </c>
      <c r="T4" s="2">
        <v>0.0</v>
      </c>
      <c r="U4" s="2">
        <v>3.0</v>
      </c>
    </row>
    <row r="5" ht="15.75" customHeight="1">
      <c r="A5" s="2" t="s">
        <v>21</v>
      </c>
      <c r="B5" s="2" t="s">
        <v>46</v>
      </c>
      <c r="C5" s="2" t="s">
        <v>23</v>
      </c>
      <c r="D5" s="2">
        <v>4.0</v>
      </c>
      <c r="E5" s="2">
        <v>-0.4913</v>
      </c>
      <c r="F5" s="2" t="s">
        <v>40</v>
      </c>
      <c r="G5" s="2">
        <v>0.4913</v>
      </c>
      <c r="H5" s="2" t="s">
        <v>47</v>
      </c>
      <c r="I5" s="2" t="s">
        <v>48</v>
      </c>
      <c r="J5" s="2" t="s">
        <v>49</v>
      </c>
      <c r="K5" s="2" t="s">
        <v>50</v>
      </c>
      <c r="L5" s="2" t="s">
        <v>51</v>
      </c>
      <c r="M5" s="2" t="s">
        <v>52</v>
      </c>
      <c r="N5" s="2" t="s">
        <v>53</v>
      </c>
      <c r="O5" s="2">
        <v>1.0</v>
      </c>
      <c r="Q5" s="2">
        <v>8.5</v>
      </c>
      <c r="R5" s="2" t="s">
        <v>38</v>
      </c>
      <c r="S5" s="2">
        <v>3.5</v>
      </c>
      <c r="T5" s="2">
        <v>0.0</v>
      </c>
      <c r="U5" s="2">
        <v>3.0</v>
      </c>
    </row>
    <row r="6" ht="15.75" customHeight="1">
      <c r="A6" s="2" t="s">
        <v>21</v>
      </c>
      <c r="B6" s="2" t="s">
        <v>54</v>
      </c>
      <c r="C6" s="2" t="s">
        <v>23</v>
      </c>
      <c r="D6" s="2">
        <v>2.0</v>
      </c>
      <c r="E6" s="2">
        <v>-0.5341</v>
      </c>
      <c r="F6" s="2" t="s">
        <v>40</v>
      </c>
      <c r="G6" s="2">
        <v>0.5341</v>
      </c>
      <c r="H6" s="2" t="s">
        <v>25</v>
      </c>
      <c r="I6" s="2" t="s">
        <v>26</v>
      </c>
      <c r="J6" s="2" t="s">
        <v>27</v>
      </c>
      <c r="K6" s="2" t="s">
        <v>55</v>
      </c>
      <c r="L6" s="2" t="s">
        <v>55</v>
      </c>
      <c r="M6" s="2" t="s">
        <v>56</v>
      </c>
      <c r="N6" s="2" t="s">
        <v>57</v>
      </c>
      <c r="O6" s="2">
        <v>0.6981</v>
      </c>
      <c r="Q6" s="2">
        <v>3.0</v>
      </c>
      <c r="R6" s="2" t="s">
        <v>32</v>
      </c>
      <c r="S6" s="2">
        <v>3.0</v>
      </c>
      <c r="T6" s="2">
        <v>0.0</v>
      </c>
      <c r="U6" s="2">
        <v>3.0</v>
      </c>
    </row>
    <row r="7" ht="15.75" customHeight="1">
      <c r="A7" s="2" t="s">
        <v>21</v>
      </c>
      <c r="B7" s="2" t="s">
        <v>58</v>
      </c>
      <c r="C7" s="2" t="s">
        <v>23</v>
      </c>
      <c r="D7" s="2">
        <v>2.0</v>
      </c>
      <c r="E7" s="2">
        <v>-0.7776</v>
      </c>
      <c r="F7" s="2" t="s">
        <v>40</v>
      </c>
      <c r="G7" s="2">
        <v>0.7776</v>
      </c>
      <c r="H7" s="2" t="s">
        <v>25</v>
      </c>
      <c r="I7" s="2" t="s">
        <v>26</v>
      </c>
      <c r="J7" s="2" t="s">
        <v>27</v>
      </c>
      <c r="K7" s="2" t="s">
        <v>59</v>
      </c>
      <c r="L7" s="2" t="s">
        <v>59</v>
      </c>
      <c r="M7" s="2" t="s">
        <v>60</v>
      </c>
      <c r="N7" s="2" t="s">
        <v>61</v>
      </c>
      <c r="O7" s="2">
        <v>0.2805</v>
      </c>
      <c r="Q7" s="2">
        <v>5.0</v>
      </c>
      <c r="R7" s="2" t="s">
        <v>38</v>
      </c>
      <c r="S7" s="2">
        <v>3.0</v>
      </c>
      <c r="T7" s="2">
        <v>0.0</v>
      </c>
      <c r="U7" s="2">
        <v>3.0</v>
      </c>
    </row>
    <row r="8" ht="15.75" customHeight="1">
      <c r="A8" s="2" t="s">
        <v>21</v>
      </c>
      <c r="B8" s="2" t="s">
        <v>62</v>
      </c>
      <c r="C8" s="2" t="s">
        <v>23</v>
      </c>
      <c r="D8" s="2">
        <v>2.0</v>
      </c>
      <c r="E8" s="2">
        <v>-0.5046</v>
      </c>
      <c r="F8" s="2" t="s">
        <v>40</v>
      </c>
      <c r="G8" s="2">
        <v>0.5046</v>
      </c>
      <c r="H8" s="2" t="s">
        <v>25</v>
      </c>
      <c r="I8" s="2" t="s">
        <v>26</v>
      </c>
      <c r="J8" s="2" t="s">
        <v>27</v>
      </c>
      <c r="K8" s="2" t="s">
        <v>63</v>
      </c>
      <c r="L8" s="2" t="s">
        <v>63</v>
      </c>
      <c r="M8" s="2" t="s">
        <v>64</v>
      </c>
      <c r="N8" s="2" t="s">
        <v>65</v>
      </c>
      <c r="O8" s="2">
        <v>0.1782</v>
      </c>
      <c r="Q8" s="2">
        <v>4.0</v>
      </c>
      <c r="R8" s="2" t="s">
        <v>32</v>
      </c>
      <c r="S8" s="2">
        <v>1.0</v>
      </c>
      <c r="T8" s="2">
        <v>0.0</v>
      </c>
      <c r="U8" s="2">
        <v>3.0</v>
      </c>
    </row>
    <row r="9" ht="15.75" customHeight="1">
      <c r="A9" s="2" t="s">
        <v>21</v>
      </c>
      <c r="B9" s="2" t="s">
        <v>66</v>
      </c>
      <c r="C9" s="2" t="s">
        <v>23</v>
      </c>
      <c r="D9" s="2">
        <v>2.0</v>
      </c>
      <c r="E9" s="2">
        <v>0.0</v>
      </c>
      <c r="F9" s="2" t="s">
        <v>24</v>
      </c>
      <c r="G9" s="2">
        <v>0.5082</v>
      </c>
      <c r="H9" s="2" t="s">
        <v>41</v>
      </c>
      <c r="I9" s="2" t="s">
        <v>26</v>
      </c>
      <c r="J9" s="2" t="s">
        <v>67</v>
      </c>
      <c r="K9" s="2" t="s">
        <v>68</v>
      </c>
      <c r="L9" s="2" t="s">
        <v>68</v>
      </c>
      <c r="M9" s="2" t="s">
        <v>69</v>
      </c>
      <c r="N9" s="2" t="s">
        <v>70</v>
      </c>
      <c r="O9" s="2">
        <v>0.502</v>
      </c>
      <c r="Q9" s="2">
        <v>8.5</v>
      </c>
      <c r="R9" s="2" t="s">
        <v>71</v>
      </c>
      <c r="S9" s="2">
        <v>0.5</v>
      </c>
      <c r="T9" s="2">
        <v>0.0</v>
      </c>
      <c r="U9" s="2">
        <v>3.0</v>
      </c>
    </row>
    <row r="10" ht="15.75" customHeight="1">
      <c r="A10" s="2" t="s">
        <v>21</v>
      </c>
      <c r="B10" s="2" t="s">
        <v>72</v>
      </c>
      <c r="C10" s="2" t="s">
        <v>23</v>
      </c>
      <c r="D10" s="2">
        <v>4.0</v>
      </c>
      <c r="E10" s="2">
        <v>0.0</v>
      </c>
      <c r="F10" s="2" t="s">
        <v>24</v>
      </c>
      <c r="G10" s="2">
        <v>0.485</v>
      </c>
      <c r="H10" s="2" t="s">
        <v>25</v>
      </c>
      <c r="I10" s="2" t="s">
        <v>26</v>
      </c>
      <c r="J10" s="2" t="s">
        <v>27</v>
      </c>
      <c r="K10" s="2" t="s">
        <v>50</v>
      </c>
      <c r="L10" s="2" t="s">
        <v>51</v>
      </c>
      <c r="M10" s="2" t="s">
        <v>73</v>
      </c>
      <c r="N10" s="2" t="s">
        <v>74</v>
      </c>
      <c r="O10" s="2">
        <v>0.3233</v>
      </c>
      <c r="Q10" s="2">
        <v>8.5</v>
      </c>
      <c r="R10" s="2" t="s">
        <v>71</v>
      </c>
      <c r="S10" s="2">
        <v>0.0</v>
      </c>
      <c r="T10" s="2">
        <v>0.0</v>
      </c>
      <c r="U10" s="2">
        <v>3.0</v>
      </c>
    </row>
    <row r="11" ht="15.75" customHeight="1">
      <c r="A11" s="2" t="s">
        <v>21</v>
      </c>
      <c r="B11" s="2" t="s">
        <v>75</v>
      </c>
      <c r="C11" s="2" t="s">
        <v>23</v>
      </c>
      <c r="D11" s="2">
        <v>1.0</v>
      </c>
      <c r="E11" s="2">
        <v>0.0</v>
      </c>
      <c r="F11" s="2" t="s">
        <v>24</v>
      </c>
      <c r="G11" s="2">
        <v>0.5044</v>
      </c>
      <c r="H11" s="2" t="s">
        <v>76</v>
      </c>
      <c r="I11" s="2" t="s">
        <v>26</v>
      </c>
      <c r="J11" s="2" t="s">
        <v>77</v>
      </c>
      <c r="K11" s="2" t="s">
        <v>43</v>
      </c>
      <c r="L11" s="2" t="s">
        <v>43</v>
      </c>
      <c r="M11" s="2" t="s">
        <v>78</v>
      </c>
      <c r="N11" s="2" t="s">
        <v>79</v>
      </c>
      <c r="O11" s="2">
        <v>0.3608</v>
      </c>
      <c r="Q11" s="2">
        <v>8.5</v>
      </c>
      <c r="R11" s="2" t="s">
        <v>71</v>
      </c>
      <c r="S11" s="2">
        <v>0.5</v>
      </c>
      <c r="T11" s="2">
        <v>0.0</v>
      </c>
      <c r="U11" s="2">
        <v>3.0</v>
      </c>
    </row>
    <row r="12" ht="15.75" customHeight="1">
      <c r="A12" s="2" t="s">
        <v>21</v>
      </c>
      <c r="B12" s="2" t="s">
        <v>80</v>
      </c>
      <c r="C12" s="2" t="s">
        <v>23</v>
      </c>
      <c r="D12" s="2">
        <v>2.0</v>
      </c>
      <c r="E12" s="2">
        <v>-0.6758</v>
      </c>
      <c r="F12" s="2" t="s">
        <v>40</v>
      </c>
      <c r="G12" s="2">
        <v>0.6758</v>
      </c>
      <c r="H12" s="2" t="s">
        <v>25</v>
      </c>
      <c r="I12" s="2" t="s">
        <v>26</v>
      </c>
      <c r="J12" s="2" t="s">
        <v>27</v>
      </c>
      <c r="K12" s="2" t="s">
        <v>81</v>
      </c>
      <c r="L12" s="2" t="s">
        <v>81</v>
      </c>
      <c r="M12" s="2" t="s">
        <v>82</v>
      </c>
      <c r="N12" s="2" t="s">
        <v>83</v>
      </c>
      <c r="O12" s="2">
        <v>0.2693</v>
      </c>
      <c r="Q12" s="2">
        <v>8.5</v>
      </c>
      <c r="R12" s="2" t="s">
        <v>71</v>
      </c>
      <c r="S12" s="2">
        <v>0.5</v>
      </c>
      <c r="T12" s="2">
        <v>0.0</v>
      </c>
      <c r="U12" s="2">
        <v>3.0</v>
      </c>
    </row>
    <row r="13" ht="15.75" customHeight="1">
      <c r="A13" s="2" t="s">
        <v>21</v>
      </c>
      <c r="B13" s="2" t="s">
        <v>84</v>
      </c>
      <c r="C13" s="2" t="s">
        <v>23</v>
      </c>
      <c r="D13" s="2">
        <v>2.0</v>
      </c>
      <c r="E13" s="2">
        <v>-0.6355</v>
      </c>
      <c r="F13" s="2" t="s">
        <v>40</v>
      </c>
      <c r="G13" s="2">
        <v>0.6355</v>
      </c>
      <c r="H13" s="2" t="s">
        <v>41</v>
      </c>
      <c r="I13" s="2" t="s">
        <v>26</v>
      </c>
      <c r="J13" s="2" t="s">
        <v>67</v>
      </c>
      <c r="K13" s="2" t="s">
        <v>85</v>
      </c>
      <c r="L13" s="2" t="s">
        <v>86</v>
      </c>
      <c r="M13" s="2" t="s">
        <v>87</v>
      </c>
      <c r="N13" s="2" t="s">
        <v>88</v>
      </c>
      <c r="O13" s="2">
        <v>0.8851</v>
      </c>
      <c r="Q13" s="2">
        <v>8.5</v>
      </c>
      <c r="R13" s="2" t="s">
        <v>38</v>
      </c>
      <c r="S13" s="2">
        <v>3.5</v>
      </c>
      <c r="T13" s="2">
        <v>0.0</v>
      </c>
      <c r="U13" s="2">
        <v>3.0</v>
      </c>
    </row>
    <row r="14" ht="15.75" customHeight="1">
      <c r="A14" s="2" t="s">
        <v>21</v>
      </c>
      <c r="B14" s="2" t="s">
        <v>89</v>
      </c>
      <c r="C14" s="2" t="s">
        <v>23</v>
      </c>
      <c r="D14" s="2">
        <v>4.0</v>
      </c>
      <c r="E14" s="2">
        <v>-0.4859</v>
      </c>
      <c r="F14" s="2" t="s">
        <v>40</v>
      </c>
      <c r="G14" s="2">
        <v>0.4859</v>
      </c>
      <c r="H14" s="2" t="s">
        <v>25</v>
      </c>
      <c r="I14" s="2" t="s">
        <v>26</v>
      </c>
      <c r="J14" s="2" t="s">
        <v>27</v>
      </c>
      <c r="K14" s="2" t="s">
        <v>90</v>
      </c>
      <c r="L14" s="2" t="s">
        <v>43</v>
      </c>
      <c r="M14" s="2" t="s">
        <v>91</v>
      </c>
      <c r="N14" s="2" t="s">
        <v>92</v>
      </c>
      <c r="O14" s="2">
        <v>0.3933</v>
      </c>
      <c r="Q14" s="2">
        <v>8.5</v>
      </c>
      <c r="R14" s="2" t="s">
        <v>38</v>
      </c>
      <c r="S14" s="2">
        <v>6.5</v>
      </c>
      <c r="T14" s="2">
        <v>0.0</v>
      </c>
      <c r="U14" s="2">
        <v>3.0</v>
      </c>
    </row>
    <row r="15" ht="15.75" customHeight="1">
      <c r="A15" s="2" t="s">
        <v>21</v>
      </c>
      <c r="B15" s="2" t="s">
        <v>93</v>
      </c>
      <c r="C15" s="2" t="s">
        <v>23</v>
      </c>
      <c r="D15" s="2">
        <v>2.0</v>
      </c>
      <c r="E15" s="2">
        <v>0.0</v>
      </c>
      <c r="F15" s="2" t="s">
        <v>24</v>
      </c>
      <c r="G15" s="2">
        <v>0.6007</v>
      </c>
      <c r="H15" s="2" t="s">
        <v>25</v>
      </c>
      <c r="I15" s="2" t="s">
        <v>26</v>
      </c>
      <c r="J15" s="2" t="s">
        <v>27</v>
      </c>
      <c r="K15" s="2" t="s">
        <v>86</v>
      </c>
      <c r="L15" s="2" t="s">
        <v>86</v>
      </c>
      <c r="M15" s="2" t="s">
        <v>94</v>
      </c>
      <c r="N15" s="2" t="s">
        <v>95</v>
      </c>
      <c r="O15" s="2">
        <v>0.9465</v>
      </c>
      <c r="Q15" s="2">
        <v>8.5</v>
      </c>
      <c r="R15" s="2" t="s">
        <v>38</v>
      </c>
      <c r="S15" s="2">
        <v>2.5</v>
      </c>
      <c r="T15" s="2">
        <v>0.0</v>
      </c>
      <c r="U15" s="2">
        <v>3.0</v>
      </c>
    </row>
    <row r="16" ht="15.75" customHeight="1">
      <c r="A16" s="2" t="s">
        <v>21</v>
      </c>
      <c r="B16" s="2" t="s">
        <v>96</v>
      </c>
      <c r="C16" s="2" t="s">
        <v>23</v>
      </c>
      <c r="D16" s="2">
        <v>1.0</v>
      </c>
      <c r="E16" s="2">
        <v>-0.8026</v>
      </c>
      <c r="F16" s="2" t="s">
        <v>40</v>
      </c>
      <c r="G16" s="2">
        <v>0.8026</v>
      </c>
      <c r="H16" s="2" t="s">
        <v>76</v>
      </c>
      <c r="I16" s="2" t="s">
        <v>26</v>
      </c>
      <c r="J16" s="2" t="s">
        <v>77</v>
      </c>
      <c r="K16" s="2" t="s">
        <v>97</v>
      </c>
      <c r="L16" s="2" t="s">
        <v>97</v>
      </c>
      <c r="M16" s="2" t="s">
        <v>98</v>
      </c>
      <c r="N16" s="2" t="s">
        <v>99</v>
      </c>
      <c r="O16" s="2">
        <v>0.4865</v>
      </c>
      <c r="Q16" s="2">
        <v>8.5</v>
      </c>
      <c r="R16" s="2" t="s">
        <v>38</v>
      </c>
      <c r="S16" s="2">
        <v>2.5</v>
      </c>
      <c r="T16" s="2">
        <v>0.0</v>
      </c>
      <c r="U16" s="2">
        <v>3.0</v>
      </c>
    </row>
    <row r="17" ht="15.75" customHeight="1">
      <c r="A17" s="2" t="s">
        <v>21</v>
      </c>
      <c r="B17" s="2" t="s">
        <v>100</v>
      </c>
      <c r="C17" s="2" t="s">
        <v>23</v>
      </c>
      <c r="D17" s="2">
        <v>4.0</v>
      </c>
      <c r="E17" s="2">
        <v>-0.9036</v>
      </c>
      <c r="F17" s="2" t="s">
        <v>40</v>
      </c>
      <c r="G17" s="2">
        <v>0.9036</v>
      </c>
      <c r="H17" s="2" t="s">
        <v>41</v>
      </c>
      <c r="I17" s="2" t="s">
        <v>26</v>
      </c>
      <c r="J17" s="2" t="s">
        <v>42</v>
      </c>
      <c r="K17" s="2" t="s">
        <v>63</v>
      </c>
      <c r="L17" s="2" t="s">
        <v>63</v>
      </c>
      <c r="M17" s="2" t="s">
        <v>101</v>
      </c>
      <c r="N17" s="2" t="s">
        <v>102</v>
      </c>
      <c r="O17" s="2">
        <v>0.3533</v>
      </c>
      <c r="Q17" s="2">
        <v>5.0</v>
      </c>
      <c r="R17" s="2" t="s">
        <v>32</v>
      </c>
      <c r="S17" s="2">
        <v>1.5</v>
      </c>
      <c r="T17" s="2">
        <v>0.0</v>
      </c>
      <c r="U17" s="2">
        <v>3.0</v>
      </c>
    </row>
    <row r="18" ht="15.75" customHeight="1">
      <c r="A18" s="2" t="s">
        <v>21</v>
      </c>
      <c r="B18" s="2" t="s">
        <v>103</v>
      </c>
      <c r="C18" s="2" t="s">
        <v>23</v>
      </c>
      <c r="D18" s="2">
        <v>4.0</v>
      </c>
      <c r="E18" s="2">
        <v>-0.5741</v>
      </c>
      <c r="F18" s="2" t="s">
        <v>40</v>
      </c>
      <c r="G18" s="2">
        <v>0.5741</v>
      </c>
      <c r="H18" s="2" t="s">
        <v>104</v>
      </c>
      <c r="I18" s="2" t="s">
        <v>26</v>
      </c>
      <c r="J18" s="2" t="s">
        <v>105</v>
      </c>
      <c r="K18" s="2" t="s">
        <v>50</v>
      </c>
      <c r="L18" s="2" t="s">
        <v>51</v>
      </c>
      <c r="M18" s="2" t="s">
        <v>106</v>
      </c>
      <c r="N18" s="2" t="s">
        <v>107</v>
      </c>
      <c r="O18" s="2">
        <v>0.4121</v>
      </c>
      <c r="Q18" s="2">
        <v>6.5</v>
      </c>
      <c r="R18" s="2" t="s">
        <v>38</v>
      </c>
      <c r="S18" s="2">
        <v>3.5</v>
      </c>
      <c r="T18" s="2">
        <v>0.0</v>
      </c>
      <c r="U18" s="2">
        <v>3.0</v>
      </c>
    </row>
    <row r="19" ht="15.75" customHeight="1">
      <c r="A19" s="2" t="s">
        <v>21</v>
      </c>
      <c r="B19" s="2" t="s">
        <v>108</v>
      </c>
      <c r="C19" s="2" t="s">
        <v>23</v>
      </c>
      <c r="D19" s="2">
        <v>4.0</v>
      </c>
      <c r="E19" s="2">
        <v>-0.6606</v>
      </c>
      <c r="F19" s="2" t="s">
        <v>40</v>
      </c>
      <c r="G19" s="2">
        <v>0.6606</v>
      </c>
      <c r="H19" s="2" t="s">
        <v>76</v>
      </c>
      <c r="I19" s="2" t="s">
        <v>26</v>
      </c>
      <c r="J19" s="2" t="s">
        <v>77</v>
      </c>
      <c r="K19" s="2" t="s">
        <v>63</v>
      </c>
      <c r="L19" s="2" t="s">
        <v>63</v>
      </c>
      <c r="M19" s="2" t="s">
        <v>109</v>
      </c>
      <c r="N19" s="2" t="s">
        <v>110</v>
      </c>
      <c r="O19" s="2">
        <v>0.2497</v>
      </c>
      <c r="Q19" s="2">
        <v>6.5</v>
      </c>
      <c r="R19" s="2" t="s">
        <v>38</v>
      </c>
      <c r="S19" s="2">
        <v>2.5</v>
      </c>
      <c r="T19" s="2">
        <v>0.0</v>
      </c>
      <c r="U19" s="2">
        <v>3.0</v>
      </c>
    </row>
    <row r="20" ht="15.75" customHeight="1">
      <c r="A20" s="2" t="s">
        <v>21</v>
      </c>
      <c r="B20" s="2" t="s">
        <v>111</v>
      </c>
      <c r="C20" s="2" t="s">
        <v>23</v>
      </c>
      <c r="D20" s="2">
        <v>2.0</v>
      </c>
      <c r="E20" s="2">
        <v>0.0</v>
      </c>
      <c r="F20" s="2" t="s">
        <v>24</v>
      </c>
      <c r="G20" s="2">
        <v>0.687</v>
      </c>
      <c r="H20" s="2" t="s">
        <v>25</v>
      </c>
      <c r="I20" s="2" t="s">
        <v>26</v>
      </c>
      <c r="J20" s="2" t="s">
        <v>27</v>
      </c>
      <c r="K20" s="2" t="s">
        <v>112</v>
      </c>
      <c r="L20" s="2" t="s">
        <v>112</v>
      </c>
      <c r="M20" s="2" t="s">
        <v>113</v>
      </c>
      <c r="N20" s="2" t="s">
        <v>114</v>
      </c>
      <c r="O20" s="2">
        <v>0.4115</v>
      </c>
      <c r="Q20" s="2">
        <v>8.5</v>
      </c>
      <c r="R20" s="2" t="s">
        <v>71</v>
      </c>
      <c r="S20" s="2">
        <v>0.5</v>
      </c>
      <c r="T20" s="2">
        <v>0.0</v>
      </c>
      <c r="U20" s="2">
        <v>3.0</v>
      </c>
    </row>
    <row r="21" ht="15.75" customHeight="1">
      <c r="A21" s="2" t="s">
        <v>21</v>
      </c>
      <c r="B21" s="2" t="s">
        <v>115</v>
      </c>
      <c r="C21" s="2" t="s">
        <v>23</v>
      </c>
      <c r="D21" s="2">
        <v>2.0</v>
      </c>
      <c r="E21" s="2">
        <v>-0.7243</v>
      </c>
      <c r="F21" s="2" t="s">
        <v>40</v>
      </c>
      <c r="G21" s="2">
        <v>0.7243</v>
      </c>
      <c r="H21" s="2" t="s">
        <v>25</v>
      </c>
      <c r="I21" s="2" t="s">
        <v>26</v>
      </c>
      <c r="J21" s="2" t="s">
        <v>27</v>
      </c>
      <c r="K21" s="2" t="s">
        <v>116</v>
      </c>
      <c r="L21" s="2" t="s">
        <v>116</v>
      </c>
      <c r="M21" s="2" t="s">
        <v>117</v>
      </c>
      <c r="N21" s="2" t="s">
        <v>118</v>
      </c>
      <c r="O21" s="2">
        <v>0.5125</v>
      </c>
      <c r="Q21" s="2">
        <v>8.0</v>
      </c>
      <c r="R21" s="2" t="s">
        <v>71</v>
      </c>
      <c r="S21" s="2">
        <v>0.0</v>
      </c>
      <c r="T21" s="2">
        <v>0.0</v>
      </c>
      <c r="U21" s="2">
        <v>3.0</v>
      </c>
    </row>
    <row r="22" ht="15.75" customHeight="1">
      <c r="A22" s="2" t="s">
        <v>21</v>
      </c>
      <c r="B22" s="2" t="s">
        <v>119</v>
      </c>
      <c r="C22" s="2" t="s">
        <v>23</v>
      </c>
      <c r="D22" s="2">
        <v>2.0</v>
      </c>
      <c r="E22" s="2">
        <v>0.0</v>
      </c>
      <c r="F22" s="2" t="s">
        <v>24</v>
      </c>
      <c r="G22" s="2">
        <v>0.516</v>
      </c>
      <c r="H22" s="2" t="s">
        <v>25</v>
      </c>
      <c r="I22" s="2" t="s">
        <v>26</v>
      </c>
      <c r="J22" s="2" t="s">
        <v>27</v>
      </c>
      <c r="K22" s="2" t="s">
        <v>63</v>
      </c>
      <c r="L22" s="2" t="s">
        <v>63</v>
      </c>
      <c r="M22" s="2" t="s">
        <v>120</v>
      </c>
      <c r="N22" s="2" t="s">
        <v>121</v>
      </c>
      <c r="O22" s="2">
        <v>0.5198</v>
      </c>
      <c r="Q22" s="2">
        <v>8.5</v>
      </c>
      <c r="R22" s="2" t="s">
        <v>71</v>
      </c>
      <c r="S22" s="2">
        <v>0.5</v>
      </c>
      <c r="T22" s="2">
        <v>0.0</v>
      </c>
      <c r="U22" s="2">
        <v>3.0</v>
      </c>
    </row>
    <row r="23" ht="15.75" customHeight="1">
      <c r="A23" s="2" t="s">
        <v>21</v>
      </c>
      <c r="B23" s="2" t="s">
        <v>122</v>
      </c>
      <c r="C23" s="2" t="s">
        <v>23</v>
      </c>
      <c r="D23" s="2">
        <v>1.0</v>
      </c>
      <c r="E23" s="2">
        <v>-0.961</v>
      </c>
      <c r="F23" s="2" t="s">
        <v>40</v>
      </c>
      <c r="G23" s="2">
        <v>0.961</v>
      </c>
      <c r="H23" s="2" t="s">
        <v>76</v>
      </c>
      <c r="I23" s="2" t="s">
        <v>26</v>
      </c>
      <c r="J23" s="2" t="s">
        <v>77</v>
      </c>
      <c r="K23" s="2" t="s">
        <v>112</v>
      </c>
      <c r="L23" s="2" t="s">
        <v>112</v>
      </c>
      <c r="M23" s="2" t="s">
        <v>123</v>
      </c>
      <c r="N23" s="2" t="s">
        <v>124</v>
      </c>
      <c r="O23" s="2">
        <v>0.3651</v>
      </c>
      <c r="Q23" s="2">
        <v>6.5</v>
      </c>
      <c r="R23" s="2" t="s">
        <v>71</v>
      </c>
      <c r="S23" s="2">
        <v>0.5</v>
      </c>
      <c r="T23" s="2">
        <v>0.0</v>
      </c>
      <c r="U23" s="2">
        <v>3.0</v>
      </c>
    </row>
    <row r="24" ht="15.75" customHeight="1">
      <c r="A24" s="2" t="s">
        <v>21</v>
      </c>
      <c r="B24" s="2" t="s">
        <v>125</v>
      </c>
      <c r="C24" s="2" t="s">
        <v>23</v>
      </c>
      <c r="D24" s="2">
        <v>4.0</v>
      </c>
      <c r="E24" s="2">
        <v>-0.5326</v>
      </c>
      <c r="F24" s="2" t="s">
        <v>40</v>
      </c>
      <c r="G24" s="2">
        <v>0.5326</v>
      </c>
      <c r="H24" s="2" t="s">
        <v>41</v>
      </c>
      <c r="I24" s="2" t="s">
        <v>26</v>
      </c>
      <c r="J24" s="2" t="s">
        <v>42</v>
      </c>
      <c r="K24" s="2" t="s">
        <v>43</v>
      </c>
      <c r="L24" s="2" t="s">
        <v>43</v>
      </c>
      <c r="M24" s="2" t="s">
        <v>126</v>
      </c>
      <c r="N24" s="2" t="s">
        <v>127</v>
      </c>
      <c r="O24" s="2">
        <v>0.2916</v>
      </c>
      <c r="Q24" s="2">
        <v>7.0</v>
      </c>
      <c r="R24" s="2" t="s">
        <v>71</v>
      </c>
      <c r="S24" s="2">
        <v>0.0</v>
      </c>
      <c r="T24" s="2">
        <v>0.0</v>
      </c>
      <c r="U24" s="2">
        <v>3.0</v>
      </c>
    </row>
    <row r="25" ht="15.75" customHeight="1">
      <c r="A25" s="2" t="s">
        <v>21</v>
      </c>
      <c r="B25" s="2" t="s">
        <v>128</v>
      </c>
      <c r="C25" s="2" t="s">
        <v>23</v>
      </c>
      <c r="D25" s="2">
        <v>2.0</v>
      </c>
      <c r="E25" s="2">
        <v>-0.9121</v>
      </c>
      <c r="F25" s="2" t="s">
        <v>40</v>
      </c>
      <c r="G25" s="2">
        <v>0.9121</v>
      </c>
      <c r="H25" s="2" t="s">
        <v>25</v>
      </c>
      <c r="I25" s="2" t="s">
        <v>26</v>
      </c>
      <c r="J25" s="2" t="s">
        <v>27</v>
      </c>
      <c r="K25" s="2" t="s">
        <v>63</v>
      </c>
      <c r="L25" s="2" t="s">
        <v>63</v>
      </c>
      <c r="M25" s="2" t="s">
        <v>129</v>
      </c>
      <c r="N25" s="2" t="s">
        <v>130</v>
      </c>
      <c r="O25" s="2">
        <v>0.3339</v>
      </c>
      <c r="Q25" s="2">
        <v>4.0</v>
      </c>
      <c r="R25" s="2" t="s">
        <v>32</v>
      </c>
      <c r="S25" s="2">
        <v>2.0</v>
      </c>
      <c r="T25" s="2">
        <v>0.0</v>
      </c>
      <c r="U25" s="2">
        <v>3.0</v>
      </c>
    </row>
    <row r="26" ht="15.75" customHeight="1">
      <c r="A26" s="2" t="s">
        <v>21</v>
      </c>
      <c r="B26" s="2" t="s">
        <v>131</v>
      </c>
      <c r="C26" s="2" t="s">
        <v>23</v>
      </c>
      <c r="D26" s="2">
        <v>1.0</v>
      </c>
      <c r="E26" s="2">
        <v>0.0</v>
      </c>
      <c r="F26" s="2" t="s">
        <v>24</v>
      </c>
      <c r="G26" s="2">
        <v>0.7103</v>
      </c>
      <c r="H26" s="2" t="s">
        <v>76</v>
      </c>
      <c r="I26" s="2" t="s">
        <v>26</v>
      </c>
      <c r="J26" s="2" t="s">
        <v>77</v>
      </c>
      <c r="K26" s="2" t="s">
        <v>112</v>
      </c>
      <c r="L26" s="2" t="s">
        <v>112</v>
      </c>
      <c r="M26" s="2" t="s">
        <v>132</v>
      </c>
      <c r="N26" s="2" t="s">
        <v>133</v>
      </c>
      <c r="O26" s="2">
        <v>0.3291</v>
      </c>
      <c r="Q26" s="2">
        <v>8.5</v>
      </c>
      <c r="R26" s="2" t="s">
        <v>71</v>
      </c>
      <c r="S26" s="2">
        <v>0.5</v>
      </c>
      <c r="T26" s="2">
        <v>0.0</v>
      </c>
      <c r="U26" s="2">
        <v>3.0</v>
      </c>
    </row>
    <row r="27" ht="15.75" customHeight="1">
      <c r="A27" s="2" t="s">
        <v>21</v>
      </c>
      <c r="B27" s="2" t="s">
        <v>134</v>
      </c>
      <c r="C27" s="2" t="s">
        <v>23</v>
      </c>
      <c r="D27" s="2">
        <v>1.0</v>
      </c>
      <c r="E27" s="2">
        <v>-0.7033</v>
      </c>
      <c r="F27" s="2" t="s">
        <v>40</v>
      </c>
      <c r="G27" s="2">
        <v>0.7033</v>
      </c>
      <c r="H27" s="2" t="s">
        <v>76</v>
      </c>
      <c r="I27" s="2" t="s">
        <v>26</v>
      </c>
      <c r="J27" s="2" t="s">
        <v>77</v>
      </c>
      <c r="K27" s="2" t="s">
        <v>90</v>
      </c>
      <c r="L27" s="2" t="s">
        <v>43</v>
      </c>
      <c r="M27" s="2" t="s">
        <v>135</v>
      </c>
      <c r="N27" s="2" t="s">
        <v>136</v>
      </c>
      <c r="O27" s="2">
        <v>0.4581</v>
      </c>
      <c r="Q27" s="2">
        <v>6.5</v>
      </c>
      <c r="R27" s="2" t="s">
        <v>38</v>
      </c>
      <c r="S27" s="2">
        <v>4.5</v>
      </c>
      <c r="T27" s="2">
        <v>0.0</v>
      </c>
      <c r="U27" s="2">
        <v>3.0</v>
      </c>
    </row>
    <row r="28" ht="15.75" customHeight="1">
      <c r="A28" s="2" t="s">
        <v>21</v>
      </c>
      <c r="B28" s="2" t="s">
        <v>137</v>
      </c>
      <c r="C28" s="2" t="s">
        <v>23</v>
      </c>
      <c r="D28" s="2">
        <v>5.0</v>
      </c>
      <c r="E28" s="2">
        <v>-0.5279</v>
      </c>
      <c r="F28" s="2" t="s">
        <v>40</v>
      </c>
      <c r="G28" s="2">
        <v>0.5279</v>
      </c>
      <c r="H28" s="2" t="s">
        <v>138</v>
      </c>
      <c r="I28" s="2" t="s">
        <v>139</v>
      </c>
      <c r="J28" s="2" t="s">
        <v>140</v>
      </c>
      <c r="K28" s="2" t="s">
        <v>90</v>
      </c>
      <c r="L28" s="2" t="s">
        <v>43</v>
      </c>
      <c r="M28" s="2" t="s">
        <v>141</v>
      </c>
      <c r="N28" s="2" t="s">
        <v>142</v>
      </c>
      <c r="O28" s="2">
        <v>1.0</v>
      </c>
      <c r="Q28" s="2">
        <v>6.5</v>
      </c>
      <c r="R28" s="2" t="s">
        <v>38</v>
      </c>
      <c r="S28" s="2">
        <v>6.5</v>
      </c>
      <c r="T28" s="2">
        <v>0.0</v>
      </c>
      <c r="U28" s="2">
        <v>3.0</v>
      </c>
    </row>
    <row r="29" ht="15.75" customHeight="1">
      <c r="A29" s="2" t="s">
        <v>21</v>
      </c>
      <c r="B29" s="2" t="s">
        <v>143</v>
      </c>
      <c r="C29" s="2" t="s">
        <v>23</v>
      </c>
      <c r="D29" s="2">
        <v>5.0</v>
      </c>
      <c r="E29" s="2">
        <v>0.0</v>
      </c>
      <c r="F29" s="2" t="s">
        <v>24</v>
      </c>
      <c r="G29" s="2">
        <v>0.7039</v>
      </c>
      <c r="H29" s="2" t="s">
        <v>25</v>
      </c>
      <c r="I29" s="2" t="s">
        <v>26</v>
      </c>
      <c r="J29" s="2" t="s">
        <v>27</v>
      </c>
      <c r="K29" s="2" t="s">
        <v>90</v>
      </c>
      <c r="L29" s="2" t="s">
        <v>43</v>
      </c>
      <c r="M29" s="2" t="s">
        <v>144</v>
      </c>
      <c r="N29" s="2" t="s">
        <v>145</v>
      </c>
      <c r="O29" s="2">
        <v>0.8372</v>
      </c>
      <c r="Q29" s="2">
        <v>5.5</v>
      </c>
      <c r="R29" s="2" t="s">
        <v>71</v>
      </c>
      <c r="S29" s="2">
        <v>0.0</v>
      </c>
      <c r="T29" s="2">
        <v>0.0</v>
      </c>
      <c r="U29" s="2">
        <v>3.0</v>
      </c>
    </row>
    <row r="30" ht="15.75" customHeight="1">
      <c r="A30" s="2" t="s">
        <v>21</v>
      </c>
      <c r="B30" s="2" t="s">
        <v>146</v>
      </c>
      <c r="C30" s="2" t="s">
        <v>23</v>
      </c>
      <c r="D30" s="2">
        <v>4.0</v>
      </c>
      <c r="E30" s="2">
        <v>-0.7794</v>
      </c>
      <c r="F30" s="2" t="s">
        <v>40</v>
      </c>
      <c r="G30" s="2">
        <v>0.7794</v>
      </c>
      <c r="H30" s="2" t="s">
        <v>76</v>
      </c>
      <c r="I30" s="2" t="s">
        <v>26</v>
      </c>
      <c r="J30" s="2" t="s">
        <v>77</v>
      </c>
      <c r="K30" s="2" t="s">
        <v>63</v>
      </c>
      <c r="L30" s="2" t="s">
        <v>63</v>
      </c>
      <c r="M30" s="2" t="s">
        <v>147</v>
      </c>
      <c r="N30" s="2" t="s">
        <v>148</v>
      </c>
      <c r="O30" s="2">
        <v>0.3689</v>
      </c>
      <c r="Q30" s="2">
        <v>5.0</v>
      </c>
      <c r="R30" s="2" t="s">
        <v>71</v>
      </c>
      <c r="S30" s="2">
        <v>0.0</v>
      </c>
      <c r="T30" s="2">
        <v>0.0</v>
      </c>
      <c r="U30" s="2">
        <v>3.0</v>
      </c>
    </row>
    <row r="31" ht="15.75" customHeight="1">
      <c r="A31" s="2" t="s">
        <v>21</v>
      </c>
      <c r="B31" s="2" t="s">
        <v>149</v>
      </c>
      <c r="C31" s="2" t="s">
        <v>23</v>
      </c>
      <c r="D31" s="2">
        <v>2.0</v>
      </c>
      <c r="E31" s="2">
        <v>-0.7915</v>
      </c>
      <c r="F31" s="2" t="s">
        <v>40</v>
      </c>
      <c r="G31" s="2">
        <v>0.7915</v>
      </c>
      <c r="H31" s="2" t="s">
        <v>25</v>
      </c>
      <c r="I31" s="2" t="s">
        <v>26</v>
      </c>
      <c r="J31" s="2" t="s">
        <v>27</v>
      </c>
      <c r="K31" s="2" t="s">
        <v>150</v>
      </c>
      <c r="L31" s="2" t="s">
        <v>151</v>
      </c>
      <c r="M31" s="2" t="s">
        <v>152</v>
      </c>
      <c r="N31" s="2" t="s">
        <v>153</v>
      </c>
      <c r="O31" s="2">
        <v>0.4533</v>
      </c>
      <c r="Q31" s="2">
        <v>4.0</v>
      </c>
      <c r="R31" s="2" t="s">
        <v>32</v>
      </c>
      <c r="S31" s="2">
        <v>1.0</v>
      </c>
      <c r="T31" s="2">
        <v>0.0</v>
      </c>
      <c r="U31" s="2">
        <v>3.0</v>
      </c>
    </row>
    <row r="32" ht="15.75" customHeight="1">
      <c r="A32" s="2" t="s">
        <v>21</v>
      </c>
      <c r="B32" s="2" t="s">
        <v>154</v>
      </c>
      <c r="C32" s="2" t="s">
        <v>23</v>
      </c>
      <c r="D32" s="2">
        <v>1.0</v>
      </c>
      <c r="E32" s="2">
        <v>-0.7218</v>
      </c>
      <c r="F32" s="2" t="s">
        <v>40</v>
      </c>
      <c r="G32" s="2">
        <v>0.7218</v>
      </c>
      <c r="H32" s="2" t="s">
        <v>155</v>
      </c>
      <c r="I32" s="2" t="s">
        <v>26</v>
      </c>
      <c r="J32" s="2" t="s">
        <v>27</v>
      </c>
      <c r="M32" s="2" t="s">
        <v>156</v>
      </c>
      <c r="N32" s="2" t="s">
        <v>157</v>
      </c>
      <c r="O32" s="2">
        <v>0.3114</v>
      </c>
      <c r="Q32" s="2">
        <v>0.0</v>
      </c>
      <c r="R32" s="2" t="s">
        <v>158</v>
      </c>
      <c r="S32" s="2">
        <v>0.0</v>
      </c>
      <c r="T32" s="2">
        <v>0.0</v>
      </c>
      <c r="U32" s="2">
        <v>3.0</v>
      </c>
    </row>
    <row r="33" ht="15.75" customHeight="1">
      <c r="A33" s="2" t="s">
        <v>21</v>
      </c>
      <c r="B33" s="2" t="s">
        <v>159</v>
      </c>
      <c r="C33" s="2" t="s">
        <v>23</v>
      </c>
      <c r="D33" s="2">
        <v>4.0</v>
      </c>
      <c r="E33" s="2">
        <v>-0.811</v>
      </c>
      <c r="F33" s="2" t="s">
        <v>40</v>
      </c>
      <c r="G33" s="2">
        <v>0.811</v>
      </c>
      <c r="H33" s="2" t="s">
        <v>41</v>
      </c>
      <c r="I33" s="2" t="s">
        <v>26</v>
      </c>
      <c r="J33" s="2" t="s">
        <v>67</v>
      </c>
      <c r="K33" s="2" t="s">
        <v>112</v>
      </c>
      <c r="L33" s="2" t="s">
        <v>112</v>
      </c>
      <c r="M33" s="2" t="s">
        <v>160</v>
      </c>
      <c r="N33" s="2" t="s">
        <v>161</v>
      </c>
      <c r="O33" s="2">
        <v>0.3636</v>
      </c>
      <c r="Q33" s="2">
        <v>3.0</v>
      </c>
      <c r="R33" s="2" t="s">
        <v>32</v>
      </c>
      <c r="S33" s="2">
        <v>1.0</v>
      </c>
      <c r="T33" s="2">
        <v>0.0</v>
      </c>
      <c r="U33" s="2">
        <v>3.0</v>
      </c>
    </row>
    <row r="34" ht="15.75" customHeight="1">
      <c r="A34" s="2" t="s">
        <v>21</v>
      </c>
      <c r="B34" s="2" t="s">
        <v>162</v>
      </c>
      <c r="C34" s="2" t="s">
        <v>23</v>
      </c>
      <c r="D34" s="2">
        <v>4.0</v>
      </c>
      <c r="E34" s="2">
        <v>-0.9701</v>
      </c>
      <c r="F34" s="2" t="s">
        <v>40</v>
      </c>
      <c r="G34" s="2">
        <v>0.9701</v>
      </c>
      <c r="H34" s="2" t="s">
        <v>25</v>
      </c>
      <c r="I34" s="2" t="s">
        <v>26</v>
      </c>
      <c r="J34" s="2" t="s">
        <v>27</v>
      </c>
      <c r="K34" s="2" t="s">
        <v>163</v>
      </c>
      <c r="L34" s="2" t="s">
        <v>68</v>
      </c>
      <c r="M34" s="2" t="s">
        <v>164</v>
      </c>
      <c r="N34" s="2" t="s">
        <v>165</v>
      </c>
      <c r="O34" s="2">
        <v>0.389</v>
      </c>
      <c r="Q34" s="2">
        <v>8.0</v>
      </c>
      <c r="R34" s="2" t="s">
        <v>38</v>
      </c>
      <c r="S34" s="2">
        <v>3.0</v>
      </c>
      <c r="T34" s="2">
        <v>0.0</v>
      </c>
      <c r="U34" s="2">
        <v>3.0</v>
      </c>
    </row>
    <row r="35" ht="15.75" customHeight="1">
      <c r="A35" s="2" t="s">
        <v>21</v>
      </c>
      <c r="B35" s="2" t="s">
        <v>166</v>
      </c>
      <c r="C35" s="2" t="s">
        <v>23</v>
      </c>
      <c r="D35" s="2">
        <v>4.0</v>
      </c>
      <c r="E35" s="2">
        <v>-0.542</v>
      </c>
      <c r="F35" s="2" t="s">
        <v>40</v>
      </c>
      <c r="G35" s="2">
        <v>0.542</v>
      </c>
      <c r="H35" s="2" t="s">
        <v>41</v>
      </c>
      <c r="I35" s="2" t="s">
        <v>167</v>
      </c>
      <c r="J35" s="2" t="s">
        <v>67</v>
      </c>
      <c r="K35" s="2" t="s">
        <v>97</v>
      </c>
      <c r="L35" s="2" t="s">
        <v>97</v>
      </c>
      <c r="M35" s="2" t="s">
        <v>168</v>
      </c>
      <c r="N35" s="2" t="s">
        <v>169</v>
      </c>
      <c r="O35" s="2">
        <v>1.0</v>
      </c>
      <c r="Q35" s="2">
        <v>5.0</v>
      </c>
      <c r="R35" s="2" t="s">
        <v>38</v>
      </c>
      <c r="S35" s="2">
        <v>2.0</v>
      </c>
      <c r="T35" s="2">
        <v>0.0</v>
      </c>
      <c r="U35" s="2">
        <v>3.0</v>
      </c>
    </row>
    <row r="36" ht="15.75" customHeight="1">
      <c r="A36" s="2" t="s">
        <v>21</v>
      </c>
      <c r="B36" s="2" t="s">
        <v>170</v>
      </c>
      <c r="C36" s="2" t="s">
        <v>171</v>
      </c>
      <c r="D36" s="2">
        <v>1.0</v>
      </c>
      <c r="E36" s="2">
        <v>0.0</v>
      </c>
      <c r="F36" s="2" t="s">
        <v>24</v>
      </c>
      <c r="G36" s="2">
        <v>0.5685</v>
      </c>
      <c r="H36" s="2" t="s">
        <v>76</v>
      </c>
      <c r="I36" s="2" t="s">
        <v>26</v>
      </c>
      <c r="J36" s="2" t="s">
        <v>77</v>
      </c>
      <c r="K36" s="2" t="s">
        <v>34</v>
      </c>
      <c r="L36" s="2" t="s">
        <v>35</v>
      </c>
      <c r="M36" s="2" t="s">
        <v>172</v>
      </c>
      <c r="N36" s="2" t="s">
        <v>173</v>
      </c>
      <c r="O36" s="2">
        <v>0.4112</v>
      </c>
      <c r="Q36" s="2">
        <v>8.5</v>
      </c>
      <c r="R36" s="2" t="s">
        <v>38</v>
      </c>
      <c r="S36" s="2">
        <v>3.5</v>
      </c>
      <c r="T36" s="2">
        <v>0.0</v>
      </c>
      <c r="U36" s="2">
        <v>3.0</v>
      </c>
    </row>
    <row r="37" ht="15.75" customHeight="1">
      <c r="A37" s="2" t="s">
        <v>21</v>
      </c>
      <c r="B37" s="2" t="s">
        <v>174</v>
      </c>
      <c r="C37" s="2" t="s">
        <v>171</v>
      </c>
      <c r="D37" s="2">
        <v>2.0</v>
      </c>
      <c r="E37" s="2">
        <v>0.0</v>
      </c>
      <c r="F37" s="2" t="s">
        <v>24</v>
      </c>
      <c r="G37" s="2">
        <v>0.6665</v>
      </c>
      <c r="H37" s="2" t="s">
        <v>41</v>
      </c>
      <c r="I37" s="2" t="s">
        <v>26</v>
      </c>
      <c r="J37" s="2" t="s">
        <v>42</v>
      </c>
      <c r="K37" s="2" t="s">
        <v>43</v>
      </c>
      <c r="L37" s="2" t="s">
        <v>43</v>
      </c>
      <c r="M37" s="2" t="s">
        <v>175</v>
      </c>
      <c r="N37" s="2" t="s">
        <v>176</v>
      </c>
      <c r="O37" s="2">
        <v>0.7029</v>
      </c>
      <c r="Q37" s="2">
        <v>4.0</v>
      </c>
      <c r="R37" s="2" t="s">
        <v>71</v>
      </c>
      <c r="S37" s="2">
        <v>0.0</v>
      </c>
      <c r="T37" s="2">
        <v>0.0</v>
      </c>
      <c r="U37" s="2">
        <v>3.0</v>
      </c>
    </row>
    <row r="38" ht="15.75" customHeight="1">
      <c r="A38" s="2" t="s">
        <v>21</v>
      </c>
      <c r="B38" s="2" t="s">
        <v>177</v>
      </c>
      <c r="C38" s="2" t="s">
        <v>171</v>
      </c>
      <c r="D38" s="2">
        <v>5.0</v>
      </c>
      <c r="E38" s="2">
        <v>-0.4899</v>
      </c>
      <c r="F38" s="2" t="s">
        <v>40</v>
      </c>
      <c r="G38" s="2">
        <v>0.4899</v>
      </c>
      <c r="H38" s="2" t="s">
        <v>76</v>
      </c>
      <c r="I38" s="2" t="s">
        <v>26</v>
      </c>
      <c r="J38" s="2" t="s">
        <v>77</v>
      </c>
      <c r="K38" s="2" t="s">
        <v>178</v>
      </c>
      <c r="L38" s="2" t="s">
        <v>179</v>
      </c>
      <c r="M38" s="2" t="s">
        <v>180</v>
      </c>
      <c r="N38" s="2" t="s">
        <v>181</v>
      </c>
      <c r="O38" s="2">
        <v>0.4283</v>
      </c>
      <c r="Q38" s="2">
        <v>8.0</v>
      </c>
      <c r="R38" s="2" t="s">
        <v>38</v>
      </c>
      <c r="S38" s="2">
        <v>8.0</v>
      </c>
      <c r="T38" s="2">
        <v>0.0</v>
      </c>
      <c r="U38" s="2">
        <v>3.0</v>
      </c>
    </row>
    <row r="39" ht="15.75" customHeight="1">
      <c r="A39" s="2" t="s">
        <v>21</v>
      </c>
      <c r="B39" s="2" t="s">
        <v>182</v>
      </c>
      <c r="C39" s="2" t="s">
        <v>171</v>
      </c>
      <c r="D39" s="2">
        <v>2.0</v>
      </c>
      <c r="E39" s="2">
        <v>-0.5448</v>
      </c>
      <c r="F39" s="2" t="s">
        <v>40</v>
      </c>
      <c r="G39" s="2">
        <v>0.5448</v>
      </c>
      <c r="H39" s="2" t="s">
        <v>41</v>
      </c>
      <c r="I39" s="2" t="s">
        <v>26</v>
      </c>
      <c r="J39" s="2" t="s">
        <v>67</v>
      </c>
      <c r="K39" s="2" t="s">
        <v>112</v>
      </c>
      <c r="L39" s="2" t="s">
        <v>112</v>
      </c>
      <c r="M39" s="2" t="s">
        <v>183</v>
      </c>
      <c r="N39" s="2" t="s">
        <v>184</v>
      </c>
      <c r="O39" s="2">
        <v>0.2887</v>
      </c>
      <c r="Q39" s="2">
        <v>5.0</v>
      </c>
      <c r="R39" s="2" t="s">
        <v>32</v>
      </c>
      <c r="S39" s="2">
        <v>1.0</v>
      </c>
      <c r="T39" s="2">
        <v>0.0</v>
      </c>
      <c r="U39" s="2">
        <v>3.0</v>
      </c>
    </row>
    <row r="40" ht="15.75" customHeight="1">
      <c r="A40" s="2" t="s">
        <v>21</v>
      </c>
      <c r="B40" s="2" t="s">
        <v>185</v>
      </c>
      <c r="C40" s="2" t="s">
        <v>171</v>
      </c>
      <c r="D40" s="2">
        <v>5.0</v>
      </c>
      <c r="E40" s="2">
        <v>-0.8982</v>
      </c>
      <c r="F40" s="2" t="s">
        <v>40</v>
      </c>
      <c r="G40" s="2">
        <v>0.8982</v>
      </c>
      <c r="H40" s="2" t="s">
        <v>47</v>
      </c>
      <c r="I40" s="2" t="s">
        <v>186</v>
      </c>
      <c r="J40" s="2" t="s">
        <v>49</v>
      </c>
      <c r="K40" s="2" t="s">
        <v>43</v>
      </c>
      <c r="L40" s="2" t="s">
        <v>43</v>
      </c>
      <c r="M40" s="2" t="s">
        <v>187</v>
      </c>
      <c r="N40" s="2" t="s">
        <v>188</v>
      </c>
      <c r="O40" s="2">
        <v>1.0</v>
      </c>
      <c r="Q40" s="2">
        <v>8.5</v>
      </c>
      <c r="R40" s="2" t="s">
        <v>71</v>
      </c>
      <c r="S40" s="2">
        <v>0.5</v>
      </c>
      <c r="T40" s="2">
        <v>0.0</v>
      </c>
      <c r="U40" s="2">
        <v>3.0</v>
      </c>
    </row>
    <row r="41" ht="15.75" customHeight="1">
      <c r="A41" s="2" t="s">
        <v>21</v>
      </c>
      <c r="B41" s="2" t="s">
        <v>189</v>
      </c>
      <c r="C41" s="2" t="s">
        <v>190</v>
      </c>
      <c r="D41" s="2">
        <v>2.0</v>
      </c>
      <c r="E41" s="2">
        <v>-0.6723</v>
      </c>
      <c r="F41" s="2" t="s">
        <v>40</v>
      </c>
      <c r="G41" s="2">
        <v>0.6723</v>
      </c>
      <c r="H41" s="2" t="s">
        <v>41</v>
      </c>
      <c r="I41" s="2" t="s">
        <v>26</v>
      </c>
      <c r="J41" s="2" t="s">
        <v>42</v>
      </c>
      <c r="K41" s="2" t="s">
        <v>63</v>
      </c>
      <c r="L41" s="2" t="s">
        <v>63</v>
      </c>
      <c r="M41" s="2" t="s">
        <v>191</v>
      </c>
      <c r="N41" s="2" t="s">
        <v>192</v>
      </c>
      <c r="O41" s="2">
        <v>0.3334</v>
      </c>
      <c r="Q41" s="2">
        <v>6.5</v>
      </c>
      <c r="R41" s="2" t="s">
        <v>71</v>
      </c>
      <c r="S41" s="2">
        <v>0.5</v>
      </c>
      <c r="T41" s="2">
        <v>0.0</v>
      </c>
      <c r="U41" s="2">
        <v>3.0</v>
      </c>
    </row>
    <row r="42" ht="15.75" customHeight="1">
      <c r="A42" s="2" t="s">
        <v>21</v>
      </c>
      <c r="B42" s="2" t="s">
        <v>193</v>
      </c>
      <c r="C42" s="2" t="s">
        <v>171</v>
      </c>
      <c r="D42" s="2">
        <v>2.0</v>
      </c>
      <c r="E42" s="2">
        <v>0.0</v>
      </c>
      <c r="F42" s="2" t="s">
        <v>24</v>
      </c>
      <c r="G42" s="2">
        <v>0.5722</v>
      </c>
      <c r="H42" s="2" t="s">
        <v>25</v>
      </c>
      <c r="I42" s="2" t="s">
        <v>26</v>
      </c>
      <c r="J42" s="2" t="s">
        <v>27</v>
      </c>
      <c r="K42" s="2" t="s">
        <v>86</v>
      </c>
      <c r="L42" s="2" t="s">
        <v>86</v>
      </c>
      <c r="M42" s="2" t="s">
        <v>194</v>
      </c>
      <c r="N42" s="2" t="s">
        <v>195</v>
      </c>
      <c r="O42" s="2">
        <v>0.3381</v>
      </c>
      <c r="Q42" s="2">
        <v>8.5</v>
      </c>
      <c r="R42" s="2" t="s">
        <v>71</v>
      </c>
      <c r="S42" s="2">
        <v>0.5</v>
      </c>
      <c r="T42" s="2">
        <v>0.0</v>
      </c>
      <c r="U42" s="2">
        <v>3.0</v>
      </c>
    </row>
    <row r="43" ht="15.75" customHeight="1">
      <c r="A43" s="2" t="s">
        <v>21</v>
      </c>
      <c r="B43" s="2" t="s">
        <v>196</v>
      </c>
      <c r="C43" s="2" t="s">
        <v>171</v>
      </c>
      <c r="D43" s="2">
        <v>4.0</v>
      </c>
      <c r="E43" s="2">
        <v>0.0</v>
      </c>
      <c r="F43" s="2" t="s">
        <v>24</v>
      </c>
      <c r="G43" s="2">
        <v>0.6586</v>
      </c>
      <c r="H43" s="2" t="s">
        <v>47</v>
      </c>
      <c r="I43" s="2" t="s">
        <v>197</v>
      </c>
      <c r="J43" s="2" t="s">
        <v>49</v>
      </c>
      <c r="K43" s="2" t="s">
        <v>29</v>
      </c>
      <c r="L43" s="2" t="s">
        <v>29</v>
      </c>
      <c r="M43" s="2" t="s">
        <v>198</v>
      </c>
      <c r="N43" s="2" t="s">
        <v>199</v>
      </c>
      <c r="O43" s="2">
        <v>1.0</v>
      </c>
      <c r="Q43" s="2">
        <v>8.5</v>
      </c>
      <c r="R43" s="2" t="s">
        <v>71</v>
      </c>
      <c r="S43" s="2">
        <v>0.5</v>
      </c>
      <c r="T43" s="2">
        <v>0.0</v>
      </c>
      <c r="U43" s="2">
        <v>3.0</v>
      </c>
    </row>
    <row r="44" ht="15.75" customHeight="1">
      <c r="A44" s="2" t="s">
        <v>21</v>
      </c>
      <c r="B44" s="2" t="s">
        <v>200</v>
      </c>
      <c r="C44" s="2" t="s">
        <v>171</v>
      </c>
      <c r="D44" s="2">
        <v>5.0</v>
      </c>
      <c r="E44" s="2">
        <v>-0.5711</v>
      </c>
      <c r="F44" s="2" t="s">
        <v>40</v>
      </c>
      <c r="G44" s="2">
        <v>0.5711</v>
      </c>
      <c r="H44" s="2" t="s">
        <v>138</v>
      </c>
      <c r="I44" s="2" t="s">
        <v>139</v>
      </c>
      <c r="J44" s="2" t="s">
        <v>140</v>
      </c>
      <c r="K44" s="2" t="s">
        <v>81</v>
      </c>
      <c r="L44" s="2" t="s">
        <v>81</v>
      </c>
      <c r="M44" s="2" t="s">
        <v>201</v>
      </c>
      <c r="N44" s="2" t="s">
        <v>202</v>
      </c>
      <c r="O44" s="2">
        <v>1.0</v>
      </c>
      <c r="Q44" s="2">
        <v>8.5</v>
      </c>
      <c r="R44" s="2" t="s">
        <v>32</v>
      </c>
      <c r="S44" s="2">
        <v>1.5</v>
      </c>
      <c r="T44" s="2">
        <v>0.0</v>
      </c>
      <c r="U44" s="2">
        <v>3.0</v>
      </c>
    </row>
    <row r="45" ht="15.75" customHeight="1">
      <c r="A45" s="2" t="s">
        <v>21</v>
      </c>
      <c r="B45" s="2" t="s">
        <v>203</v>
      </c>
      <c r="C45" s="2" t="s">
        <v>171</v>
      </c>
      <c r="D45" s="2">
        <v>1.0</v>
      </c>
      <c r="E45" s="2">
        <v>0.0</v>
      </c>
      <c r="F45" s="2" t="s">
        <v>24</v>
      </c>
      <c r="G45" s="2">
        <v>0.6271</v>
      </c>
      <c r="H45" s="2" t="s">
        <v>155</v>
      </c>
      <c r="I45" s="2" t="s">
        <v>26</v>
      </c>
      <c r="J45" s="2" t="s">
        <v>27</v>
      </c>
      <c r="K45" s="2" t="s">
        <v>63</v>
      </c>
      <c r="L45" s="2" t="s">
        <v>63</v>
      </c>
      <c r="M45" s="2" t="s">
        <v>204</v>
      </c>
      <c r="N45" s="2" t="s">
        <v>205</v>
      </c>
      <c r="O45" s="2">
        <v>0.2756</v>
      </c>
      <c r="Q45" s="2">
        <v>6.5</v>
      </c>
      <c r="R45" s="2" t="s">
        <v>38</v>
      </c>
      <c r="S45" s="2">
        <v>2.5</v>
      </c>
      <c r="T45" s="2">
        <v>0.0</v>
      </c>
      <c r="U45" s="2">
        <v>3.0</v>
      </c>
    </row>
    <row r="46" ht="15.75" customHeight="1">
      <c r="A46" s="2" t="s">
        <v>21</v>
      </c>
      <c r="B46" s="2" t="s">
        <v>206</v>
      </c>
      <c r="C46" s="2" t="s">
        <v>171</v>
      </c>
      <c r="D46" s="2">
        <v>5.0</v>
      </c>
      <c r="E46" s="2">
        <v>0.0</v>
      </c>
      <c r="F46" s="2" t="s">
        <v>24</v>
      </c>
      <c r="G46" s="2">
        <v>0.5438</v>
      </c>
      <c r="H46" s="2" t="s">
        <v>25</v>
      </c>
      <c r="I46" s="2" t="s">
        <v>26</v>
      </c>
      <c r="J46" s="2" t="s">
        <v>27</v>
      </c>
      <c r="K46" s="2" t="s">
        <v>29</v>
      </c>
      <c r="L46" s="2" t="s">
        <v>29</v>
      </c>
      <c r="M46" s="2" t="s">
        <v>207</v>
      </c>
      <c r="N46" s="2" t="s">
        <v>208</v>
      </c>
      <c r="O46" s="2">
        <v>0.6306</v>
      </c>
      <c r="Q46" s="2">
        <v>6.5</v>
      </c>
      <c r="R46" s="2" t="s">
        <v>71</v>
      </c>
      <c r="S46" s="2">
        <v>0.5</v>
      </c>
      <c r="T46" s="2">
        <v>0.0</v>
      </c>
      <c r="U46" s="2">
        <v>3.0</v>
      </c>
    </row>
    <row r="47" ht="15.75" customHeight="1">
      <c r="A47" s="2" t="s">
        <v>21</v>
      </c>
      <c r="B47" s="2" t="s">
        <v>209</v>
      </c>
      <c r="C47" s="2" t="s">
        <v>171</v>
      </c>
      <c r="D47" s="2">
        <v>2.0</v>
      </c>
      <c r="E47" s="2">
        <v>-0.571</v>
      </c>
      <c r="F47" s="2" t="s">
        <v>40</v>
      </c>
      <c r="G47" s="2">
        <v>0.571</v>
      </c>
      <c r="H47" s="2" t="s">
        <v>41</v>
      </c>
      <c r="I47" s="2" t="s">
        <v>26</v>
      </c>
      <c r="J47" s="2" t="s">
        <v>67</v>
      </c>
      <c r="K47" s="2" t="s">
        <v>63</v>
      </c>
      <c r="L47" s="2" t="s">
        <v>63</v>
      </c>
      <c r="M47" s="2" t="s">
        <v>210</v>
      </c>
      <c r="N47" s="2" t="s">
        <v>211</v>
      </c>
      <c r="O47" s="2">
        <v>0.3952</v>
      </c>
      <c r="Q47" s="2">
        <v>6.5</v>
      </c>
      <c r="R47" s="2" t="s">
        <v>71</v>
      </c>
      <c r="S47" s="2">
        <v>0.5</v>
      </c>
      <c r="T47" s="2">
        <v>0.0</v>
      </c>
      <c r="U47" s="2">
        <v>3.0</v>
      </c>
    </row>
    <row r="48" ht="15.75" customHeight="1">
      <c r="A48" s="2" t="s">
        <v>21</v>
      </c>
      <c r="B48" s="2" t="s">
        <v>212</v>
      </c>
      <c r="C48" s="2" t="s">
        <v>171</v>
      </c>
      <c r="D48" s="2">
        <v>4.0</v>
      </c>
      <c r="E48" s="2">
        <v>-0.5431</v>
      </c>
      <c r="F48" s="2" t="s">
        <v>40</v>
      </c>
      <c r="G48" s="2">
        <v>0.5431</v>
      </c>
      <c r="H48" s="2" t="s">
        <v>25</v>
      </c>
      <c r="I48" s="2" t="s">
        <v>26</v>
      </c>
      <c r="J48" s="2" t="s">
        <v>27</v>
      </c>
      <c r="K48" s="2" t="s">
        <v>213</v>
      </c>
      <c r="L48" s="2" t="s">
        <v>213</v>
      </c>
      <c r="M48" s="2" t="s">
        <v>214</v>
      </c>
      <c r="N48" s="2" t="s">
        <v>215</v>
      </c>
      <c r="O48" s="2">
        <v>0.5062</v>
      </c>
      <c r="Q48" s="2">
        <v>6.5</v>
      </c>
      <c r="R48" s="2" t="s">
        <v>71</v>
      </c>
      <c r="S48" s="2">
        <v>0.0</v>
      </c>
      <c r="T48" s="2">
        <v>0.0</v>
      </c>
      <c r="U48" s="2">
        <v>3.0</v>
      </c>
    </row>
    <row r="49" ht="15.75" customHeight="1">
      <c r="A49" s="2" t="s">
        <v>21</v>
      </c>
      <c r="B49" s="2" t="s">
        <v>216</v>
      </c>
      <c r="C49" s="2" t="s">
        <v>171</v>
      </c>
      <c r="D49" s="2">
        <v>2.0</v>
      </c>
      <c r="E49" s="2">
        <v>-0.517</v>
      </c>
      <c r="F49" s="2" t="s">
        <v>40</v>
      </c>
      <c r="G49" s="2">
        <v>0.517</v>
      </c>
      <c r="H49" s="2" t="s">
        <v>25</v>
      </c>
      <c r="I49" s="2" t="s">
        <v>26</v>
      </c>
      <c r="J49" s="2" t="s">
        <v>27</v>
      </c>
      <c r="K49" s="2" t="s">
        <v>217</v>
      </c>
      <c r="L49" s="2" t="s">
        <v>43</v>
      </c>
      <c r="M49" s="2" t="s">
        <v>218</v>
      </c>
      <c r="N49" s="2" t="s">
        <v>219</v>
      </c>
      <c r="O49" s="2">
        <v>0.3252</v>
      </c>
      <c r="Q49" s="2">
        <v>8.5</v>
      </c>
      <c r="R49" s="2" t="s">
        <v>71</v>
      </c>
      <c r="S49" s="2">
        <v>0.0</v>
      </c>
      <c r="T49" s="2">
        <v>0.0</v>
      </c>
      <c r="U49" s="2">
        <v>3.0</v>
      </c>
    </row>
    <row r="50" ht="15.75" customHeight="1">
      <c r="A50" s="2" t="s">
        <v>21</v>
      </c>
      <c r="B50" s="2" t="s">
        <v>220</v>
      </c>
      <c r="C50" s="2" t="s">
        <v>171</v>
      </c>
      <c r="D50" s="2">
        <v>4.0</v>
      </c>
      <c r="E50" s="2">
        <v>-0.8033</v>
      </c>
      <c r="F50" s="2" t="s">
        <v>40</v>
      </c>
      <c r="G50" s="2">
        <v>0.8033</v>
      </c>
      <c r="H50" s="2" t="s">
        <v>41</v>
      </c>
      <c r="I50" s="2" t="s">
        <v>26</v>
      </c>
      <c r="J50" s="2" t="s">
        <v>67</v>
      </c>
      <c r="K50" s="2" t="s">
        <v>90</v>
      </c>
      <c r="L50" s="2" t="s">
        <v>43</v>
      </c>
      <c r="M50" s="2" t="s">
        <v>221</v>
      </c>
      <c r="N50" s="2" t="s">
        <v>222</v>
      </c>
      <c r="O50" s="2">
        <v>0.3451</v>
      </c>
      <c r="Q50" s="2">
        <v>8.5</v>
      </c>
      <c r="R50" s="2" t="s">
        <v>38</v>
      </c>
      <c r="S50" s="2">
        <v>6.5</v>
      </c>
      <c r="T50" s="2">
        <v>0.0</v>
      </c>
      <c r="U50" s="2">
        <v>3.0</v>
      </c>
    </row>
    <row r="51" ht="15.75" customHeight="1">
      <c r="A51" s="2" t="s">
        <v>21</v>
      </c>
      <c r="B51" s="2" t="s">
        <v>223</v>
      </c>
      <c r="C51" s="2" t="s">
        <v>171</v>
      </c>
      <c r="D51" s="2">
        <v>1.0</v>
      </c>
      <c r="E51" s="2">
        <v>-0.8224</v>
      </c>
      <c r="F51" s="2" t="s">
        <v>40</v>
      </c>
      <c r="G51" s="2">
        <v>0.8224</v>
      </c>
      <c r="H51" s="2" t="s">
        <v>76</v>
      </c>
      <c r="I51" s="2" t="s">
        <v>26</v>
      </c>
      <c r="J51" s="2" t="s">
        <v>77</v>
      </c>
      <c r="K51" s="2" t="s">
        <v>179</v>
      </c>
      <c r="L51" s="2" t="s">
        <v>179</v>
      </c>
      <c r="M51" s="2" t="s">
        <v>224</v>
      </c>
      <c r="N51" s="2" t="s">
        <v>225</v>
      </c>
      <c r="O51" s="2">
        <v>0.4503</v>
      </c>
      <c r="Q51" s="2">
        <v>4.0</v>
      </c>
      <c r="R51" s="2" t="s">
        <v>71</v>
      </c>
      <c r="S51" s="2">
        <v>0.0</v>
      </c>
      <c r="T51" s="2">
        <v>0.0</v>
      </c>
      <c r="U51" s="2">
        <v>3.0</v>
      </c>
    </row>
    <row r="52" ht="15.75" customHeight="1">
      <c r="A52" s="2" t="s">
        <v>21</v>
      </c>
      <c r="B52" s="2" t="s">
        <v>226</v>
      </c>
      <c r="C52" s="2" t="s">
        <v>171</v>
      </c>
      <c r="D52" s="2">
        <v>5.0</v>
      </c>
      <c r="E52" s="2">
        <v>-0.8385</v>
      </c>
      <c r="F52" s="2" t="s">
        <v>40</v>
      </c>
      <c r="G52" s="2">
        <v>0.8385</v>
      </c>
      <c r="H52" s="2" t="s">
        <v>47</v>
      </c>
      <c r="I52" s="2" t="s">
        <v>186</v>
      </c>
      <c r="J52" s="2" t="s">
        <v>227</v>
      </c>
      <c r="K52" s="2" t="s">
        <v>179</v>
      </c>
      <c r="L52" s="2" t="s">
        <v>179</v>
      </c>
      <c r="M52" s="2" t="s">
        <v>228</v>
      </c>
      <c r="N52" s="2" t="s">
        <v>229</v>
      </c>
      <c r="O52" s="2">
        <v>1.0</v>
      </c>
      <c r="Q52" s="2">
        <v>3.0</v>
      </c>
      <c r="R52" s="2" t="s">
        <v>71</v>
      </c>
      <c r="S52" s="2">
        <v>0.0</v>
      </c>
      <c r="T52" s="2">
        <v>0.0</v>
      </c>
      <c r="U52" s="2">
        <v>3.0</v>
      </c>
    </row>
    <row r="53" ht="15.75" customHeight="1">
      <c r="A53" s="2" t="s">
        <v>21</v>
      </c>
      <c r="B53" s="2" t="s">
        <v>230</v>
      </c>
      <c r="C53" s="2" t="s">
        <v>231</v>
      </c>
      <c r="D53" s="2">
        <v>2.0</v>
      </c>
      <c r="E53" s="2">
        <v>-0.6256</v>
      </c>
      <c r="F53" s="2" t="s">
        <v>40</v>
      </c>
      <c r="G53" s="2">
        <v>0.6256</v>
      </c>
      <c r="H53" s="2" t="s">
        <v>25</v>
      </c>
      <c r="I53" s="2" t="s">
        <v>26</v>
      </c>
      <c r="J53" s="2" t="s">
        <v>27</v>
      </c>
      <c r="K53" s="2" t="s">
        <v>232</v>
      </c>
      <c r="L53" s="2" t="s">
        <v>232</v>
      </c>
      <c r="M53" s="2" t="s">
        <v>233</v>
      </c>
      <c r="N53" s="2" t="s">
        <v>234</v>
      </c>
      <c r="O53" s="2">
        <v>0.351</v>
      </c>
      <c r="Q53" s="2">
        <v>8.5</v>
      </c>
      <c r="R53" s="2" t="s">
        <v>32</v>
      </c>
      <c r="S53" s="2">
        <v>1.5</v>
      </c>
      <c r="T53" s="2">
        <v>0.0</v>
      </c>
      <c r="U53" s="2">
        <v>3.0</v>
      </c>
    </row>
    <row r="54" ht="15.75" customHeight="1">
      <c r="A54" s="2" t="s">
        <v>21</v>
      </c>
      <c r="B54" s="2" t="s">
        <v>235</v>
      </c>
      <c r="C54" s="2" t="s">
        <v>231</v>
      </c>
      <c r="D54" s="2">
        <v>5.0</v>
      </c>
      <c r="E54" s="2">
        <v>-0.7372</v>
      </c>
      <c r="F54" s="2" t="s">
        <v>40</v>
      </c>
      <c r="G54" s="2">
        <v>0.7372</v>
      </c>
      <c r="H54" s="2" t="s">
        <v>25</v>
      </c>
      <c r="I54" s="2" t="s">
        <v>26</v>
      </c>
      <c r="J54" s="2" t="s">
        <v>27</v>
      </c>
      <c r="K54" s="2" t="s">
        <v>28</v>
      </c>
      <c r="L54" s="2" t="s">
        <v>29</v>
      </c>
      <c r="M54" s="2" t="s">
        <v>236</v>
      </c>
      <c r="N54" s="2" t="s">
        <v>237</v>
      </c>
      <c r="O54" s="2">
        <v>0.3355</v>
      </c>
      <c r="Q54" s="2">
        <v>8.0</v>
      </c>
      <c r="R54" s="2" t="s">
        <v>32</v>
      </c>
      <c r="S54" s="2">
        <v>1.5</v>
      </c>
      <c r="T54" s="2">
        <v>0.0</v>
      </c>
      <c r="U54" s="2">
        <v>3.0</v>
      </c>
    </row>
    <row r="55" ht="15.75" customHeight="1">
      <c r="A55" s="2" t="s">
        <v>21</v>
      </c>
      <c r="B55" s="2" t="s">
        <v>238</v>
      </c>
      <c r="C55" s="2" t="s">
        <v>231</v>
      </c>
      <c r="D55" s="2">
        <v>2.0</v>
      </c>
      <c r="E55" s="2">
        <v>0.0</v>
      </c>
      <c r="F55" s="2" t="s">
        <v>24</v>
      </c>
      <c r="G55" s="2">
        <v>0.4995</v>
      </c>
      <c r="H55" s="2" t="s">
        <v>25</v>
      </c>
      <c r="I55" s="2" t="s">
        <v>26</v>
      </c>
      <c r="J55" s="2" t="s">
        <v>27</v>
      </c>
      <c r="K55" s="2" t="s">
        <v>43</v>
      </c>
      <c r="L55" s="2" t="s">
        <v>43</v>
      </c>
      <c r="M55" s="2" t="s">
        <v>239</v>
      </c>
      <c r="N55" s="2" t="s">
        <v>240</v>
      </c>
      <c r="O55" s="2">
        <v>0.4022</v>
      </c>
      <c r="Q55" s="2">
        <v>8.5</v>
      </c>
      <c r="R55" s="2" t="s">
        <v>71</v>
      </c>
      <c r="S55" s="2">
        <v>0.5</v>
      </c>
      <c r="T55" s="2">
        <v>0.0</v>
      </c>
      <c r="U55" s="2">
        <v>3.0</v>
      </c>
    </row>
    <row r="56" ht="15.75" customHeight="1">
      <c r="A56" s="2" t="s">
        <v>21</v>
      </c>
      <c r="B56" s="2" t="s">
        <v>241</v>
      </c>
      <c r="C56" s="2" t="s">
        <v>231</v>
      </c>
      <c r="D56" s="2">
        <v>5.0</v>
      </c>
      <c r="E56" s="2">
        <v>-0.6294</v>
      </c>
      <c r="F56" s="2" t="s">
        <v>40</v>
      </c>
      <c r="G56" s="2">
        <v>0.6294</v>
      </c>
      <c r="H56" s="2" t="s">
        <v>104</v>
      </c>
      <c r="I56" s="2" t="s">
        <v>242</v>
      </c>
      <c r="J56" s="2" t="s">
        <v>105</v>
      </c>
      <c r="K56" s="2" t="s">
        <v>243</v>
      </c>
      <c r="L56" s="2" t="s">
        <v>55</v>
      </c>
      <c r="M56" s="2" t="s">
        <v>244</v>
      </c>
      <c r="N56" s="2" t="s">
        <v>245</v>
      </c>
      <c r="O56" s="2">
        <v>1.0</v>
      </c>
      <c r="Q56" s="2">
        <v>8.5</v>
      </c>
      <c r="R56" s="2" t="s">
        <v>38</v>
      </c>
      <c r="S56" s="2">
        <v>3.5</v>
      </c>
      <c r="T56" s="2">
        <v>0.0</v>
      </c>
      <c r="U56" s="2">
        <v>3.0</v>
      </c>
    </row>
    <row r="57" ht="15.75" customHeight="1">
      <c r="A57" s="2" t="s">
        <v>21</v>
      </c>
      <c r="B57" s="2" t="s">
        <v>246</v>
      </c>
      <c r="C57" s="2" t="s">
        <v>231</v>
      </c>
      <c r="D57" s="2">
        <v>2.0</v>
      </c>
      <c r="E57" s="2">
        <v>-0.5722</v>
      </c>
      <c r="F57" s="2" t="s">
        <v>40</v>
      </c>
      <c r="G57" s="2">
        <v>0.5722</v>
      </c>
      <c r="H57" s="2" t="s">
        <v>25</v>
      </c>
      <c r="I57" s="2" t="s">
        <v>26</v>
      </c>
      <c r="J57" s="2" t="s">
        <v>27</v>
      </c>
      <c r="K57" s="2" t="s">
        <v>43</v>
      </c>
      <c r="L57" s="2" t="s">
        <v>43</v>
      </c>
      <c r="M57" s="2" t="s">
        <v>247</v>
      </c>
      <c r="N57" s="2" t="s">
        <v>248</v>
      </c>
      <c r="O57" s="2">
        <v>0.705</v>
      </c>
      <c r="Q57" s="2">
        <v>8.5</v>
      </c>
      <c r="R57" s="2" t="s">
        <v>71</v>
      </c>
      <c r="S57" s="2">
        <v>0.5</v>
      </c>
      <c r="T57" s="2">
        <v>0.0</v>
      </c>
      <c r="U57" s="2">
        <v>3.0</v>
      </c>
    </row>
    <row r="58" ht="15.75" customHeight="1">
      <c r="A58" s="2" t="s">
        <v>21</v>
      </c>
      <c r="B58" s="2" t="s">
        <v>249</v>
      </c>
      <c r="C58" s="2" t="s">
        <v>231</v>
      </c>
      <c r="D58" s="2">
        <v>1.0</v>
      </c>
      <c r="E58" s="2">
        <v>0.0</v>
      </c>
      <c r="F58" s="2" t="s">
        <v>24</v>
      </c>
      <c r="G58" s="2">
        <v>0.4918</v>
      </c>
      <c r="H58" s="2" t="s">
        <v>76</v>
      </c>
      <c r="I58" s="2" t="s">
        <v>26</v>
      </c>
      <c r="J58" s="2" t="s">
        <v>77</v>
      </c>
      <c r="K58" s="2" t="s">
        <v>86</v>
      </c>
      <c r="L58" s="2" t="s">
        <v>86</v>
      </c>
      <c r="M58" s="2" t="s">
        <v>250</v>
      </c>
      <c r="N58" s="2" t="s">
        <v>251</v>
      </c>
      <c r="O58" s="2">
        <v>0.4189</v>
      </c>
      <c r="Q58" s="2">
        <v>8.5</v>
      </c>
      <c r="R58" s="2" t="s">
        <v>71</v>
      </c>
      <c r="S58" s="2">
        <v>0.0</v>
      </c>
      <c r="T58" s="2">
        <v>0.0</v>
      </c>
      <c r="U58" s="2">
        <v>3.0</v>
      </c>
    </row>
    <row r="59" ht="15.75" customHeight="1">
      <c r="A59" s="2" t="s">
        <v>21</v>
      </c>
      <c r="B59" s="2" t="s">
        <v>252</v>
      </c>
      <c r="C59" s="2" t="s">
        <v>231</v>
      </c>
      <c r="D59" s="2">
        <v>2.0</v>
      </c>
      <c r="E59" s="2">
        <v>0.0</v>
      </c>
      <c r="F59" s="2" t="s">
        <v>24</v>
      </c>
      <c r="G59" s="2">
        <v>0.732</v>
      </c>
      <c r="H59" s="2" t="s">
        <v>25</v>
      </c>
      <c r="I59" s="2" t="s">
        <v>26</v>
      </c>
      <c r="J59" s="2" t="s">
        <v>27</v>
      </c>
      <c r="K59" s="2" t="s">
        <v>253</v>
      </c>
      <c r="L59" s="2" t="s">
        <v>253</v>
      </c>
      <c r="M59" s="2" t="s">
        <v>254</v>
      </c>
      <c r="N59" s="2" t="s">
        <v>255</v>
      </c>
      <c r="O59" s="2">
        <v>0.4168</v>
      </c>
      <c r="Q59" s="2">
        <v>8.0</v>
      </c>
      <c r="R59" s="2" t="s">
        <v>38</v>
      </c>
      <c r="S59" s="2">
        <v>3.0</v>
      </c>
      <c r="T59" s="2">
        <v>0.0</v>
      </c>
      <c r="U59" s="2">
        <v>3.0</v>
      </c>
    </row>
    <row r="60" ht="15.75" customHeight="1">
      <c r="A60" s="2" t="s">
        <v>21</v>
      </c>
      <c r="B60" s="2" t="s">
        <v>256</v>
      </c>
      <c r="C60" s="2" t="s">
        <v>231</v>
      </c>
      <c r="D60" s="2">
        <v>1.0</v>
      </c>
      <c r="E60" s="2">
        <v>-0.9308</v>
      </c>
      <c r="F60" s="2" t="s">
        <v>40</v>
      </c>
      <c r="G60" s="2">
        <v>0.9308</v>
      </c>
      <c r="H60" s="2" t="s">
        <v>76</v>
      </c>
      <c r="I60" s="2" t="s">
        <v>26</v>
      </c>
      <c r="J60" s="2" t="s">
        <v>77</v>
      </c>
      <c r="K60" s="2" t="s">
        <v>257</v>
      </c>
      <c r="L60" s="2" t="s">
        <v>97</v>
      </c>
      <c r="M60" s="2" t="s">
        <v>258</v>
      </c>
      <c r="N60" s="2" t="s">
        <v>259</v>
      </c>
      <c r="O60" s="2">
        <v>0.4494</v>
      </c>
      <c r="Q60" s="2">
        <v>5.0</v>
      </c>
      <c r="R60" s="2" t="s">
        <v>71</v>
      </c>
      <c r="S60" s="2">
        <v>0.0</v>
      </c>
      <c r="T60" s="2">
        <v>0.0</v>
      </c>
      <c r="U60" s="2">
        <v>3.0</v>
      </c>
    </row>
    <row r="61" ht="15.75" customHeight="1">
      <c r="A61" s="2" t="s">
        <v>260</v>
      </c>
      <c r="B61" s="2" t="s">
        <v>261</v>
      </c>
      <c r="C61" s="2" t="s">
        <v>262</v>
      </c>
      <c r="D61" s="2">
        <v>4.0</v>
      </c>
      <c r="E61" s="2">
        <v>-0.717</v>
      </c>
      <c r="F61" s="2" t="s">
        <v>40</v>
      </c>
      <c r="G61" s="2">
        <v>0.717</v>
      </c>
      <c r="H61" s="2" t="s">
        <v>41</v>
      </c>
      <c r="I61" s="2" t="s">
        <v>26</v>
      </c>
      <c r="J61" s="2" t="s">
        <v>67</v>
      </c>
      <c r="K61" s="2" t="s">
        <v>63</v>
      </c>
      <c r="L61" s="2" t="s">
        <v>63</v>
      </c>
      <c r="M61" s="2" t="s">
        <v>263</v>
      </c>
      <c r="N61" s="2" t="s">
        <v>264</v>
      </c>
      <c r="O61" s="2">
        <v>0.4427</v>
      </c>
      <c r="Q61" s="2">
        <v>5.0</v>
      </c>
      <c r="R61" s="2" t="s">
        <v>71</v>
      </c>
      <c r="S61" s="2">
        <v>0.0</v>
      </c>
      <c r="T61" s="2">
        <v>0.0</v>
      </c>
      <c r="U61" s="2">
        <v>3.0</v>
      </c>
    </row>
    <row r="62" ht="15.75" customHeight="1">
      <c r="A62" s="2" t="s">
        <v>260</v>
      </c>
      <c r="B62" s="2" t="s">
        <v>265</v>
      </c>
      <c r="C62" s="2" t="s">
        <v>266</v>
      </c>
      <c r="D62" s="2">
        <v>4.0</v>
      </c>
      <c r="E62" s="2">
        <v>-0.6812</v>
      </c>
      <c r="F62" s="2" t="s">
        <v>40</v>
      </c>
      <c r="G62" s="2">
        <v>0.6812</v>
      </c>
      <c r="H62" s="2" t="s">
        <v>47</v>
      </c>
      <c r="I62" s="2" t="s">
        <v>48</v>
      </c>
      <c r="J62" s="2" t="s">
        <v>227</v>
      </c>
      <c r="K62" s="2" t="s">
        <v>50</v>
      </c>
      <c r="L62" s="2" t="s">
        <v>51</v>
      </c>
      <c r="M62" s="2" t="s">
        <v>267</v>
      </c>
      <c r="N62" s="2" t="s">
        <v>268</v>
      </c>
      <c r="O62" s="2">
        <v>1.0</v>
      </c>
      <c r="Q62" s="2">
        <v>6.5</v>
      </c>
      <c r="R62" s="2" t="s">
        <v>38</v>
      </c>
      <c r="S62" s="2">
        <v>3.5</v>
      </c>
      <c r="T62" s="2">
        <v>0.0</v>
      </c>
      <c r="U62" s="2">
        <v>3.0</v>
      </c>
    </row>
    <row r="63" ht="15.75" customHeight="1">
      <c r="A63" s="2" t="s">
        <v>260</v>
      </c>
      <c r="B63" s="2" t="s">
        <v>269</v>
      </c>
      <c r="C63" s="2" t="s">
        <v>270</v>
      </c>
      <c r="D63" s="2">
        <v>4.0</v>
      </c>
      <c r="E63" s="2">
        <v>-0.6514</v>
      </c>
      <c r="F63" s="2" t="s">
        <v>40</v>
      </c>
      <c r="G63" s="2">
        <v>0.6514</v>
      </c>
      <c r="H63" s="2" t="s">
        <v>25</v>
      </c>
      <c r="I63" s="2" t="s">
        <v>26</v>
      </c>
      <c r="J63" s="2" t="s">
        <v>27</v>
      </c>
      <c r="K63" s="2" t="s">
        <v>59</v>
      </c>
      <c r="L63" s="2" t="s">
        <v>59</v>
      </c>
      <c r="M63" s="2" t="s">
        <v>271</v>
      </c>
      <c r="N63" s="2" t="s">
        <v>272</v>
      </c>
      <c r="O63" s="2">
        <v>0.4118</v>
      </c>
      <c r="Q63" s="2">
        <v>8.0</v>
      </c>
      <c r="R63" s="2" t="s">
        <v>71</v>
      </c>
      <c r="S63" s="2">
        <v>0.0</v>
      </c>
      <c r="T63" s="2">
        <v>0.0</v>
      </c>
      <c r="U63" s="2">
        <v>3.0</v>
      </c>
    </row>
    <row r="64" ht="15.75" customHeight="1">
      <c r="A64" s="2" t="s">
        <v>260</v>
      </c>
      <c r="B64" s="2" t="s">
        <v>273</v>
      </c>
      <c r="C64" s="2" t="s">
        <v>274</v>
      </c>
      <c r="D64" s="2">
        <v>1.0</v>
      </c>
      <c r="E64" s="2">
        <v>0.0</v>
      </c>
      <c r="F64" s="2" t="s">
        <v>24</v>
      </c>
      <c r="G64" s="2">
        <v>0.6163</v>
      </c>
      <c r="H64" s="2" t="s">
        <v>155</v>
      </c>
      <c r="I64" s="2" t="s">
        <v>26</v>
      </c>
      <c r="J64" s="2" t="s">
        <v>27</v>
      </c>
      <c r="K64" s="2" t="s">
        <v>43</v>
      </c>
      <c r="L64" s="2" t="s">
        <v>43</v>
      </c>
      <c r="M64" s="2" t="s">
        <v>275</v>
      </c>
      <c r="N64" s="2" t="s">
        <v>276</v>
      </c>
      <c r="O64" s="2">
        <v>0.4996</v>
      </c>
      <c r="Q64" s="2">
        <v>0.0</v>
      </c>
      <c r="R64" s="2" t="s">
        <v>71</v>
      </c>
      <c r="S64" s="2">
        <v>0.0</v>
      </c>
      <c r="T64" s="2">
        <v>0.0</v>
      </c>
      <c r="U64" s="2">
        <v>3.0</v>
      </c>
    </row>
    <row r="65" ht="15.75" customHeight="1">
      <c r="A65" s="2" t="s">
        <v>260</v>
      </c>
      <c r="B65" s="2" t="s">
        <v>277</v>
      </c>
      <c r="C65" s="2" t="s">
        <v>278</v>
      </c>
      <c r="D65" s="2">
        <v>1.0</v>
      </c>
      <c r="E65" s="2">
        <v>0.4492</v>
      </c>
      <c r="F65" s="2" t="s">
        <v>279</v>
      </c>
      <c r="G65" s="2">
        <v>0.4492</v>
      </c>
      <c r="H65" s="2" t="s">
        <v>155</v>
      </c>
      <c r="I65" s="2" t="s">
        <v>26</v>
      </c>
      <c r="J65" s="2" t="s">
        <v>27</v>
      </c>
      <c r="K65" s="2" t="s">
        <v>55</v>
      </c>
      <c r="L65" s="2" t="s">
        <v>55</v>
      </c>
      <c r="M65" s="2" t="s">
        <v>280</v>
      </c>
      <c r="N65" s="2" t="s">
        <v>281</v>
      </c>
      <c r="O65" s="2">
        <v>0.3229</v>
      </c>
      <c r="Q65" s="2">
        <v>8.5</v>
      </c>
      <c r="R65" s="2" t="s">
        <v>71</v>
      </c>
      <c r="S65" s="2">
        <v>0.0</v>
      </c>
      <c r="T65" s="2">
        <v>0.0</v>
      </c>
      <c r="U65" s="2">
        <v>3.0</v>
      </c>
    </row>
    <row r="66" ht="15.75" customHeight="1">
      <c r="A66" s="2" t="s">
        <v>260</v>
      </c>
      <c r="B66" s="2" t="s">
        <v>282</v>
      </c>
      <c r="C66" s="2" t="s">
        <v>283</v>
      </c>
      <c r="D66" s="2">
        <v>2.0</v>
      </c>
      <c r="E66" s="2">
        <v>-0.6323</v>
      </c>
      <c r="F66" s="2" t="s">
        <v>40</v>
      </c>
      <c r="G66" s="2">
        <v>0.6323</v>
      </c>
      <c r="H66" s="2" t="s">
        <v>41</v>
      </c>
      <c r="I66" s="2" t="s">
        <v>284</v>
      </c>
      <c r="J66" s="2" t="s">
        <v>42</v>
      </c>
      <c r="K66" s="2" t="s">
        <v>213</v>
      </c>
      <c r="L66" s="2" t="s">
        <v>213</v>
      </c>
      <c r="M66" s="2" t="s">
        <v>285</v>
      </c>
      <c r="N66" s="2" t="s">
        <v>286</v>
      </c>
      <c r="O66" s="2">
        <v>1.0</v>
      </c>
      <c r="Q66" s="2">
        <v>6.5</v>
      </c>
      <c r="R66" s="2" t="s">
        <v>71</v>
      </c>
      <c r="S66" s="2">
        <v>0.0</v>
      </c>
      <c r="T66" s="2">
        <v>0.0</v>
      </c>
      <c r="U66" s="2">
        <v>3.0</v>
      </c>
    </row>
    <row r="67" ht="15.75" customHeight="1">
      <c r="A67" s="2" t="s">
        <v>260</v>
      </c>
      <c r="B67" s="2" t="s">
        <v>287</v>
      </c>
      <c r="C67" s="2" t="s">
        <v>288</v>
      </c>
      <c r="D67" s="2">
        <v>2.0</v>
      </c>
      <c r="E67" s="2">
        <v>0.0</v>
      </c>
      <c r="F67" s="2" t="s">
        <v>24</v>
      </c>
      <c r="G67" s="2">
        <v>0.4712</v>
      </c>
      <c r="H67" s="2" t="s">
        <v>25</v>
      </c>
      <c r="I67" s="2" t="s">
        <v>26</v>
      </c>
      <c r="J67" s="2" t="s">
        <v>27</v>
      </c>
      <c r="K67" s="2" t="s">
        <v>289</v>
      </c>
      <c r="L67" s="2" t="s">
        <v>59</v>
      </c>
      <c r="M67" s="2" t="s">
        <v>290</v>
      </c>
      <c r="N67" s="2" t="s">
        <v>291</v>
      </c>
      <c r="O67" s="2">
        <v>0.3645</v>
      </c>
      <c r="Q67" s="2">
        <v>8.5</v>
      </c>
      <c r="R67" s="2" t="s">
        <v>71</v>
      </c>
      <c r="S67" s="2">
        <v>0.0</v>
      </c>
      <c r="T67" s="2">
        <v>0.0</v>
      </c>
      <c r="U67" s="2">
        <v>3.0</v>
      </c>
    </row>
    <row r="68" ht="15.75" customHeight="1">
      <c r="A68" s="2" t="s">
        <v>260</v>
      </c>
      <c r="B68" s="2" t="s">
        <v>292</v>
      </c>
      <c r="C68" s="2" t="s">
        <v>293</v>
      </c>
      <c r="D68" s="2">
        <v>5.0</v>
      </c>
      <c r="E68" s="2">
        <v>-0.6476</v>
      </c>
      <c r="F68" s="2" t="s">
        <v>40</v>
      </c>
      <c r="G68" s="2">
        <v>0.6476</v>
      </c>
      <c r="H68" s="2" t="s">
        <v>76</v>
      </c>
      <c r="I68" s="2" t="s">
        <v>26</v>
      </c>
      <c r="J68" s="2" t="s">
        <v>77</v>
      </c>
      <c r="K68" s="2" t="s">
        <v>294</v>
      </c>
      <c r="L68" s="2" t="s">
        <v>294</v>
      </c>
      <c r="M68" s="2" t="s">
        <v>295</v>
      </c>
      <c r="N68" s="2" t="s">
        <v>296</v>
      </c>
      <c r="O68" s="2">
        <v>0.3238</v>
      </c>
      <c r="Q68" s="2">
        <v>3.0</v>
      </c>
      <c r="R68" s="2" t="s">
        <v>71</v>
      </c>
      <c r="S68" s="2">
        <v>0.0</v>
      </c>
      <c r="T68" s="2">
        <v>0.0</v>
      </c>
      <c r="U68" s="2">
        <v>3.0</v>
      </c>
    </row>
    <row r="69" ht="15.75" customHeight="1">
      <c r="A69" s="2" t="s">
        <v>260</v>
      </c>
      <c r="B69" s="2" t="s">
        <v>297</v>
      </c>
      <c r="C69" s="2" t="s">
        <v>298</v>
      </c>
      <c r="D69" s="2">
        <v>4.0</v>
      </c>
      <c r="E69" s="2">
        <v>0.0</v>
      </c>
      <c r="F69" s="2" t="s">
        <v>24</v>
      </c>
      <c r="G69" s="2">
        <v>0.5249</v>
      </c>
      <c r="H69" s="2" t="s">
        <v>25</v>
      </c>
      <c r="I69" s="2" t="s">
        <v>26</v>
      </c>
      <c r="J69" s="2" t="s">
        <v>27</v>
      </c>
      <c r="K69" s="2" t="s">
        <v>90</v>
      </c>
      <c r="L69" s="2" t="s">
        <v>43</v>
      </c>
      <c r="M69" s="2" t="s">
        <v>299</v>
      </c>
      <c r="N69" s="2" t="s">
        <v>300</v>
      </c>
      <c r="O69" s="2">
        <v>0.732</v>
      </c>
      <c r="Q69" s="2">
        <v>5.5</v>
      </c>
      <c r="R69" s="2" t="s">
        <v>71</v>
      </c>
      <c r="S69" s="2">
        <v>0.0</v>
      </c>
      <c r="T69" s="2">
        <v>0.0</v>
      </c>
      <c r="U69" s="2">
        <v>3.0</v>
      </c>
    </row>
    <row r="70" ht="15.75" customHeight="1">
      <c r="A70" s="2" t="s">
        <v>260</v>
      </c>
      <c r="B70" s="2" t="s">
        <v>301</v>
      </c>
      <c r="C70" s="2" t="s">
        <v>302</v>
      </c>
      <c r="D70" s="2">
        <v>2.0</v>
      </c>
      <c r="E70" s="2">
        <v>0.0</v>
      </c>
      <c r="F70" s="2" t="s">
        <v>24</v>
      </c>
      <c r="G70" s="2">
        <v>0.6685</v>
      </c>
      <c r="H70" s="2" t="s">
        <v>25</v>
      </c>
      <c r="I70" s="2" t="s">
        <v>26</v>
      </c>
      <c r="J70" s="2" t="s">
        <v>27</v>
      </c>
      <c r="K70" s="2" t="s">
        <v>303</v>
      </c>
      <c r="L70" s="2" t="s">
        <v>304</v>
      </c>
      <c r="M70" s="2" t="s">
        <v>305</v>
      </c>
      <c r="N70" s="2" t="s">
        <v>306</v>
      </c>
      <c r="O70" s="2">
        <v>0.8168</v>
      </c>
      <c r="Q70" s="2">
        <v>5.5</v>
      </c>
      <c r="R70" s="2" t="s">
        <v>71</v>
      </c>
      <c r="S70" s="2">
        <v>0.0</v>
      </c>
      <c r="T70" s="2">
        <v>0.0</v>
      </c>
      <c r="U70" s="2">
        <v>3.0</v>
      </c>
    </row>
    <row r="71" ht="15.75" customHeight="1">
      <c r="A71" s="2" t="s">
        <v>260</v>
      </c>
      <c r="B71" s="2" t="s">
        <v>307</v>
      </c>
      <c r="C71" s="2" t="s">
        <v>308</v>
      </c>
      <c r="D71" s="2">
        <v>2.0</v>
      </c>
      <c r="E71" s="2">
        <v>-0.7032</v>
      </c>
      <c r="F71" s="2" t="s">
        <v>40</v>
      </c>
      <c r="G71" s="2">
        <v>0.7032</v>
      </c>
      <c r="H71" s="2" t="s">
        <v>25</v>
      </c>
      <c r="I71" s="2" t="s">
        <v>26</v>
      </c>
      <c r="J71" s="2" t="s">
        <v>27</v>
      </c>
      <c r="K71" s="2" t="s">
        <v>309</v>
      </c>
      <c r="L71" s="2" t="s">
        <v>59</v>
      </c>
      <c r="M71" s="2" t="s">
        <v>310</v>
      </c>
      <c r="N71" s="2" t="s">
        <v>311</v>
      </c>
      <c r="O71" s="2">
        <v>0.8698</v>
      </c>
      <c r="Q71" s="2">
        <v>4.0</v>
      </c>
      <c r="R71" s="2" t="s">
        <v>71</v>
      </c>
      <c r="S71" s="2">
        <v>0.0</v>
      </c>
      <c r="T71" s="2">
        <v>0.0</v>
      </c>
      <c r="U71" s="2">
        <v>3.0</v>
      </c>
    </row>
    <row r="72" ht="15.75" customHeight="1">
      <c r="A72" s="2" t="s">
        <v>260</v>
      </c>
      <c r="B72" s="2" t="s">
        <v>312</v>
      </c>
      <c r="C72" s="2" t="s">
        <v>313</v>
      </c>
      <c r="D72" s="2">
        <v>2.0</v>
      </c>
      <c r="E72" s="2">
        <v>0.0</v>
      </c>
      <c r="F72" s="2" t="s">
        <v>24</v>
      </c>
      <c r="G72" s="2">
        <v>0.636</v>
      </c>
      <c r="H72" s="2" t="s">
        <v>25</v>
      </c>
      <c r="I72" s="2" t="s">
        <v>26</v>
      </c>
      <c r="J72" s="2" t="s">
        <v>27</v>
      </c>
      <c r="K72" s="2" t="s">
        <v>59</v>
      </c>
      <c r="L72" s="2" t="s">
        <v>59</v>
      </c>
      <c r="M72" s="2" t="s">
        <v>314</v>
      </c>
      <c r="N72" s="2" t="s">
        <v>315</v>
      </c>
      <c r="O72" s="2">
        <v>0.3769</v>
      </c>
      <c r="Q72" s="2">
        <v>3.0</v>
      </c>
      <c r="R72" s="2" t="s">
        <v>32</v>
      </c>
      <c r="S72" s="2">
        <v>3.0</v>
      </c>
      <c r="T72" s="2">
        <v>0.0</v>
      </c>
      <c r="U72" s="2">
        <v>3.0</v>
      </c>
    </row>
    <row r="73" ht="15.75" customHeight="1">
      <c r="A73" s="2" t="s">
        <v>260</v>
      </c>
      <c r="B73" s="2" t="s">
        <v>316</v>
      </c>
      <c r="C73" s="2" t="s">
        <v>317</v>
      </c>
      <c r="D73" s="2">
        <v>4.0</v>
      </c>
      <c r="E73" s="2">
        <v>0.0</v>
      </c>
      <c r="F73" s="2" t="s">
        <v>24</v>
      </c>
      <c r="G73" s="2">
        <v>0.4846</v>
      </c>
      <c r="H73" s="2" t="s">
        <v>47</v>
      </c>
      <c r="I73" s="2" t="s">
        <v>318</v>
      </c>
      <c r="J73" s="2" t="s">
        <v>227</v>
      </c>
      <c r="K73" s="2" t="s">
        <v>63</v>
      </c>
      <c r="L73" s="2" t="s">
        <v>63</v>
      </c>
      <c r="M73" s="2" t="s">
        <v>319</v>
      </c>
      <c r="N73" s="2" t="s">
        <v>320</v>
      </c>
      <c r="O73" s="2">
        <v>1.0</v>
      </c>
      <c r="Q73" s="2">
        <v>6.5</v>
      </c>
      <c r="R73" s="2" t="s">
        <v>38</v>
      </c>
      <c r="S73" s="2">
        <v>2.5</v>
      </c>
      <c r="T73" s="2">
        <v>0.0</v>
      </c>
      <c r="U73" s="2">
        <v>3.0</v>
      </c>
    </row>
    <row r="74" ht="15.75" customHeight="1">
      <c r="A74" s="2" t="s">
        <v>260</v>
      </c>
      <c r="B74" s="2" t="s">
        <v>321</v>
      </c>
      <c r="C74" s="2" t="s">
        <v>322</v>
      </c>
      <c r="D74" s="2">
        <v>4.0</v>
      </c>
      <c r="E74" s="2">
        <v>-0.6227</v>
      </c>
      <c r="F74" s="2" t="s">
        <v>40</v>
      </c>
      <c r="G74" s="2">
        <v>0.6227</v>
      </c>
      <c r="H74" s="2" t="s">
        <v>41</v>
      </c>
      <c r="I74" s="2" t="s">
        <v>26</v>
      </c>
      <c r="J74" s="2" t="s">
        <v>42</v>
      </c>
      <c r="K74" s="2" t="s">
        <v>323</v>
      </c>
      <c r="L74" s="2" t="s">
        <v>323</v>
      </c>
      <c r="M74" s="2" t="s">
        <v>324</v>
      </c>
      <c r="N74" s="2" t="s">
        <v>325</v>
      </c>
      <c r="O74" s="2">
        <v>0.3412</v>
      </c>
      <c r="Q74" s="2">
        <v>8.0</v>
      </c>
      <c r="R74" s="2" t="s">
        <v>32</v>
      </c>
      <c r="S74" s="2">
        <v>1.0</v>
      </c>
      <c r="T74" s="2">
        <v>0.0</v>
      </c>
      <c r="U74" s="2">
        <v>3.0</v>
      </c>
    </row>
    <row r="75" ht="15.75" customHeight="1">
      <c r="A75" s="2" t="s">
        <v>260</v>
      </c>
      <c r="B75" s="2" t="s">
        <v>326</v>
      </c>
      <c r="C75" s="2" t="s">
        <v>327</v>
      </c>
      <c r="D75" s="2">
        <v>2.0</v>
      </c>
      <c r="E75" s="2">
        <v>-0.5702</v>
      </c>
      <c r="F75" s="2" t="s">
        <v>40</v>
      </c>
      <c r="G75" s="2">
        <v>0.5702</v>
      </c>
      <c r="H75" s="2" t="s">
        <v>25</v>
      </c>
      <c r="I75" s="2" t="s">
        <v>26</v>
      </c>
      <c r="J75" s="2" t="s">
        <v>27</v>
      </c>
      <c r="K75" s="2" t="s">
        <v>328</v>
      </c>
      <c r="L75" s="2" t="s">
        <v>294</v>
      </c>
      <c r="M75" s="2" t="s">
        <v>329</v>
      </c>
      <c r="N75" s="2" t="s">
        <v>330</v>
      </c>
      <c r="O75" s="2">
        <v>0.281</v>
      </c>
      <c r="Q75" s="2">
        <v>8.5</v>
      </c>
      <c r="R75" s="2" t="s">
        <v>38</v>
      </c>
      <c r="S75" s="2">
        <v>5.5</v>
      </c>
      <c r="T75" s="2">
        <v>0.0</v>
      </c>
      <c r="U75" s="2">
        <v>3.0</v>
      </c>
    </row>
    <row r="76" ht="15.75" customHeight="1">
      <c r="A76" s="2" t="s">
        <v>260</v>
      </c>
      <c r="B76" s="2" t="s">
        <v>331</v>
      </c>
      <c r="C76" s="2" t="s">
        <v>332</v>
      </c>
      <c r="D76" s="2">
        <v>2.0</v>
      </c>
      <c r="E76" s="2">
        <v>-0.6798</v>
      </c>
      <c r="F76" s="2" t="s">
        <v>40</v>
      </c>
      <c r="G76" s="2">
        <v>0.6798</v>
      </c>
      <c r="H76" s="2" t="s">
        <v>25</v>
      </c>
      <c r="I76" s="2" t="s">
        <v>26</v>
      </c>
      <c r="J76" s="2" t="s">
        <v>27</v>
      </c>
      <c r="K76" s="2" t="s">
        <v>333</v>
      </c>
      <c r="L76" s="2" t="s">
        <v>51</v>
      </c>
      <c r="M76" s="2" t="s">
        <v>334</v>
      </c>
      <c r="N76" s="2" t="s">
        <v>335</v>
      </c>
      <c r="O76" s="2">
        <v>0.9061</v>
      </c>
      <c r="Q76" s="2">
        <v>4.0</v>
      </c>
      <c r="R76" s="2" t="s">
        <v>71</v>
      </c>
      <c r="S76" s="2">
        <v>0.0</v>
      </c>
      <c r="T76" s="2">
        <v>0.0</v>
      </c>
      <c r="U76" s="2">
        <v>3.0</v>
      </c>
    </row>
    <row r="77" ht="15.75" customHeight="1">
      <c r="A77" s="2" t="s">
        <v>260</v>
      </c>
      <c r="B77" s="2" t="s">
        <v>336</v>
      </c>
      <c r="C77" s="2" t="s">
        <v>337</v>
      </c>
      <c r="D77" s="2">
        <v>2.0</v>
      </c>
      <c r="E77" s="2">
        <v>-0.6624</v>
      </c>
      <c r="F77" s="2" t="s">
        <v>40</v>
      </c>
      <c r="G77" s="2">
        <v>0.6624</v>
      </c>
      <c r="H77" s="2" t="s">
        <v>41</v>
      </c>
      <c r="I77" s="2" t="s">
        <v>26</v>
      </c>
      <c r="J77" s="2" t="s">
        <v>67</v>
      </c>
      <c r="K77" s="2" t="s">
        <v>303</v>
      </c>
      <c r="L77" s="2" t="s">
        <v>304</v>
      </c>
      <c r="M77" s="2" t="s">
        <v>338</v>
      </c>
      <c r="N77" s="2" t="s">
        <v>339</v>
      </c>
      <c r="O77" s="2">
        <v>0.9345</v>
      </c>
      <c r="Q77" s="2">
        <v>5.5</v>
      </c>
      <c r="R77" s="2" t="s">
        <v>38</v>
      </c>
      <c r="S77" s="2">
        <v>5.5</v>
      </c>
      <c r="T77" s="2">
        <v>0.0</v>
      </c>
      <c r="U77" s="2">
        <v>3.0</v>
      </c>
    </row>
    <row r="78" ht="15.75" customHeight="1">
      <c r="A78" s="2" t="s">
        <v>260</v>
      </c>
      <c r="B78" s="2" t="s">
        <v>340</v>
      </c>
      <c r="C78" s="2" t="s">
        <v>341</v>
      </c>
      <c r="D78" s="2">
        <v>2.0</v>
      </c>
      <c r="E78" s="2">
        <v>0.0</v>
      </c>
      <c r="F78" s="2" t="s">
        <v>24</v>
      </c>
      <c r="G78" s="2">
        <v>0.5776</v>
      </c>
      <c r="H78" s="2" t="s">
        <v>25</v>
      </c>
      <c r="I78" s="2" t="s">
        <v>26</v>
      </c>
      <c r="J78" s="2" t="s">
        <v>27</v>
      </c>
      <c r="K78" s="2" t="s">
        <v>55</v>
      </c>
      <c r="L78" s="2" t="s">
        <v>55</v>
      </c>
      <c r="M78" s="2" t="s">
        <v>342</v>
      </c>
      <c r="N78" s="2" t="s">
        <v>343</v>
      </c>
      <c r="O78" s="2">
        <v>0.5089</v>
      </c>
      <c r="Q78" s="2">
        <v>5.0</v>
      </c>
      <c r="R78" s="2" t="s">
        <v>38</v>
      </c>
      <c r="S78" s="2">
        <v>2.0</v>
      </c>
      <c r="T78" s="2">
        <v>0.0</v>
      </c>
      <c r="U78" s="2">
        <v>3.0</v>
      </c>
    </row>
    <row r="79" ht="15.75" customHeight="1">
      <c r="A79" s="2" t="s">
        <v>260</v>
      </c>
      <c r="B79" s="2" t="s">
        <v>344</v>
      </c>
      <c r="C79" s="2" t="s">
        <v>345</v>
      </c>
      <c r="D79" s="2">
        <v>2.0</v>
      </c>
      <c r="E79" s="2">
        <v>-0.5233</v>
      </c>
      <c r="F79" s="2" t="s">
        <v>40</v>
      </c>
      <c r="G79" s="2">
        <v>0.5233</v>
      </c>
      <c r="H79" s="2" t="s">
        <v>25</v>
      </c>
      <c r="I79" s="2" t="s">
        <v>26</v>
      </c>
      <c r="J79" s="2" t="s">
        <v>27</v>
      </c>
      <c r="K79" s="2" t="s">
        <v>346</v>
      </c>
      <c r="L79" s="2" t="s">
        <v>347</v>
      </c>
      <c r="M79" s="2" t="s">
        <v>348</v>
      </c>
      <c r="N79" s="2" t="s">
        <v>349</v>
      </c>
      <c r="O79" s="2">
        <v>0.6564</v>
      </c>
      <c r="Q79" s="2">
        <v>6.5</v>
      </c>
      <c r="R79" s="2" t="s">
        <v>38</v>
      </c>
      <c r="S79" s="2">
        <v>2.5</v>
      </c>
      <c r="T79" s="2">
        <v>0.0</v>
      </c>
      <c r="U79" s="2">
        <v>3.0</v>
      </c>
    </row>
    <row r="80" ht="15.75" customHeight="1">
      <c r="A80" s="2" t="s">
        <v>260</v>
      </c>
      <c r="B80" s="2" t="s">
        <v>350</v>
      </c>
      <c r="C80" s="2" t="s">
        <v>351</v>
      </c>
      <c r="D80" s="2">
        <v>2.0</v>
      </c>
      <c r="E80" s="2">
        <v>0.0</v>
      </c>
      <c r="F80" s="2" t="s">
        <v>24</v>
      </c>
      <c r="G80" s="2">
        <v>0.5061</v>
      </c>
      <c r="H80" s="2" t="s">
        <v>25</v>
      </c>
      <c r="I80" s="2" t="s">
        <v>26</v>
      </c>
      <c r="J80" s="2" t="s">
        <v>27</v>
      </c>
      <c r="K80" s="2" t="s">
        <v>352</v>
      </c>
      <c r="L80" s="2" t="s">
        <v>232</v>
      </c>
      <c r="M80" s="2" t="s">
        <v>353</v>
      </c>
      <c r="N80" s="2" t="s">
        <v>354</v>
      </c>
      <c r="O80" s="2">
        <v>0.6396</v>
      </c>
      <c r="Q80" s="2">
        <v>4.5</v>
      </c>
      <c r="R80" s="2" t="s">
        <v>32</v>
      </c>
      <c r="S80" s="2">
        <v>3.5</v>
      </c>
      <c r="T80" s="2">
        <v>0.0</v>
      </c>
      <c r="U80" s="2">
        <v>3.0</v>
      </c>
    </row>
    <row r="81" ht="15.75" customHeight="1">
      <c r="A81" s="2" t="s">
        <v>260</v>
      </c>
      <c r="B81" s="2" t="s">
        <v>355</v>
      </c>
      <c r="C81" s="2" t="s">
        <v>356</v>
      </c>
      <c r="D81" s="2">
        <v>3.0</v>
      </c>
      <c r="E81" s="2">
        <v>-0.7841</v>
      </c>
      <c r="F81" s="2" t="s">
        <v>40</v>
      </c>
      <c r="G81" s="2">
        <v>0.7841</v>
      </c>
      <c r="H81" s="2" t="s">
        <v>104</v>
      </c>
      <c r="I81" s="2" t="s">
        <v>242</v>
      </c>
      <c r="J81" s="2" t="s">
        <v>105</v>
      </c>
      <c r="K81" s="2" t="s">
        <v>59</v>
      </c>
      <c r="L81" s="2" t="s">
        <v>59</v>
      </c>
      <c r="M81" s="2" t="s">
        <v>357</v>
      </c>
      <c r="N81" s="2" t="s">
        <v>358</v>
      </c>
      <c r="O81" s="2">
        <v>1.0</v>
      </c>
      <c r="Q81" s="2">
        <v>8.0</v>
      </c>
      <c r="R81" s="2" t="s">
        <v>38</v>
      </c>
      <c r="S81" s="2">
        <v>5.0</v>
      </c>
      <c r="T81" s="2">
        <v>0.0</v>
      </c>
      <c r="U81" s="2">
        <v>3.0</v>
      </c>
    </row>
    <row r="82" ht="15.75" customHeight="1">
      <c r="A82" s="2" t="s">
        <v>260</v>
      </c>
      <c r="B82" s="2" t="s">
        <v>359</v>
      </c>
      <c r="C82" s="2" t="s">
        <v>360</v>
      </c>
      <c r="D82" s="2">
        <v>4.0</v>
      </c>
      <c r="E82" s="2">
        <v>-0.5424</v>
      </c>
      <c r="F82" s="2" t="s">
        <v>40</v>
      </c>
      <c r="G82" s="2">
        <v>0.5424</v>
      </c>
      <c r="H82" s="2" t="s">
        <v>25</v>
      </c>
      <c r="I82" s="2" t="s">
        <v>26</v>
      </c>
      <c r="J82" s="2" t="s">
        <v>27</v>
      </c>
      <c r="K82" s="2" t="s">
        <v>59</v>
      </c>
      <c r="L82" s="2" t="s">
        <v>59</v>
      </c>
      <c r="M82" s="2" t="s">
        <v>361</v>
      </c>
      <c r="N82" s="2" t="s">
        <v>362</v>
      </c>
      <c r="O82" s="2">
        <v>0.355</v>
      </c>
      <c r="Q82" s="2">
        <v>5.0</v>
      </c>
      <c r="R82" s="2" t="s">
        <v>71</v>
      </c>
      <c r="S82" s="2">
        <v>0.0</v>
      </c>
      <c r="T82" s="2">
        <v>0.0</v>
      </c>
      <c r="U82" s="2">
        <v>3.0</v>
      </c>
    </row>
    <row r="83" ht="15.75" customHeight="1">
      <c r="A83" s="2" t="s">
        <v>260</v>
      </c>
      <c r="B83" s="2" t="s">
        <v>363</v>
      </c>
      <c r="C83" s="2" t="s">
        <v>364</v>
      </c>
      <c r="D83" s="2">
        <v>5.0</v>
      </c>
      <c r="E83" s="2">
        <v>-0.5016</v>
      </c>
      <c r="F83" s="2" t="s">
        <v>40</v>
      </c>
      <c r="G83" s="2">
        <v>0.5016</v>
      </c>
      <c r="H83" s="2" t="s">
        <v>47</v>
      </c>
      <c r="I83" s="2" t="s">
        <v>186</v>
      </c>
      <c r="J83" s="2" t="s">
        <v>227</v>
      </c>
      <c r="K83" s="2" t="s">
        <v>365</v>
      </c>
      <c r="L83" s="2" t="s">
        <v>51</v>
      </c>
      <c r="M83" s="2" t="s">
        <v>366</v>
      </c>
      <c r="N83" s="2" t="s">
        <v>367</v>
      </c>
      <c r="O83" s="2">
        <v>1.0</v>
      </c>
      <c r="Q83" s="2">
        <v>8.5</v>
      </c>
      <c r="R83" s="2" t="s">
        <v>38</v>
      </c>
      <c r="S83" s="2">
        <v>2.0</v>
      </c>
      <c r="T83" s="2">
        <v>0.0</v>
      </c>
      <c r="U83" s="2">
        <v>3.0</v>
      </c>
    </row>
    <row r="84" ht="15.75" customHeight="1">
      <c r="A84" s="2" t="s">
        <v>368</v>
      </c>
      <c r="B84" s="2" t="s">
        <v>369</v>
      </c>
      <c r="C84" s="2" t="s">
        <v>370</v>
      </c>
      <c r="D84" s="2">
        <v>4.0</v>
      </c>
      <c r="E84" s="2">
        <v>0.0</v>
      </c>
      <c r="F84" s="2" t="s">
        <v>24</v>
      </c>
      <c r="G84" s="2">
        <v>0.5516</v>
      </c>
      <c r="H84" s="2" t="s">
        <v>47</v>
      </c>
      <c r="I84" s="2" t="s">
        <v>318</v>
      </c>
      <c r="J84" s="2" t="s">
        <v>227</v>
      </c>
      <c r="K84" s="2" t="s">
        <v>328</v>
      </c>
      <c r="L84" s="2" t="s">
        <v>294</v>
      </c>
      <c r="M84" s="2" t="s">
        <v>371</v>
      </c>
      <c r="N84" s="2" t="s">
        <v>372</v>
      </c>
      <c r="O84" s="2">
        <v>1.0</v>
      </c>
      <c r="Q84" s="2">
        <v>8.5</v>
      </c>
      <c r="R84" s="2" t="s">
        <v>38</v>
      </c>
      <c r="S84" s="2">
        <v>2.5</v>
      </c>
      <c r="T84" s="2">
        <v>0.0</v>
      </c>
      <c r="U84" s="2">
        <v>2.0</v>
      </c>
    </row>
    <row r="85" ht="15.75" customHeight="1">
      <c r="A85" s="2" t="s">
        <v>368</v>
      </c>
      <c r="B85" s="2" t="s">
        <v>373</v>
      </c>
      <c r="C85" s="2" t="s">
        <v>374</v>
      </c>
      <c r="D85" s="2">
        <v>4.0</v>
      </c>
      <c r="E85" s="2">
        <v>0.0</v>
      </c>
      <c r="F85" s="2" t="s">
        <v>24</v>
      </c>
      <c r="G85" s="2">
        <v>0.6068</v>
      </c>
      <c r="H85" s="2" t="s">
        <v>76</v>
      </c>
      <c r="I85" s="2" t="s">
        <v>26</v>
      </c>
      <c r="J85" s="2" t="s">
        <v>77</v>
      </c>
      <c r="K85" s="2" t="s">
        <v>328</v>
      </c>
      <c r="L85" s="2" t="s">
        <v>294</v>
      </c>
      <c r="M85" s="2" t="s">
        <v>375</v>
      </c>
      <c r="N85" s="2" t="s">
        <v>376</v>
      </c>
      <c r="O85" s="2">
        <v>0.2881</v>
      </c>
      <c r="Q85" s="2">
        <v>6.5</v>
      </c>
      <c r="R85" s="2" t="s">
        <v>38</v>
      </c>
      <c r="S85" s="2">
        <v>3.5</v>
      </c>
      <c r="T85" s="2">
        <v>0.0</v>
      </c>
      <c r="U85" s="2">
        <v>2.0</v>
      </c>
    </row>
    <row r="86" ht="15.75" customHeight="1">
      <c r="A86" s="2" t="s">
        <v>368</v>
      </c>
      <c r="B86" s="2" t="s">
        <v>377</v>
      </c>
      <c r="C86" s="2" t="s">
        <v>378</v>
      </c>
      <c r="D86" s="2">
        <v>4.0</v>
      </c>
      <c r="E86" s="2">
        <v>-0.4559</v>
      </c>
      <c r="F86" s="2" t="s">
        <v>40</v>
      </c>
      <c r="G86" s="2">
        <v>0.4559</v>
      </c>
      <c r="H86" s="2" t="s">
        <v>47</v>
      </c>
      <c r="I86" s="2" t="s">
        <v>318</v>
      </c>
      <c r="J86" s="2" t="s">
        <v>227</v>
      </c>
      <c r="K86" s="2" t="s">
        <v>379</v>
      </c>
      <c r="L86" s="2" t="s">
        <v>294</v>
      </c>
      <c r="M86" s="2" t="s">
        <v>380</v>
      </c>
      <c r="N86" s="2" t="s">
        <v>381</v>
      </c>
      <c r="O86" s="2">
        <v>1.0</v>
      </c>
      <c r="Q86" s="2">
        <v>8.5</v>
      </c>
      <c r="R86" s="2" t="s">
        <v>38</v>
      </c>
      <c r="S86" s="2">
        <v>3.5</v>
      </c>
      <c r="T86" s="2">
        <v>0.0</v>
      </c>
      <c r="U86" s="2">
        <v>2.0</v>
      </c>
    </row>
    <row r="87" ht="15.75" customHeight="1">
      <c r="A87" s="2" t="s">
        <v>368</v>
      </c>
      <c r="B87" s="2" t="s">
        <v>382</v>
      </c>
      <c r="C87" s="2" t="s">
        <v>383</v>
      </c>
      <c r="D87" s="2">
        <v>5.0</v>
      </c>
      <c r="E87" s="2">
        <v>0.0</v>
      </c>
      <c r="F87" s="2" t="s">
        <v>24</v>
      </c>
      <c r="G87" s="2">
        <v>0.4702</v>
      </c>
      <c r="H87" s="2" t="s">
        <v>138</v>
      </c>
      <c r="I87" s="2" t="s">
        <v>384</v>
      </c>
      <c r="J87" s="2" t="s">
        <v>140</v>
      </c>
      <c r="K87" s="2" t="s">
        <v>294</v>
      </c>
      <c r="L87" s="2" t="s">
        <v>294</v>
      </c>
      <c r="M87" s="2" t="s">
        <v>385</v>
      </c>
      <c r="N87" s="2" t="s">
        <v>386</v>
      </c>
      <c r="O87" s="2">
        <v>1.0</v>
      </c>
      <c r="Q87" s="2">
        <v>8.0</v>
      </c>
      <c r="R87" s="2" t="s">
        <v>38</v>
      </c>
      <c r="S87" s="2">
        <v>5.0</v>
      </c>
      <c r="T87" s="2">
        <v>0.0</v>
      </c>
      <c r="U87" s="2">
        <v>2.0</v>
      </c>
    </row>
    <row r="88" ht="15.75" customHeight="1">
      <c r="A88" s="2" t="s">
        <v>368</v>
      </c>
      <c r="B88" s="2" t="s">
        <v>387</v>
      </c>
      <c r="C88" s="2" t="s">
        <v>388</v>
      </c>
      <c r="D88" s="2">
        <v>2.0</v>
      </c>
      <c r="E88" s="2">
        <v>-0.4484</v>
      </c>
      <c r="F88" s="2" t="s">
        <v>40</v>
      </c>
      <c r="G88" s="2">
        <v>0.4484</v>
      </c>
      <c r="H88" s="2" t="s">
        <v>25</v>
      </c>
      <c r="I88" s="2" t="s">
        <v>26</v>
      </c>
      <c r="J88" s="2" t="s">
        <v>27</v>
      </c>
      <c r="K88" s="2" t="s">
        <v>294</v>
      </c>
      <c r="L88" s="2" t="s">
        <v>294</v>
      </c>
      <c r="M88" s="2" t="s">
        <v>389</v>
      </c>
      <c r="N88" s="2" t="s">
        <v>390</v>
      </c>
      <c r="O88" s="2">
        <v>0.5551</v>
      </c>
      <c r="Q88" s="2">
        <v>8.0</v>
      </c>
      <c r="R88" s="2" t="s">
        <v>38</v>
      </c>
      <c r="S88" s="2">
        <v>3.0</v>
      </c>
      <c r="T88" s="2">
        <v>0.0</v>
      </c>
      <c r="U88" s="2">
        <v>2.0</v>
      </c>
    </row>
    <row r="89" ht="15.75" customHeight="1">
      <c r="A89" s="2" t="s">
        <v>368</v>
      </c>
      <c r="B89" s="2" t="s">
        <v>391</v>
      </c>
      <c r="C89" s="2" t="s">
        <v>392</v>
      </c>
      <c r="D89" s="2">
        <v>1.0</v>
      </c>
      <c r="E89" s="2">
        <v>0.0</v>
      </c>
      <c r="F89" s="2" t="s">
        <v>24</v>
      </c>
      <c r="G89" s="2">
        <v>0.7189</v>
      </c>
      <c r="H89" s="2" t="s">
        <v>76</v>
      </c>
      <c r="I89" s="2" t="s">
        <v>26</v>
      </c>
      <c r="J89" s="2" t="s">
        <v>77</v>
      </c>
      <c r="K89" s="2" t="s">
        <v>294</v>
      </c>
      <c r="L89" s="2" t="s">
        <v>294</v>
      </c>
      <c r="M89" s="2" t="s">
        <v>393</v>
      </c>
      <c r="N89" s="2" t="s">
        <v>394</v>
      </c>
      <c r="O89" s="2">
        <v>0.2286</v>
      </c>
      <c r="Q89" s="2">
        <v>8.0</v>
      </c>
      <c r="R89" s="2" t="s">
        <v>71</v>
      </c>
      <c r="S89" s="2">
        <v>0.0</v>
      </c>
      <c r="T89" s="2">
        <v>0.0</v>
      </c>
      <c r="U89" s="2">
        <v>2.0</v>
      </c>
    </row>
    <row r="90" ht="15.75" customHeight="1">
      <c r="A90" s="2" t="s">
        <v>368</v>
      </c>
      <c r="B90" s="2" t="s">
        <v>395</v>
      </c>
      <c r="C90" s="2" t="s">
        <v>396</v>
      </c>
      <c r="D90" s="2">
        <v>1.0</v>
      </c>
      <c r="E90" s="2">
        <v>0.4897</v>
      </c>
      <c r="F90" s="2" t="s">
        <v>279</v>
      </c>
      <c r="G90" s="2">
        <v>0.4897</v>
      </c>
      <c r="H90" s="2" t="s">
        <v>76</v>
      </c>
      <c r="I90" s="2" t="s">
        <v>26</v>
      </c>
      <c r="J90" s="2" t="s">
        <v>77</v>
      </c>
      <c r="K90" s="2" t="s">
        <v>294</v>
      </c>
      <c r="L90" s="2" t="s">
        <v>294</v>
      </c>
      <c r="M90" s="2" t="s">
        <v>397</v>
      </c>
      <c r="N90" s="2" t="s">
        <v>398</v>
      </c>
      <c r="O90" s="2">
        <v>0.3666</v>
      </c>
      <c r="Q90" s="2">
        <v>8.0</v>
      </c>
      <c r="R90" s="2" t="s">
        <v>38</v>
      </c>
      <c r="S90" s="2">
        <v>5.0</v>
      </c>
      <c r="T90" s="2">
        <v>0.0</v>
      </c>
      <c r="U90" s="2">
        <v>2.0</v>
      </c>
    </row>
    <row r="91" ht="15.75" customHeight="1">
      <c r="A91" s="2" t="s">
        <v>368</v>
      </c>
      <c r="B91" s="2" t="s">
        <v>399</v>
      </c>
      <c r="C91" s="2" t="s">
        <v>400</v>
      </c>
      <c r="D91" s="2">
        <v>2.0</v>
      </c>
      <c r="E91" s="2">
        <v>-0.4645</v>
      </c>
      <c r="F91" s="2" t="s">
        <v>40</v>
      </c>
      <c r="G91" s="2">
        <v>0.4645</v>
      </c>
      <c r="H91" s="2" t="s">
        <v>25</v>
      </c>
      <c r="I91" s="2" t="s">
        <v>26</v>
      </c>
      <c r="J91" s="2" t="s">
        <v>27</v>
      </c>
      <c r="K91" s="2" t="s">
        <v>294</v>
      </c>
      <c r="L91" s="2" t="s">
        <v>294</v>
      </c>
      <c r="M91" s="2" t="s">
        <v>401</v>
      </c>
      <c r="N91" s="2" t="s">
        <v>402</v>
      </c>
      <c r="O91" s="2">
        <v>0.4683</v>
      </c>
      <c r="Q91" s="2">
        <v>5.0</v>
      </c>
      <c r="R91" s="2" t="s">
        <v>38</v>
      </c>
      <c r="S91" s="2">
        <v>2.0</v>
      </c>
      <c r="T91" s="2">
        <v>0.0</v>
      </c>
      <c r="U91" s="2">
        <v>2.0</v>
      </c>
    </row>
    <row r="92" ht="15.75" customHeight="1">
      <c r="A92" s="2" t="s">
        <v>368</v>
      </c>
      <c r="B92" s="2" t="s">
        <v>403</v>
      </c>
      <c r="C92" s="2" t="s">
        <v>404</v>
      </c>
      <c r="D92" s="2">
        <v>4.0</v>
      </c>
      <c r="E92" s="2">
        <v>0.0</v>
      </c>
      <c r="F92" s="2" t="s">
        <v>24</v>
      </c>
      <c r="G92" s="2">
        <v>0.5022</v>
      </c>
      <c r="H92" s="2" t="s">
        <v>25</v>
      </c>
      <c r="I92" s="2" t="s">
        <v>26</v>
      </c>
      <c r="J92" s="2" t="s">
        <v>27</v>
      </c>
      <c r="K92" s="2" t="s">
        <v>328</v>
      </c>
      <c r="L92" s="2" t="s">
        <v>294</v>
      </c>
      <c r="M92" s="2" t="s">
        <v>405</v>
      </c>
      <c r="N92" s="2" t="s">
        <v>406</v>
      </c>
      <c r="O92" s="2">
        <v>0.4963</v>
      </c>
      <c r="Q92" s="2">
        <v>8.5</v>
      </c>
      <c r="R92" s="2" t="s">
        <v>71</v>
      </c>
      <c r="S92" s="2">
        <v>0.0</v>
      </c>
      <c r="T92" s="2">
        <v>0.0</v>
      </c>
      <c r="U92" s="2">
        <v>2.0</v>
      </c>
    </row>
    <row r="93" ht="15.75" customHeight="1">
      <c r="A93" s="2" t="s">
        <v>368</v>
      </c>
      <c r="B93" s="2" t="s">
        <v>407</v>
      </c>
      <c r="C93" s="2" t="s">
        <v>408</v>
      </c>
      <c r="D93" s="2">
        <v>1.0</v>
      </c>
      <c r="E93" s="2">
        <v>-0.5418</v>
      </c>
      <c r="F93" s="2" t="s">
        <v>40</v>
      </c>
      <c r="G93" s="2">
        <v>0.5418</v>
      </c>
      <c r="H93" s="2" t="s">
        <v>76</v>
      </c>
      <c r="I93" s="2" t="s">
        <v>26</v>
      </c>
      <c r="J93" s="2" t="s">
        <v>77</v>
      </c>
      <c r="K93" s="2" t="s">
        <v>43</v>
      </c>
      <c r="L93" s="2" t="s">
        <v>43</v>
      </c>
      <c r="M93" s="2" t="s">
        <v>409</v>
      </c>
      <c r="N93" s="2" t="s">
        <v>410</v>
      </c>
      <c r="O93" s="2">
        <v>0.4261</v>
      </c>
      <c r="Q93" s="2">
        <v>2.0</v>
      </c>
      <c r="R93" s="2" t="s">
        <v>71</v>
      </c>
      <c r="S93" s="2">
        <v>1.0</v>
      </c>
      <c r="T93" s="2">
        <v>0.0</v>
      </c>
      <c r="U93" s="2">
        <v>2.0</v>
      </c>
    </row>
    <row r="94" ht="15.75" customHeight="1">
      <c r="A94" s="2" t="s">
        <v>368</v>
      </c>
      <c r="B94" s="2" t="s">
        <v>411</v>
      </c>
      <c r="C94" s="2" t="s">
        <v>412</v>
      </c>
      <c r="D94" s="2">
        <v>5.0</v>
      </c>
      <c r="E94" s="2">
        <v>-0.4529</v>
      </c>
      <c r="F94" s="2" t="s">
        <v>40</v>
      </c>
      <c r="G94" s="2">
        <v>0.4529</v>
      </c>
      <c r="H94" s="2" t="s">
        <v>47</v>
      </c>
      <c r="I94" s="2" t="s">
        <v>318</v>
      </c>
      <c r="J94" s="2" t="s">
        <v>227</v>
      </c>
      <c r="K94" s="2" t="s">
        <v>294</v>
      </c>
      <c r="L94" s="2" t="s">
        <v>294</v>
      </c>
      <c r="M94" s="2" t="s">
        <v>413</v>
      </c>
      <c r="N94" s="2" t="s">
        <v>414</v>
      </c>
      <c r="O94" s="2">
        <v>1.0</v>
      </c>
      <c r="Q94" s="2">
        <v>6.0</v>
      </c>
      <c r="R94" s="2" t="s">
        <v>38</v>
      </c>
      <c r="S94" s="2">
        <v>2.0</v>
      </c>
      <c r="T94" s="2">
        <v>0.0</v>
      </c>
      <c r="U94" s="2">
        <v>2.0</v>
      </c>
    </row>
    <row r="95" ht="15.75" customHeight="1">
      <c r="A95" s="2" t="s">
        <v>368</v>
      </c>
      <c r="B95" s="2" t="s">
        <v>415</v>
      </c>
      <c r="C95" s="2" t="s">
        <v>416</v>
      </c>
      <c r="D95" s="2">
        <v>1.0</v>
      </c>
      <c r="E95" s="2">
        <v>0.0</v>
      </c>
      <c r="F95" s="2" t="s">
        <v>24</v>
      </c>
      <c r="G95" s="2">
        <v>0.5782</v>
      </c>
      <c r="H95" s="2" t="s">
        <v>76</v>
      </c>
      <c r="I95" s="2" t="s">
        <v>26</v>
      </c>
      <c r="J95" s="2" t="s">
        <v>77</v>
      </c>
      <c r="K95" s="2" t="s">
        <v>294</v>
      </c>
      <c r="L95" s="2" t="s">
        <v>294</v>
      </c>
      <c r="M95" s="2" t="s">
        <v>417</v>
      </c>
      <c r="N95" s="2" t="s">
        <v>418</v>
      </c>
      <c r="O95" s="2">
        <v>0.3497</v>
      </c>
      <c r="Q95" s="2">
        <v>8.0</v>
      </c>
      <c r="R95" s="2" t="s">
        <v>38</v>
      </c>
      <c r="S95" s="2">
        <v>3.0</v>
      </c>
      <c r="T95" s="2">
        <v>0.0</v>
      </c>
      <c r="U95" s="2">
        <v>2.0</v>
      </c>
    </row>
    <row r="96" ht="15.75" customHeight="1">
      <c r="A96" s="2" t="s">
        <v>368</v>
      </c>
      <c r="B96" s="2" t="s">
        <v>419</v>
      </c>
      <c r="C96" s="2" t="s">
        <v>190</v>
      </c>
      <c r="D96" s="2">
        <v>5.0</v>
      </c>
      <c r="E96" s="2">
        <v>-0.718</v>
      </c>
      <c r="F96" s="2" t="s">
        <v>40</v>
      </c>
      <c r="G96" s="2">
        <v>0.718</v>
      </c>
      <c r="H96" s="2" t="s">
        <v>138</v>
      </c>
      <c r="I96" s="2" t="s">
        <v>384</v>
      </c>
      <c r="J96" s="2" t="s">
        <v>140</v>
      </c>
      <c r="K96" s="2" t="s">
        <v>294</v>
      </c>
      <c r="L96" s="2" t="s">
        <v>294</v>
      </c>
      <c r="M96" s="2" t="s">
        <v>420</v>
      </c>
      <c r="N96" s="2" t="s">
        <v>421</v>
      </c>
      <c r="O96" s="2">
        <v>1.0</v>
      </c>
      <c r="Q96" s="2">
        <v>5.0</v>
      </c>
      <c r="R96" s="2" t="s">
        <v>71</v>
      </c>
      <c r="S96" s="2">
        <v>0.0</v>
      </c>
      <c r="T96" s="2">
        <v>0.0</v>
      </c>
      <c r="U96" s="2">
        <v>2.0</v>
      </c>
    </row>
    <row r="97" ht="15.75" customHeight="1">
      <c r="A97" s="2" t="s">
        <v>368</v>
      </c>
      <c r="B97" s="2" t="s">
        <v>422</v>
      </c>
      <c r="C97" s="2" t="s">
        <v>190</v>
      </c>
      <c r="D97" s="2">
        <v>5.0</v>
      </c>
      <c r="E97" s="2">
        <v>0.0</v>
      </c>
      <c r="F97" s="2" t="s">
        <v>24</v>
      </c>
      <c r="G97" s="2">
        <v>0.5042</v>
      </c>
      <c r="H97" s="2" t="s">
        <v>47</v>
      </c>
      <c r="I97" s="2" t="s">
        <v>318</v>
      </c>
      <c r="J97" s="2" t="s">
        <v>227</v>
      </c>
      <c r="K97" s="2" t="s">
        <v>423</v>
      </c>
      <c r="L97" s="2" t="s">
        <v>294</v>
      </c>
      <c r="M97" s="2" t="s">
        <v>424</v>
      </c>
      <c r="N97" s="2" t="s">
        <v>425</v>
      </c>
      <c r="O97" s="2">
        <v>1.0</v>
      </c>
      <c r="Q97" s="2">
        <v>8.5</v>
      </c>
      <c r="R97" s="2" t="s">
        <v>38</v>
      </c>
      <c r="S97" s="2">
        <v>8.5</v>
      </c>
      <c r="T97" s="2">
        <v>0.0</v>
      </c>
      <c r="U97" s="2">
        <v>2.0</v>
      </c>
    </row>
    <row r="98" ht="15.75" customHeight="1">
      <c r="A98" s="2" t="s">
        <v>368</v>
      </c>
      <c r="B98" s="2" t="s">
        <v>426</v>
      </c>
      <c r="C98" s="2" t="s">
        <v>190</v>
      </c>
      <c r="D98" s="2">
        <v>2.0</v>
      </c>
      <c r="E98" s="2">
        <v>0.4804</v>
      </c>
      <c r="F98" s="2" t="s">
        <v>279</v>
      </c>
      <c r="G98" s="2">
        <v>0.4804</v>
      </c>
      <c r="H98" s="2" t="s">
        <v>25</v>
      </c>
      <c r="I98" s="2" t="s">
        <v>26</v>
      </c>
      <c r="J98" s="2" t="s">
        <v>27</v>
      </c>
      <c r="K98" s="2" t="s">
        <v>294</v>
      </c>
      <c r="L98" s="2" t="s">
        <v>294</v>
      </c>
      <c r="M98" s="2" t="s">
        <v>427</v>
      </c>
      <c r="N98" s="2" t="s">
        <v>428</v>
      </c>
      <c r="O98" s="2">
        <v>0.2688</v>
      </c>
      <c r="Q98" s="2">
        <v>5.0</v>
      </c>
      <c r="R98" s="2" t="s">
        <v>71</v>
      </c>
      <c r="S98" s="2">
        <v>0.0</v>
      </c>
      <c r="T98" s="2">
        <v>0.0</v>
      </c>
      <c r="U98" s="2">
        <v>2.0</v>
      </c>
    </row>
    <row r="99" ht="15.75" customHeight="1">
      <c r="A99" s="2" t="s">
        <v>368</v>
      </c>
      <c r="B99" s="2" t="s">
        <v>429</v>
      </c>
      <c r="C99" s="2" t="s">
        <v>190</v>
      </c>
      <c r="D99" s="2">
        <v>4.0</v>
      </c>
      <c r="E99" s="2">
        <v>-0.4867</v>
      </c>
      <c r="F99" s="2" t="s">
        <v>40</v>
      </c>
      <c r="G99" s="2">
        <v>0.4867</v>
      </c>
      <c r="H99" s="2" t="s">
        <v>47</v>
      </c>
      <c r="I99" s="2" t="s">
        <v>318</v>
      </c>
      <c r="J99" s="2" t="s">
        <v>227</v>
      </c>
      <c r="K99" s="2" t="s">
        <v>294</v>
      </c>
      <c r="L99" s="2" t="s">
        <v>294</v>
      </c>
      <c r="M99" s="2" t="s">
        <v>430</v>
      </c>
      <c r="N99" s="2" t="s">
        <v>431</v>
      </c>
      <c r="O99" s="2">
        <v>1.0</v>
      </c>
      <c r="Q99" s="2">
        <v>8.0</v>
      </c>
      <c r="R99" s="2" t="s">
        <v>38</v>
      </c>
      <c r="S99" s="2">
        <v>3.0</v>
      </c>
      <c r="T99" s="2">
        <v>0.0</v>
      </c>
      <c r="U99" s="2">
        <v>2.0</v>
      </c>
    </row>
    <row r="100" ht="15.75" customHeight="1">
      <c r="A100" s="2" t="s">
        <v>368</v>
      </c>
      <c r="B100" s="2" t="s">
        <v>432</v>
      </c>
      <c r="C100" s="2" t="s">
        <v>433</v>
      </c>
      <c r="D100" s="2">
        <v>2.0</v>
      </c>
      <c r="E100" s="2">
        <v>0.4567</v>
      </c>
      <c r="F100" s="2" t="s">
        <v>279</v>
      </c>
      <c r="G100" s="2">
        <v>0.4567</v>
      </c>
      <c r="H100" s="2" t="s">
        <v>25</v>
      </c>
      <c r="I100" s="2" t="s">
        <v>26</v>
      </c>
      <c r="J100" s="2" t="s">
        <v>27</v>
      </c>
      <c r="K100" s="2" t="s">
        <v>434</v>
      </c>
      <c r="L100" s="2" t="s">
        <v>59</v>
      </c>
      <c r="M100" s="2" t="s">
        <v>435</v>
      </c>
      <c r="N100" s="2" t="s">
        <v>436</v>
      </c>
      <c r="O100" s="2">
        <v>0.5151</v>
      </c>
      <c r="Q100" s="2">
        <v>8.5</v>
      </c>
      <c r="R100" s="2" t="s">
        <v>38</v>
      </c>
      <c r="S100" s="2">
        <v>5.5</v>
      </c>
      <c r="T100" s="2">
        <v>0.0</v>
      </c>
      <c r="U100" s="2">
        <v>2.0</v>
      </c>
    </row>
    <row r="101" ht="15.75" customHeight="1">
      <c r="A101" s="2" t="s">
        <v>368</v>
      </c>
      <c r="B101" s="2" t="s">
        <v>437</v>
      </c>
      <c r="C101" s="2" t="s">
        <v>190</v>
      </c>
      <c r="D101" s="2">
        <v>2.0</v>
      </c>
      <c r="E101" s="2">
        <v>-0.7728</v>
      </c>
      <c r="F101" s="2" t="s">
        <v>40</v>
      </c>
      <c r="G101" s="2">
        <v>0.7728</v>
      </c>
      <c r="H101" s="2" t="s">
        <v>41</v>
      </c>
      <c r="I101" s="2" t="s">
        <v>167</v>
      </c>
      <c r="J101" s="2" t="s">
        <v>67</v>
      </c>
      <c r="K101" s="2" t="s">
        <v>294</v>
      </c>
      <c r="L101" s="2" t="s">
        <v>294</v>
      </c>
      <c r="M101" s="2" t="s">
        <v>438</v>
      </c>
      <c r="N101" s="2" t="s">
        <v>439</v>
      </c>
      <c r="O101" s="2">
        <v>1.0</v>
      </c>
      <c r="Q101" s="2">
        <v>3.0</v>
      </c>
      <c r="R101" s="2" t="s">
        <v>32</v>
      </c>
      <c r="S101" s="2">
        <v>2.0</v>
      </c>
      <c r="T101" s="2">
        <v>0.0</v>
      </c>
      <c r="U101" s="2">
        <v>2.0</v>
      </c>
    </row>
    <row r="102" ht="15.75" customHeight="1">
      <c r="A102" s="2" t="s">
        <v>368</v>
      </c>
      <c r="B102" s="2" t="s">
        <v>440</v>
      </c>
      <c r="C102" s="2" t="s">
        <v>190</v>
      </c>
      <c r="D102" s="2">
        <v>2.0</v>
      </c>
      <c r="E102" s="2">
        <v>0.0</v>
      </c>
      <c r="F102" s="2" t="s">
        <v>24</v>
      </c>
      <c r="G102" s="2">
        <v>0.4802</v>
      </c>
      <c r="H102" s="2" t="s">
        <v>25</v>
      </c>
      <c r="I102" s="2" t="s">
        <v>26</v>
      </c>
      <c r="J102" s="2" t="s">
        <v>27</v>
      </c>
      <c r="K102" s="2" t="s">
        <v>294</v>
      </c>
      <c r="L102" s="2" t="s">
        <v>294</v>
      </c>
      <c r="M102" s="2" t="s">
        <v>441</v>
      </c>
      <c r="N102" s="2" t="s">
        <v>442</v>
      </c>
      <c r="O102" s="2">
        <v>0.5306</v>
      </c>
      <c r="Q102" s="2">
        <v>5.0</v>
      </c>
      <c r="R102" s="2" t="s">
        <v>71</v>
      </c>
      <c r="S102" s="2">
        <v>0.0</v>
      </c>
      <c r="T102" s="2">
        <v>0.0</v>
      </c>
      <c r="U102" s="2">
        <v>2.0</v>
      </c>
    </row>
    <row r="103" ht="15.75" customHeight="1">
      <c r="A103" s="2" t="s">
        <v>368</v>
      </c>
      <c r="B103" s="2" t="s">
        <v>443</v>
      </c>
      <c r="C103" s="2" t="s">
        <v>444</v>
      </c>
      <c r="D103" s="2">
        <v>2.0</v>
      </c>
      <c r="E103" s="2">
        <v>-0.72</v>
      </c>
      <c r="F103" s="2" t="s">
        <v>40</v>
      </c>
      <c r="G103" s="2">
        <v>0.72</v>
      </c>
      <c r="H103" s="2" t="s">
        <v>25</v>
      </c>
      <c r="I103" s="2" t="s">
        <v>26</v>
      </c>
      <c r="J103" s="2" t="s">
        <v>27</v>
      </c>
      <c r="K103" s="2" t="s">
        <v>43</v>
      </c>
      <c r="L103" s="2" t="s">
        <v>43</v>
      </c>
      <c r="M103" s="2" t="s">
        <v>445</v>
      </c>
      <c r="N103" s="2" t="s">
        <v>446</v>
      </c>
      <c r="O103" s="2">
        <v>0.2946</v>
      </c>
      <c r="Q103" s="2">
        <v>1.0</v>
      </c>
      <c r="R103" s="2" t="s">
        <v>71</v>
      </c>
      <c r="S103" s="2">
        <v>0.0</v>
      </c>
      <c r="T103" s="2">
        <v>0.0</v>
      </c>
      <c r="U103" s="2">
        <v>2.0</v>
      </c>
    </row>
    <row r="104" ht="15.75" customHeight="1">
      <c r="A104" s="2" t="s">
        <v>368</v>
      </c>
      <c r="B104" s="2" t="s">
        <v>447</v>
      </c>
      <c r="C104" s="2" t="s">
        <v>448</v>
      </c>
      <c r="D104" s="2">
        <v>1.0</v>
      </c>
      <c r="E104" s="2">
        <v>0.0</v>
      </c>
      <c r="F104" s="2" t="s">
        <v>24</v>
      </c>
      <c r="G104" s="2">
        <v>0.5885</v>
      </c>
      <c r="H104" s="2" t="s">
        <v>76</v>
      </c>
      <c r="I104" s="2" t="s">
        <v>26</v>
      </c>
      <c r="J104" s="2" t="s">
        <v>77</v>
      </c>
      <c r="K104" s="2" t="s">
        <v>294</v>
      </c>
      <c r="L104" s="2" t="s">
        <v>294</v>
      </c>
      <c r="M104" s="2" t="s">
        <v>449</v>
      </c>
      <c r="N104" s="2" t="s">
        <v>450</v>
      </c>
      <c r="O104" s="2">
        <v>0.3945</v>
      </c>
      <c r="Q104" s="2">
        <v>8.0</v>
      </c>
      <c r="R104" s="2" t="s">
        <v>38</v>
      </c>
      <c r="S104" s="2">
        <v>6.0</v>
      </c>
      <c r="T104" s="2">
        <v>0.0</v>
      </c>
      <c r="U104" s="2">
        <v>2.0</v>
      </c>
    </row>
    <row r="105" ht="15.75" customHeight="1">
      <c r="A105" s="2" t="s">
        <v>368</v>
      </c>
      <c r="B105" s="2" t="s">
        <v>451</v>
      </c>
      <c r="C105" s="2" t="s">
        <v>452</v>
      </c>
      <c r="D105" s="2">
        <v>4.0</v>
      </c>
      <c r="E105" s="2">
        <v>-0.4605</v>
      </c>
      <c r="F105" s="2" t="s">
        <v>40</v>
      </c>
      <c r="G105" s="2">
        <v>0.4605</v>
      </c>
      <c r="H105" s="2" t="s">
        <v>25</v>
      </c>
      <c r="I105" s="2" t="s">
        <v>26</v>
      </c>
      <c r="J105" s="2" t="s">
        <v>27</v>
      </c>
      <c r="K105" s="2" t="s">
        <v>294</v>
      </c>
      <c r="L105" s="2" t="s">
        <v>294</v>
      </c>
      <c r="M105" s="2" t="s">
        <v>453</v>
      </c>
      <c r="N105" s="2" t="s">
        <v>454</v>
      </c>
      <c r="O105" s="2">
        <v>0.3202</v>
      </c>
      <c r="Q105" s="2">
        <v>5.0</v>
      </c>
      <c r="R105" s="2" t="s">
        <v>32</v>
      </c>
      <c r="S105" s="2">
        <v>1.0</v>
      </c>
      <c r="T105" s="2">
        <v>0.0</v>
      </c>
      <c r="U105" s="2">
        <v>2.0</v>
      </c>
    </row>
    <row r="106" ht="15.75" customHeight="1">
      <c r="A106" s="2" t="s">
        <v>368</v>
      </c>
      <c r="B106" s="2" t="s">
        <v>455</v>
      </c>
      <c r="C106" s="2" t="s">
        <v>456</v>
      </c>
      <c r="D106" s="2">
        <v>4.0</v>
      </c>
      <c r="E106" s="2">
        <v>-0.5063</v>
      </c>
      <c r="F106" s="2" t="s">
        <v>40</v>
      </c>
      <c r="G106" s="2">
        <v>0.5063</v>
      </c>
      <c r="H106" s="2" t="s">
        <v>47</v>
      </c>
      <c r="I106" s="2" t="s">
        <v>26</v>
      </c>
      <c r="J106" s="2" t="s">
        <v>49</v>
      </c>
      <c r="K106" s="2" t="s">
        <v>294</v>
      </c>
      <c r="L106" s="2" t="s">
        <v>294</v>
      </c>
      <c r="M106" s="2" t="s">
        <v>457</v>
      </c>
      <c r="N106" s="2" t="s">
        <v>458</v>
      </c>
      <c r="O106" s="2">
        <v>0.3971</v>
      </c>
      <c r="Q106" s="2">
        <v>8.0</v>
      </c>
      <c r="R106" s="2" t="s">
        <v>38</v>
      </c>
      <c r="S106" s="2">
        <v>3.0</v>
      </c>
      <c r="T106" s="2">
        <v>0.0</v>
      </c>
      <c r="U106" s="2">
        <v>2.0</v>
      </c>
    </row>
    <row r="107" ht="15.75" customHeight="1">
      <c r="A107" s="2" t="s">
        <v>368</v>
      </c>
      <c r="B107" s="2" t="s">
        <v>459</v>
      </c>
      <c r="C107" s="2" t="s">
        <v>460</v>
      </c>
      <c r="D107" s="2">
        <v>1.0</v>
      </c>
      <c r="E107" s="2">
        <v>0.8952</v>
      </c>
      <c r="F107" s="2" t="s">
        <v>279</v>
      </c>
      <c r="G107" s="2">
        <v>0.8952</v>
      </c>
      <c r="H107" s="2" t="s">
        <v>76</v>
      </c>
      <c r="I107" s="2" t="s">
        <v>26</v>
      </c>
      <c r="J107" s="2" t="s">
        <v>77</v>
      </c>
      <c r="K107" s="2" t="s">
        <v>294</v>
      </c>
      <c r="L107" s="2" t="s">
        <v>294</v>
      </c>
      <c r="M107" s="2" t="s">
        <v>461</v>
      </c>
      <c r="N107" s="2" t="s">
        <v>462</v>
      </c>
      <c r="O107" s="2">
        <v>0.4476</v>
      </c>
      <c r="Q107" s="2">
        <v>3.0</v>
      </c>
      <c r="R107" s="2" t="s">
        <v>71</v>
      </c>
      <c r="S107" s="2">
        <v>0.0</v>
      </c>
      <c r="T107" s="2">
        <v>0.0</v>
      </c>
      <c r="U107" s="2">
        <v>2.0</v>
      </c>
    </row>
    <row r="108" ht="15.75" customHeight="1">
      <c r="A108" s="2" t="s">
        <v>368</v>
      </c>
      <c r="B108" s="2" t="s">
        <v>463</v>
      </c>
      <c r="C108" s="2" t="s">
        <v>464</v>
      </c>
      <c r="D108" s="2">
        <v>2.0</v>
      </c>
      <c r="E108" s="2">
        <v>-0.5139</v>
      </c>
      <c r="F108" s="2" t="s">
        <v>40</v>
      </c>
      <c r="G108" s="2">
        <v>0.5139</v>
      </c>
      <c r="H108" s="2" t="s">
        <v>25</v>
      </c>
      <c r="I108" s="2" t="s">
        <v>26</v>
      </c>
      <c r="J108" s="2" t="s">
        <v>27</v>
      </c>
      <c r="K108" s="2" t="s">
        <v>294</v>
      </c>
      <c r="L108" s="2" t="s">
        <v>294</v>
      </c>
      <c r="M108" s="2" t="s">
        <v>465</v>
      </c>
      <c r="N108" s="2" t="s">
        <v>466</v>
      </c>
      <c r="O108" s="2">
        <v>0.6514</v>
      </c>
      <c r="Q108" s="2">
        <v>3.0</v>
      </c>
      <c r="R108" s="2" t="s">
        <v>32</v>
      </c>
      <c r="S108" s="2">
        <v>3.0</v>
      </c>
      <c r="T108" s="2">
        <v>0.0</v>
      </c>
      <c r="U108" s="2">
        <v>2.0</v>
      </c>
    </row>
    <row r="109" ht="15.75" customHeight="1">
      <c r="A109" s="2" t="s">
        <v>368</v>
      </c>
      <c r="B109" s="2" t="s">
        <v>467</v>
      </c>
      <c r="C109" s="2" t="s">
        <v>468</v>
      </c>
      <c r="D109" s="2">
        <v>2.0</v>
      </c>
      <c r="E109" s="2">
        <v>0.6265</v>
      </c>
      <c r="F109" s="2" t="s">
        <v>279</v>
      </c>
      <c r="G109" s="2">
        <v>0.6265</v>
      </c>
      <c r="H109" s="2" t="s">
        <v>25</v>
      </c>
      <c r="I109" s="2" t="s">
        <v>26</v>
      </c>
      <c r="J109" s="2" t="s">
        <v>27</v>
      </c>
      <c r="K109" s="2" t="s">
        <v>294</v>
      </c>
      <c r="L109" s="2" t="s">
        <v>294</v>
      </c>
      <c r="M109" s="2" t="s">
        <v>469</v>
      </c>
      <c r="N109" s="2" t="s">
        <v>470</v>
      </c>
      <c r="O109" s="2">
        <v>0.5795</v>
      </c>
      <c r="Q109" s="2">
        <v>8.0</v>
      </c>
      <c r="R109" s="2" t="s">
        <v>38</v>
      </c>
      <c r="S109" s="2">
        <v>3.0</v>
      </c>
      <c r="T109" s="2">
        <v>0.0</v>
      </c>
      <c r="U109" s="2">
        <v>2.0</v>
      </c>
    </row>
    <row r="110" ht="15.75" customHeight="1">
      <c r="A110" s="2" t="s">
        <v>368</v>
      </c>
      <c r="B110" s="2" t="s">
        <v>471</v>
      </c>
      <c r="C110" s="2" t="s">
        <v>472</v>
      </c>
      <c r="D110" s="2">
        <v>4.0</v>
      </c>
      <c r="E110" s="2">
        <v>0.0</v>
      </c>
      <c r="F110" s="2" t="s">
        <v>24</v>
      </c>
      <c r="G110" s="2">
        <v>0.5493</v>
      </c>
      <c r="H110" s="2" t="s">
        <v>47</v>
      </c>
      <c r="I110" s="2" t="s">
        <v>318</v>
      </c>
      <c r="J110" s="2" t="s">
        <v>227</v>
      </c>
      <c r="K110" s="2" t="s">
        <v>294</v>
      </c>
      <c r="L110" s="2" t="s">
        <v>294</v>
      </c>
      <c r="M110" s="2" t="s">
        <v>473</v>
      </c>
      <c r="N110" s="2" t="s">
        <v>474</v>
      </c>
      <c r="O110" s="2">
        <v>1.0</v>
      </c>
      <c r="Q110" s="2">
        <v>8.0</v>
      </c>
      <c r="R110" s="2" t="s">
        <v>38</v>
      </c>
      <c r="S110" s="2">
        <v>3.0</v>
      </c>
      <c r="T110" s="2">
        <v>0.0</v>
      </c>
      <c r="U110" s="2">
        <v>2.0</v>
      </c>
    </row>
    <row r="111" ht="15.75" customHeight="1">
      <c r="A111" s="2" t="s">
        <v>368</v>
      </c>
      <c r="B111" s="2" t="s">
        <v>475</v>
      </c>
      <c r="C111" s="2" t="s">
        <v>190</v>
      </c>
      <c r="D111" s="2">
        <v>5.0</v>
      </c>
      <c r="E111" s="2">
        <v>0.0</v>
      </c>
      <c r="F111" s="2" t="s">
        <v>24</v>
      </c>
      <c r="G111" s="2">
        <v>0.4596</v>
      </c>
      <c r="H111" s="2" t="s">
        <v>47</v>
      </c>
      <c r="I111" s="2" t="s">
        <v>318</v>
      </c>
      <c r="J111" s="2" t="s">
        <v>49</v>
      </c>
      <c r="K111" s="2" t="s">
        <v>294</v>
      </c>
      <c r="L111" s="2" t="s">
        <v>294</v>
      </c>
      <c r="M111" s="2" t="s">
        <v>476</v>
      </c>
      <c r="N111" s="2" t="s">
        <v>477</v>
      </c>
      <c r="O111" s="2">
        <v>1.0</v>
      </c>
      <c r="Q111" s="2">
        <v>5.0</v>
      </c>
      <c r="R111" s="2" t="s">
        <v>32</v>
      </c>
      <c r="S111" s="2">
        <v>1.0</v>
      </c>
      <c r="T111" s="2">
        <v>0.0</v>
      </c>
      <c r="U111" s="2">
        <v>2.0</v>
      </c>
    </row>
    <row r="112" ht="15.75" customHeight="1">
      <c r="A112" s="2" t="s">
        <v>368</v>
      </c>
      <c r="B112" s="2" t="s">
        <v>478</v>
      </c>
      <c r="C112" s="2" t="s">
        <v>479</v>
      </c>
      <c r="D112" s="2">
        <v>1.0</v>
      </c>
      <c r="E112" s="2">
        <v>0.0</v>
      </c>
      <c r="F112" s="2" t="s">
        <v>24</v>
      </c>
      <c r="G112" s="2">
        <v>0.4917</v>
      </c>
      <c r="H112" s="2" t="s">
        <v>155</v>
      </c>
      <c r="I112" s="2" t="s">
        <v>26</v>
      </c>
      <c r="J112" s="2" t="s">
        <v>27</v>
      </c>
      <c r="K112" s="2" t="s">
        <v>379</v>
      </c>
      <c r="L112" s="2" t="s">
        <v>294</v>
      </c>
      <c r="M112" s="2" t="s">
        <v>480</v>
      </c>
      <c r="N112" s="2" t="s">
        <v>481</v>
      </c>
      <c r="O112" s="2">
        <v>0.3682</v>
      </c>
      <c r="Q112" s="2">
        <v>8.5</v>
      </c>
      <c r="R112" s="2" t="s">
        <v>71</v>
      </c>
      <c r="S112" s="2">
        <v>0.5</v>
      </c>
      <c r="T112" s="2">
        <v>0.0</v>
      </c>
      <c r="U112" s="2">
        <v>2.0</v>
      </c>
    </row>
    <row r="113" ht="15.75" customHeight="1">
      <c r="A113" s="2" t="s">
        <v>368</v>
      </c>
      <c r="B113" s="2" t="s">
        <v>482</v>
      </c>
      <c r="C113" s="2" t="s">
        <v>483</v>
      </c>
      <c r="D113" s="2">
        <v>4.0</v>
      </c>
      <c r="E113" s="2">
        <v>-0.6095</v>
      </c>
      <c r="F113" s="2" t="s">
        <v>40</v>
      </c>
      <c r="G113" s="2">
        <v>0.6095</v>
      </c>
      <c r="H113" s="2" t="s">
        <v>47</v>
      </c>
      <c r="I113" s="2" t="s">
        <v>318</v>
      </c>
      <c r="J113" s="2" t="s">
        <v>49</v>
      </c>
      <c r="K113" s="2" t="s">
        <v>294</v>
      </c>
      <c r="L113" s="2" t="s">
        <v>294</v>
      </c>
      <c r="M113" s="2" t="s">
        <v>484</v>
      </c>
      <c r="N113" s="2" t="s">
        <v>485</v>
      </c>
      <c r="O113" s="2">
        <v>1.0</v>
      </c>
      <c r="Q113" s="2">
        <v>3.0</v>
      </c>
      <c r="R113" s="2" t="s">
        <v>32</v>
      </c>
      <c r="S113" s="2">
        <v>2.0</v>
      </c>
      <c r="T113" s="2">
        <v>0.0</v>
      </c>
      <c r="U113" s="2">
        <v>2.0</v>
      </c>
    </row>
    <row r="114" ht="15.75" customHeight="1">
      <c r="A114" s="2" t="s">
        <v>368</v>
      </c>
      <c r="B114" s="2" t="s">
        <v>486</v>
      </c>
      <c r="C114" s="2" t="s">
        <v>487</v>
      </c>
      <c r="D114" s="2">
        <v>2.0</v>
      </c>
      <c r="E114" s="2">
        <v>0.6871</v>
      </c>
      <c r="F114" s="2" t="s">
        <v>279</v>
      </c>
      <c r="G114" s="2">
        <v>0.6871</v>
      </c>
      <c r="H114" s="2" t="s">
        <v>25</v>
      </c>
      <c r="I114" s="2" t="s">
        <v>26</v>
      </c>
      <c r="J114" s="2" t="s">
        <v>27</v>
      </c>
      <c r="K114" s="2" t="s">
        <v>294</v>
      </c>
      <c r="L114" s="2" t="s">
        <v>294</v>
      </c>
      <c r="M114" s="2" t="s">
        <v>488</v>
      </c>
      <c r="N114" s="2" t="s">
        <v>489</v>
      </c>
      <c r="O114" s="2">
        <v>0.3035</v>
      </c>
      <c r="Q114" s="2">
        <v>8.0</v>
      </c>
      <c r="R114" s="2" t="s">
        <v>38</v>
      </c>
      <c r="S114" s="2">
        <v>3.0</v>
      </c>
      <c r="T114" s="2">
        <v>0.0</v>
      </c>
      <c r="U114" s="2">
        <v>2.0</v>
      </c>
    </row>
    <row r="115" ht="15.75" customHeight="1">
      <c r="A115" s="2" t="s">
        <v>368</v>
      </c>
      <c r="B115" s="2" t="s">
        <v>490</v>
      </c>
      <c r="C115" s="2" t="s">
        <v>491</v>
      </c>
      <c r="D115" s="2">
        <v>5.0</v>
      </c>
      <c r="E115" s="2">
        <v>-0.5905</v>
      </c>
      <c r="F115" s="2" t="s">
        <v>40</v>
      </c>
      <c r="G115" s="2">
        <v>0.5905</v>
      </c>
      <c r="H115" s="2" t="s">
        <v>138</v>
      </c>
      <c r="I115" s="2" t="s">
        <v>384</v>
      </c>
      <c r="J115" s="2" t="s">
        <v>140</v>
      </c>
      <c r="K115" s="2" t="s">
        <v>294</v>
      </c>
      <c r="L115" s="2" t="s">
        <v>294</v>
      </c>
      <c r="M115" s="2" t="s">
        <v>492</v>
      </c>
      <c r="N115" s="2" t="s">
        <v>493</v>
      </c>
      <c r="O115" s="2">
        <v>1.0</v>
      </c>
      <c r="Q115" s="2">
        <v>5.0</v>
      </c>
      <c r="R115" s="2" t="s">
        <v>38</v>
      </c>
      <c r="S115" s="2">
        <v>3.0</v>
      </c>
      <c r="T115" s="2">
        <v>0.0</v>
      </c>
      <c r="U115" s="2">
        <v>2.0</v>
      </c>
    </row>
    <row r="116" ht="15.75" customHeight="1">
      <c r="A116" s="2" t="s">
        <v>368</v>
      </c>
      <c r="B116" s="2" t="s">
        <v>494</v>
      </c>
      <c r="C116" s="2" t="s">
        <v>495</v>
      </c>
      <c r="D116" s="2">
        <v>4.0</v>
      </c>
      <c r="E116" s="2">
        <v>0.0</v>
      </c>
      <c r="F116" s="2" t="s">
        <v>24</v>
      </c>
      <c r="G116" s="2">
        <v>0.4651</v>
      </c>
      <c r="H116" s="2" t="s">
        <v>47</v>
      </c>
      <c r="I116" s="2" t="s">
        <v>318</v>
      </c>
      <c r="J116" s="2" t="s">
        <v>227</v>
      </c>
      <c r="K116" s="2" t="s">
        <v>294</v>
      </c>
      <c r="L116" s="2" t="s">
        <v>294</v>
      </c>
      <c r="M116" s="2" t="s">
        <v>496</v>
      </c>
      <c r="N116" s="2" t="s">
        <v>497</v>
      </c>
      <c r="O116" s="2">
        <v>1.0</v>
      </c>
      <c r="Q116" s="2">
        <v>3.0</v>
      </c>
      <c r="R116" s="2" t="s">
        <v>32</v>
      </c>
      <c r="S116" s="2">
        <v>1.0</v>
      </c>
      <c r="T116" s="2">
        <v>0.0</v>
      </c>
      <c r="U116" s="2">
        <v>2.0</v>
      </c>
    </row>
    <row r="117" ht="15.75" customHeight="1">
      <c r="A117" s="2" t="s">
        <v>368</v>
      </c>
      <c r="B117" s="2" t="s">
        <v>498</v>
      </c>
      <c r="C117" s="2" t="s">
        <v>499</v>
      </c>
      <c r="D117" s="2">
        <v>5.0</v>
      </c>
      <c r="E117" s="2">
        <v>0.0</v>
      </c>
      <c r="F117" s="2" t="s">
        <v>24</v>
      </c>
      <c r="G117" s="2">
        <v>0.5815</v>
      </c>
      <c r="H117" s="2" t="s">
        <v>47</v>
      </c>
      <c r="I117" s="2" t="s">
        <v>318</v>
      </c>
      <c r="J117" s="2" t="s">
        <v>227</v>
      </c>
      <c r="K117" s="2" t="s">
        <v>294</v>
      </c>
      <c r="L117" s="2" t="s">
        <v>294</v>
      </c>
      <c r="M117" s="2" t="s">
        <v>500</v>
      </c>
      <c r="N117" s="2" t="s">
        <v>501</v>
      </c>
      <c r="O117" s="2">
        <v>1.0</v>
      </c>
      <c r="Q117" s="2">
        <v>6.0</v>
      </c>
      <c r="R117" s="2" t="s">
        <v>38</v>
      </c>
      <c r="S117" s="2">
        <v>3.0</v>
      </c>
      <c r="T117" s="2">
        <v>0.0</v>
      </c>
      <c r="U117" s="2">
        <v>2.0</v>
      </c>
    </row>
    <row r="118" ht="15.75" customHeight="1">
      <c r="A118" s="2" t="s">
        <v>368</v>
      </c>
      <c r="B118" s="2" t="s">
        <v>502</v>
      </c>
      <c r="C118" s="2" t="s">
        <v>190</v>
      </c>
      <c r="D118" s="2">
        <v>4.0</v>
      </c>
      <c r="E118" s="2">
        <v>-0.504</v>
      </c>
      <c r="F118" s="2" t="s">
        <v>40</v>
      </c>
      <c r="G118" s="2">
        <v>0.504</v>
      </c>
      <c r="H118" s="2" t="s">
        <v>47</v>
      </c>
      <c r="I118" s="2" t="s">
        <v>318</v>
      </c>
      <c r="J118" s="2" t="s">
        <v>227</v>
      </c>
      <c r="K118" s="2" t="s">
        <v>294</v>
      </c>
      <c r="L118" s="2" t="s">
        <v>294</v>
      </c>
      <c r="M118" s="2" t="s">
        <v>503</v>
      </c>
      <c r="N118" s="2" t="s">
        <v>504</v>
      </c>
      <c r="O118" s="2">
        <v>1.0</v>
      </c>
      <c r="Q118" s="2">
        <v>3.0</v>
      </c>
      <c r="R118" s="2" t="s">
        <v>71</v>
      </c>
      <c r="S118" s="2">
        <v>0.0</v>
      </c>
      <c r="T118" s="2">
        <v>0.0</v>
      </c>
      <c r="U118" s="2">
        <v>2.0</v>
      </c>
    </row>
    <row r="119" ht="15.75" customHeight="1">
      <c r="A119" s="2" t="s">
        <v>368</v>
      </c>
      <c r="B119" s="2" t="s">
        <v>505</v>
      </c>
      <c r="C119" s="2" t="s">
        <v>506</v>
      </c>
      <c r="D119" s="2">
        <v>2.0</v>
      </c>
      <c r="E119" s="2">
        <v>0.0</v>
      </c>
      <c r="F119" s="2" t="s">
        <v>24</v>
      </c>
      <c r="G119" s="2">
        <v>0.4867</v>
      </c>
      <c r="H119" s="2" t="s">
        <v>25</v>
      </c>
      <c r="I119" s="2" t="s">
        <v>26</v>
      </c>
      <c r="J119" s="2" t="s">
        <v>27</v>
      </c>
      <c r="K119" s="2" t="s">
        <v>423</v>
      </c>
      <c r="L119" s="2" t="s">
        <v>294</v>
      </c>
      <c r="M119" s="2" t="s">
        <v>507</v>
      </c>
      <c r="N119" s="2" t="s">
        <v>508</v>
      </c>
      <c r="O119" s="2">
        <v>0.5849</v>
      </c>
      <c r="Q119" s="2">
        <v>8.5</v>
      </c>
      <c r="R119" s="2" t="s">
        <v>38</v>
      </c>
      <c r="S119" s="2">
        <v>3.5</v>
      </c>
      <c r="T119" s="2">
        <v>0.0</v>
      </c>
      <c r="U119" s="2">
        <v>2.0</v>
      </c>
    </row>
    <row r="120" ht="15.75" customHeight="1">
      <c r="A120" s="2" t="s">
        <v>368</v>
      </c>
      <c r="B120" s="2" t="s">
        <v>509</v>
      </c>
      <c r="C120" s="2" t="s">
        <v>510</v>
      </c>
      <c r="D120" s="2">
        <v>2.0</v>
      </c>
      <c r="E120" s="2">
        <v>0.0</v>
      </c>
      <c r="F120" s="2" t="s">
        <v>24</v>
      </c>
      <c r="G120" s="2">
        <v>0.7432</v>
      </c>
      <c r="H120" s="2" t="s">
        <v>25</v>
      </c>
      <c r="I120" s="2" t="s">
        <v>26</v>
      </c>
      <c r="J120" s="2" t="s">
        <v>27</v>
      </c>
      <c r="M120" s="2" t="s">
        <v>511</v>
      </c>
      <c r="N120" s="2" t="s">
        <v>512</v>
      </c>
      <c r="O120" s="2">
        <v>0.3438</v>
      </c>
      <c r="Q120" s="2">
        <v>0.0</v>
      </c>
      <c r="R120" s="2" t="s">
        <v>158</v>
      </c>
      <c r="S120" s="2">
        <v>0.0</v>
      </c>
      <c r="T120" s="2">
        <v>0.0</v>
      </c>
      <c r="U120" s="2">
        <v>2.0</v>
      </c>
    </row>
    <row r="121" ht="15.75" customHeight="1">
      <c r="A121" s="2" t="s">
        <v>368</v>
      </c>
      <c r="B121" s="2" t="s">
        <v>513</v>
      </c>
      <c r="C121" s="2" t="s">
        <v>514</v>
      </c>
      <c r="D121" s="2">
        <v>1.0</v>
      </c>
      <c r="E121" s="2">
        <v>-0.4296</v>
      </c>
      <c r="F121" s="2" t="s">
        <v>40</v>
      </c>
      <c r="G121" s="2">
        <v>0.4296</v>
      </c>
      <c r="H121" s="2" t="s">
        <v>76</v>
      </c>
      <c r="I121" s="2" t="s">
        <v>26</v>
      </c>
      <c r="J121" s="2" t="s">
        <v>77</v>
      </c>
      <c r="K121" s="2" t="s">
        <v>294</v>
      </c>
      <c r="L121" s="2" t="s">
        <v>294</v>
      </c>
      <c r="M121" s="2" t="s">
        <v>515</v>
      </c>
      <c r="N121" s="2" t="s">
        <v>516</v>
      </c>
      <c r="O121" s="2">
        <v>0.3586</v>
      </c>
      <c r="Q121" s="2">
        <v>8.0</v>
      </c>
      <c r="R121" s="2" t="s">
        <v>38</v>
      </c>
      <c r="S121" s="2">
        <v>4.0</v>
      </c>
      <c r="T121" s="2">
        <v>0.0</v>
      </c>
      <c r="U121" s="2">
        <v>2.0</v>
      </c>
    </row>
    <row r="122" ht="15.75" customHeight="1">
      <c r="A122" s="2" t="s">
        <v>368</v>
      </c>
      <c r="B122" s="2" t="s">
        <v>517</v>
      </c>
      <c r="C122" s="2" t="s">
        <v>190</v>
      </c>
      <c r="D122" s="2">
        <v>2.0</v>
      </c>
      <c r="E122" s="2">
        <v>-0.7229</v>
      </c>
      <c r="F122" s="2" t="s">
        <v>40</v>
      </c>
      <c r="G122" s="2">
        <v>0.7229</v>
      </c>
      <c r="H122" s="2" t="s">
        <v>25</v>
      </c>
      <c r="I122" s="2" t="s">
        <v>26</v>
      </c>
      <c r="J122" s="2" t="s">
        <v>27</v>
      </c>
      <c r="K122" s="2" t="s">
        <v>294</v>
      </c>
      <c r="L122" s="2" t="s">
        <v>294</v>
      </c>
      <c r="M122" s="2" t="s">
        <v>518</v>
      </c>
      <c r="N122" s="2" t="s">
        <v>519</v>
      </c>
      <c r="O122" s="2">
        <v>0.53</v>
      </c>
      <c r="Q122" s="2">
        <v>5.0</v>
      </c>
      <c r="R122" s="2" t="s">
        <v>71</v>
      </c>
      <c r="S122" s="2">
        <v>0.0</v>
      </c>
      <c r="T122" s="2">
        <v>0.0</v>
      </c>
      <c r="U122" s="2">
        <v>2.0</v>
      </c>
    </row>
    <row r="123" ht="15.75" customHeight="1">
      <c r="A123" s="2" t="s">
        <v>368</v>
      </c>
      <c r="B123" s="2" t="s">
        <v>520</v>
      </c>
      <c r="C123" s="2" t="s">
        <v>521</v>
      </c>
      <c r="D123" s="2">
        <v>3.0</v>
      </c>
      <c r="E123" s="2">
        <v>-0.7444</v>
      </c>
      <c r="F123" s="2" t="s">
        <v>40</v>
      </c>
      <c r="G123" s="2">
        <v>0.7444</v>
      </c>
      <c r="H123" s="2" t="s">
        <v>104</v>
      </c>
      <c r="I123" s="2" t="s">
        <v>26</v>
      </c>
      <c r="J123" s="2" t="s">
        <v>105</v>
      </c>
      <c r="K123" s="2" t="s">
        <v>43</v>
      </c>
      <c r="L123" s="2" t="s">
        <v>43</v>
      </c>
      <c r="M123" s="2" t="s">
        <v>522</v>
      </c>
      <c r="N123" s="2" t="s">
        <v>523</v>
      </c>
      <c r="O123" s="2">
        <v>0.3092</v>
      </c>
      <c r="Q123" s="2">
        <v>6.0</v>
      </c>
      <c r="R123" s="2" t="s">
        <v>32</v>
      </c>
      <c r="S123" s="2">
        <v>1.0</v>
      </c>
      <c r="T123" s="2">
        <v>0.0</v>
      </c>
      <c r="U123" s="2">
        <v>2.0</v>
      </c>
    </row>
    <row r="124" ht="15.75" customHeight="1">
      <c r="A124" s="2" t="s">
        <v>368</v>
      </c>
      <c r="B124" s="2" t="s">
        <v>524</v>
      </c>
      <c r="C124" s="2" t="s">
        <v>190</v>
      </c>
      <c r="D124" s="2">
        <v>1.0</v>
      </c>
      <c r="E124" s="2">
        <v>0.498</v>
      </c>
      <c r="F124" s="2" t="s">
        <v>279</v>
      </c>
      <c r="G124" s="2">
        <v>0.498</v>
      </c>
      <c r="H124" s="2" t="s">
        <v>76</v>
      </c>
      <c r="I124" s="2" t="s">
        <v>26</v>
      </c>
      <c r="J124" s="2" t="s">
        <v>77</v>
      </c>
      <c r="K124" s="2" t="s">
        <v>294</v>
      </c>
      <c r="L124" s="2" t="s">
        <v>294</v>
      </c>
      <c r="M124" s="2" t="s">
        <v>525</v>
      </c>
      <c r="N124" s="2" t="s">
        <v>526</v>
      </c>
      <c r="O124" s="2">
        <v>0.3476</v>
      </c>
      <c r="Q124" s="2">
        <v>6.0</v>
      </c>
      <c r="R124" s="2" t="s">
        <v>38</v>
      </c>
      <c r="S124" s="2">
        <v>6.0</v>
      </c>
      <c r="T124" s="2">
        <v>0.0</v>
      </c>
      <c r="U124" s="2">
        <v>2.0</v>
      </c>
    </row>
    <row r="125" ht="15.75" customHeight="1">
      <c r="A125" s="2" t="s">
        <v>368</v>
      </c>
      <c r="B125" s="2" t="s">
        <v>527</v>
      </c>
      <c r="C125" s="2" t="s">
        <v>528</v>
      </c>
      <c r="D125" s="2">
        <v>4.0</v>
      </c>
      <c r="E125" s="2">
        <v>-0.5768</v>
      </c>
      <c r="F125" s="2" t="s">
        <v>40</v>
      </c>
      <c r="G125" s="2">
        <v>0.5768</v>
      </c>
      <c r="H125" s="2" t="s">
        <v>25</v>
      </c>
      <c r="I125" s="2" t="s">
        <v>26</v>
      </c>
      <c r="J125" s="2" t="s">
        <v>27</v>
      </c>
      <c r="K125" s="2" t="s">
        <v>294</v>
      </c>
      <c r="L125" s="2" t="s">
        <v>294</v>
      </c>
      <c r="M125" s="2" t="s">
        <v>529</v>
      </c>
      <c r="N125" s="2" t="s">
        <v>530</v>
      </c>
      <c r="O125" s="2">
        <v>0.5376</v>
      </c>
      <c r="Q125" s="2">
        <v>5.0</v>
      </c>
      <c r="R125" s="2" t="s">
        <v>38</v>
      </c>
      <c r="S125" s="2">
        <v>3.0</v>
      </c>
      <c r="T125" s="2">
        <v>0.0</v>
      </c>
      <c r="U125" s="2">
        <v>2.0</v>
      </c>
    </row>
    <row r="126" ht="15.75" customHeight="1">
      <c r="A126" s="2" t="s">
        <v>368</v>
      </c>
      <c r="B126" s="2" t="s">
        <v>531</v>
      </c>
      <c r="C126" s="2" t="s">
        <v>532</v>
      </c>
      <c r="D126" s="2">
        <v>1.0</v>
      </c>
      <c r="E126" s="2">
        <v>0.0</v>
      </c>
      <c r="F126" s="2" t="s">
        <v>24</v>
      </c>
      <c r="G126" s="2">
        <v>0.4598</v>
      </c>
      <c r="H126" s="2" t="s">
        <v>76</v>
      </c>
      <c r="I126" s="2" t="s">
        <v>26</v>
      </c>
      <c r="J126" s="2" t="s">
        <v>77</v>
      </c>
      <c r="K126" s="2" t="s">
        <v>328</v>
      </c>
      <c r="L126" s="2" t="s">
        <v>294</v>
      </c>
      <c r="M126" s="2" t="s">
        <v>533</v>
      </c>
      <c r="N126" s="2" t="s">
        <v>534</v>
      </c>
      <c r="O126" s="2">
        <v>0.2599</v>
      </c>
      <c r="Q126" s="2">
        <v>8.5</v>
      </c>
      <c r="R126" s="2" t="s">
        <v>38</v>
      </c>
      <c r="S126" s="2">
        <v>5.5</v>
      </c>
      <c r="T126" s="2">
        <v>0.0</v>
      </c>
      <c r="U126" s="2">
        <v>2.0</v>
      </c>
    </row>
    <row r="127" ht="15.75" customHeight="1">
      <c r="A127" s="2" t="s">
        <v>368</v>
      </c>
      <c r="B127" s="2" t="s">
        <v>535</v>
      </c>
      <c r="C127" s="2" t="s">
        <v>536</v>
      </c>
      <c r="D127" s="2">
        <v>1.0</v>
      </c>
      <c r="E127" s="2">
        <v>0.0</v>
      </c>
      <c r="F127" s="2" t="s">
        <v>24</v>
      </c>
      <c r="G127" s="2">
        <v>0.471</v>
      </c>
      <c r="H127" s="2" t="s">
        <v>76</v>
      </c>
      <c r="I127" s="2" t="s">
        <v>26</v>
      </c>
      <c r="J127" s="2" t="s">
        <v>77</v>
      </c>
      <c r="K127" s="2" t="s">
        <v>423</v>
      </c>
      <c r="L127" s="2" t="s">
        <v>294</v>
      </c>
      <c r="M127" s="2" t="s">
        <v>537</v>
      </c>
      <c r="N127" s="2" t="s">
        <v>538</v>
      </c>
      <c r="O127" s="2">
        <v>0.2651</v>
      </c>
      <c r="Q127" s="2">
        <v>6.5</v>
      </c>
      <c r="R127" s="2" t="s">
        <v>38</v>
      </c>
      <c r="S127" s="2">
        <v>3.5</v>
      </c>
      <c r="T127" s="2">
        <v>0.0</v>
      </c>
      <c r="U127" s="2">
        <v>2.0</v>
      </c>
    </row>
    <row r="128" ht="15.75" customHeight="1">
      <c r="A128" s="2" t="s">
        <v>368</v>
      </c>
      <c r="B128" s="2" t="s">
        <v>539</v>
      </c>
      <c r="C128" s="2" t="s">
        <v>190</v>
      </c>
      <c r="D128" s="2">
        <v>2.0</v>
      </c>
      <c r="E128" s="2">
        <v>-0.7985</v>
      </c>
      <c r="F128" s="2" t="s">
        <v>40</v>
      </c>
      <c r="G128" s="2">
        <v>0.7985</v>
      </c>
      <c r="H128" s="2" t="s">
        <v>25</v>
      </c>
      <c r="I128" s="2" t="s">
        <v>26</v>
      </c>
      <c r="J128" s="2" t="s">
        <v>27</v>
      </c>
      <c r="K128" s="2" t="s">
        <v>294</v>
      </c>
      <c r="L128" s="2" t="s">
        <v>294</v>
      </c>
      <c r="M128" s="2" t="s">
        <v>540</v>
      </c>
      <c r="N128" s="2" t="s">
        <v>541</v>
      </c>
      <c r="O128" s="2">
        <v>0.2647</v>
      </c>
      <c r="Q128" s="2">
        <v>8.0</v>
      </c>
      <c r="R128" s="2" t="s">
        <v>38</v>
      </c>
      <c r="S128" s="2">
        <v>6.0</v>
      </c>
      <c r="T128" s="2">
        <v>0.0</v>
      </c>
      <c r="U128" s="2">
        <v>2.0</v>
      </c>
    </row>
    <row r="129" ht="15.75" customHeight="1">
      <c r="A129" s="2" t="s">
        <v>368</v>
      </c>
      <c r="B129" s="2" t="s">
        <v>542</v>
      </c>
      <c r="C129" s="2" t="s">
        <v>543</v>
      </c>
      <c r="D129" s="2">
        <v>2.0</v>
      </c>
      <c r="E129" s="2">
        <v>0.0</v>
      </c>
      <c r="F129" s="2" t="s">
        <v>24</v>
      </c>
      <c r="G129" s="2">
        <v>0.5163</v>
      </c>
      <c r="H129" s="2" t="s">
        <v>25</v>
      </c>
      <c r="I129" s="2" t="s">
        <v>26</v>
      </c>
      <c r="J129" s="2" t="s">
        <v>27</v>
      </c>
      <c r="K129" s="2" t="s">
        <v>294</v>
      </c>
      <c r="L129" s="2" t="s">
        <v>294</v>
      </c>
      <c r="M129" s="2" t="s">
        <v>544</v>
      </c>
      <c r="N129" s="2" t="s">
        <v>545</v>
      </c>
      <c r="O129" s="2">
        <v>0.936</v>
      </c>
      <c r="Q129" s="2">
        <v>5.0</v>
      </c>
      <c r="R129" s="2" t="s">
        <v>71</v>
      </c>
      <c r="S129" s="2">
        <v>0.0</v>
      </c>
      <c r="T129" s="2">
        <v>0.0</v>
      </c>
      <c r="U129" s="2">
        <v>2.0</v>
      </c>
    </row>
    <row r="130" ht="15.75" customHeight="1">
      <c r="A130" s="2" t="s">
        <v>368</v>
      </c>
      <c r="B130" s="2" t="s">
        <v>546</v>
      </c>
      <c r="C130" s="2" t="s">
        <v>547</v>
      </c>
      <c r="D130" s="2">
        <v>4.0</v>
      </c>
      <c r="E130" s="2">
        <v>0.7143</v>
      </c>
      <c r="F130" s="2" t="s">
        <v>279</v>
      </c>
      <c r="G130" s="2">
        <v>0.7143</v>
      </c>
      <c r="H130" s="2" t="s">
        <v>25</v>
      </c>
      <c r="I130" s="2" t="s">
        <v>26</v>
      </c>
      <c r="J130" s="2" t="s">
        <v>27</v>
      </c>
      <c r="K130" s="2" t="s">
        <v>294</v>
      </c>
      <c r="L130" s="2" t="s">
        <v>294</v>
      </c>
      <c r="M130" s="2" t="s">
        <v>548</v>
      </c>
      <c r="N130" s="2" t="s">
        <v>549</v>
      </c>
      <c r="O130" s="2">
        <v>0.4246</v>
      </c>
      <c r="Q130" s="2">
        <v>5.0</v>
      </c>
      <c r="R130" s="2" t="s">
        <v>38</v>
      </c>
      <c r="S130" s="2">
        <v>2.0</v>
      </c>
      <c r="T130" s="2">
        <v>0.0</v>
      </c>
      <c r="U130" s="2">
        <v>2.0</v>
      </c>
    </row>
    <row r="131" ht="15.75" customHeight="1">
      <c r="A131" s="2" t="s">
        <v>368</v>
      </c>
      <c r="B131" s="2" t="s">
        <v>550</v>
      </c>
      <c r="C131" s="2" t="s">
        <v>551</v>
      </c>
      <c r="D131" s="2">
        <v>2.0</v>
      </c>
      <c r="E131" s="2">
        <v>-0.5575</v>
      </c>
      <c r="F131" s="2" t="s">
        <v>40</v>
      </c>
      <c r="G131" s="2">
        <v>0.5575</v>
      </c>
      <c r="H131" s="2" t="s">
        <v>25</v>
      </c>
      <c r="I131" s="2" t="s">
        <v>26</v>
      </c>
      <c r="J131" s="2" t="s">
        <v>27</v>
      </c>
      <c r="K131" s="2" t="s">
        <v>68</v>
      </c>
      <c r="L131" s="2" t="s">
        <v>68</v>
      </c>
      <c r="M131" s="2" t="s">
        <v>552</v>
      </c>
      <c r="N131" s="2" t="s">
        <v>553</v>
      </c>
      <c r="O131" s="2">
        <v>0.8397</v>
      </c>
      <c r="Q131" s="2">
        <v>8.5</v>
      </c>
      <c r="R131" s="2" t="s">
        <v>71</v>
      </c>
      <c r="S131" s="2">
        <v>0.5</v>
      </c>
      <c r="T131" s="2">
        <v>0.0</v>
      </c>
      <c r="U131" s="2">
        <v>2.0</v>
      </c>
    </row>
    <row r="132" ht="15.75" customHeight="1">
      <c r="A132" s="2" t="s">
        <v>368</v>
      </c>
      <c r="B132" s="2" t="s">
        <v>554</v>
      </c>
      <c r="C132" s="2" t="s">
        <v>190</v>
      </c>
      <c r="D132" s="2">
        <v>2.0</v>
      </c>
      <c r="E132" s="2">
        <v>0.5749</v>
      </c>
      <c r="F132" s="2" t="s">
        <v>279</v>
      </c>
      <c r="G132" s="2">
        <v>0.5749</v>
      </c>
      <c r="H132" s="2" t="s">
        <v>25</v>
      </c>
      <c r="I132" s="2" t="s">
        <v>26</v>
      </c>
      <c r="J132" s="2" t="s">
        <v>27</v>
      </c>
      <c r="K132" s="2" t="s">
        <v>294</v>
      </c>
      <c r="L132" s="2" t="s">
        <v>294</v>
      </c>
      <c r="M132" s="2" t="s">
        <v>555</v>
      </c>
      <c r="N132" s="2" t="s">
        <v>556</v>
      </c>
      <c r="O132" s="2">
        <v>0.3391</v>
      </c>
      <c r="Q132" s="2">
        <v>5.0</v>
      </c>
      <c r="R132" s="2" t="s">
        <v>71</v>
      </c>
      <c r="S132" s="2">
        <v>0.0</v>
      </c>
      <c r="T132" s="2">
        <v>0.0</v>
      </c>
      <c r="U132" s="2">
        <v>2.0</v>
      </c>
    </row>
    <row r="133" ht="15.75" customHeight="1">
      <c r="A133" s="2" t="s">
        <v>368</v>
      </c>
      <c r="B133" s="2" t="s">
        <v>557</v>
      </c>
      <c r="C133" s="2" t="s">
        <v>558</v>
      </c>
      <c r="D133" s="2">
        <v>2.0</v>
      </c>
      <c r="E133" s="2">
        <v>0.0</v>
      </c>
      <c r="F133" s="2" t="s">
        <v>24</v>
      </c>
      <c r="G133" s="2">
        <v>0.6154</v>
      </c>
      <c r="H133" s="2" t="s">
        <v>25</v>
      </c>
      <c r="I133" s="2" t="s">
        <v>26</v>
      </c>
      <c r="J133" s="2" t="s">
        <v>27</v>
      </c>
      <c r="K133" s="2" t="s">
        <v>294</v>
      </c>
      <c r="L133" s="2" t="s">
        <v>294</v>
      </c>
      <c r="M133" s="2" t="s">
        <v>559</v>
      </c>
      <c r="N133" s="2" t="s">
        <v>560</v>
      </c>
      <c r="O133" s="2">
        <v>0.6082</v>
      </c>
      <c r="Q133" s="2">
        <v>5.0</v>
      </c>
      <c r="R133" s="2" t="s">
        <v>71</v>
      </c>
      <c r="S133" s="2">
        <v>0.0</v>
      </c>
      <c r="T133" s="2">
        <v>0.0</v>
      </c>
      <c r="U133" s="2">
        <v>2.0</v>
      </c>
    </row>
    <row r="134" ht="15.75" customHeight="1">
      <c r="A134" s="2" t="s">
        <v>368</v>
      </c>
      <c r="B134" s="2" t="s">
        <v>561</v>
      </c>
      <c r="C134" s="2" t="s">
        <v>562</v>
      </c>
      <c r="D134" s="2">
        <v>4.0</v>
      </c>
      <c r="E134" s="2">
        <v>0.0</v>
      </c>
      <c r="F134" s="2" t="s">
        <v>24</v>
      </c>
      <c r="G134" s="2">
        <v>0.5269</v>
      </c>
      <c r="H134" s="2" t="s">
        <v>47</v>
      </c>
      <c r="I134" s="2" t="s">
        <v>318</v>
      </c>
      <c r="J134" s="2" t="s">
        <v>227</v>
      </c>
      <c r="K134" s="2" t="s">
        <v>294</v>
      </c>
      <c r="L134" s="2" t="s">
        <v>294</v>
      </c>
      <c r="M134" s="2" t="s">
        <v>563</v>
      </c>
      <c r="N134" s="2" t="s">
        <v>564</v>
      </c>
      <c r="O134" s="2">
        <v>1.0</v>
      </c>
      <c r="Q134" s="2">
        <v>5.0</v>
      </c>
      <c r="R134" s="2" t="s">
        <v>38</v>
      </c>
      <c r="S134" s="2">
        <v>2.0</v>
      </c>
      <c r="T134" s="2">
        <v>0.0</v>
      </c>
      <c r="U134" s="2">
        <v>2.0</v>
      </c>
    </row>
    <row r="135" ht="15.75" customHeight="1">
      <c r="A135" s="2" t="s">
        <v>368</v>
      </c>
      <c r="B135" s="2" t="s">
        <v>565</v>
      </c>
      <c r="C135" s="2" t="s">
        <v>566</v>
      </c>
      <c r="D135" s="2">
        <v>2.0</v>
      </c>
      <c r="E135" s="2">
        <v>0.0</v>
      </c>
      <c r="F135" s="2" t="s">
        <v>24</v>
      </c>
      <c r="G135" s="2">
        <v>0.5307</v>
      </c>
      <c r="H135" s="2" t="s">
        <v>25</v>
      </c>
      <c r="I135" s="2" t="s">
        <v>26</v>
      </c>
      <c r="J135" s="2" t="s">
        <v>27</v>
      </c>
      <c r="K135" s="2" t="s">
        <v>294</v>
      </c>
      <c r="L135" s="2" t="s">
        <v>294</v>
      </c>
      <c r="M135" s="2" t="s">
        <v>567</v>
      </c>
      <c r="N135" s="2" t="s">
        <v>568</v>
      </c>
      <c r="O135" s="2">
        <v>0.9602</v>
      </c>
      <c r="Q135" s="2">
        <v>8.0</v>
      </c>
      <c r="R135" s="2" t="s">
        <v>38</v>
      </c>
      <c r="S135" s="2">
        <v>5.0</v>
      </c>
      <c r="T135" s="2">
        <v>0.0</v>
      </c>
      <c r="U135" s="2">
        <v>2.0</v>
      </c>
    </row>
    <row r="136" ht="15.75" customHeight="1">
      <c r="A136" s="2" t="s">
        <v>368</v>
      </c>
      <c r="B136" s="2" t="s">
        <v>569</v>
      </c>
      <c r="C136" s="2" t="s">
        <v>570</v>
      </c>
      <c r="D136" s="2">
        <v>4.0</v>
      </c>
      <c r="E136" s="2">
        <v>0.0</v>
      </c>
      <c r="F136" s="2" t="s">
        <v>24</v>
      </c>
      <c r="G136" s="2">
        <v>0.4826</v>
      </c>
      <c r="H136" s="2" t="s">
        <v>47</v>
      </c>
      <c r="I136" s="2" t="s">
        <v>26</v>
      </c>
      <c r="J136" s="2" t="s">
        <v>227</v>
      </c>
      <c r="K136" s="2" t="s">
        <v>294</v>
      </c>
      <c r="L136" s="2" t="s">
        <v>294</v>
      </c>
      <c r="M136" s="2" t="s">
        <v>571</v>
      </c>
      <c r="N136" s="2" t="s">
        <v>572</v>
      </c>
      <c r="O136" s="2">
        <v>0.5173</v>
      </c>
      <c r="Q136" s="2">
        <v>8.0</v>
      </c>
      <c r="R136" s="2" t="s">
        <v>38</v>
      </c>
      <c r="S136" s="2">
        <v>5.0</v>
      </c>
      <c r="T136" s="2">
        <v>0.0</v>
      </c>
      <c r="U136" s="2">
        <v>2.0</v>
      </c>
    </row>
    <row r="137" ht="15.75" customHeight="1">
      <c r="A137" s="2" t="s">
        <v>368</v>
      </c>
      <c r="B137" s="2" t="s">
        <v>573</v>
      </c>
      <c r="C137" s="2" t="s">
        <v>574</v>
      </c>
      <c r="D137" s="2">
        <v>5.0</v>
      </c>
      <c r="E137" s="2">
        <v>0.0</v>
      </c>
      <c r="F137" s="2" t="s">
        <v>24</v>
      </c>
      <c r="G137" s="2">
        <v>0.4645</v>
      </c>
      <c r="H137" s="2" t="s">
        <v>47</v>
      </c>
      <c r="I137" s="2" t="s">
        <v>26</v>
      </c>
      <c r="J137" s="2" t="s">
        <v>49</v>
      </c>
      <c r="K137" s="2" t="s">
        <v>294</v>
      </c>
      <c r="L137" s="2" t="s">
        <v>294</v>
      </c>
      <c r="M137" s="2" t="s">
        <v>575</v>
      </c>
      <c r="N137" s="2" t="s">
        <v>576</v>
      </c>
      <c r="O137" s="2">
        <v>0.4327</v>
      </c>
      <c r="Q137" s="2">
        <v>5.0</v>
      </c>
      <c r="R137" s="2" t="s">
        <v>32</v>
      </c>
      <c r="S137" s="2">
        <v>1.5</v>
      </c>
      <c r="T137" s="2">
        <v>0.0</v>
      </c>
      <c r="U137" s="2">
        <v>2.0</v>
      </c>
    </row>
    <row r="138" ht="15.75" customHeight="1">
      <c r="A138" s="2" t="s">
        <v>368</v>
      </c>
      <c r="B138" s="2" t="s">
        <v>577</v>
      </c>
      <c r="C138" s="2" t="s">
        <v>190</v>
      </c>
      <c r="D138" s="2">
        <v>1.0</v>
      </c>
      <c r="E138" s="2">
        <v>0.0</v>
      </c>
      <c r="F138" s="2" t="s">
        <v>24</v>
      </c>
      <c r="G138" s="2">
        <v>0.5497</v>
      </c>
      <c r="H138" s="2" t="s">
        <v>155</v>
      </c>
      <c r="I138" s="2" t="s">
        <v>26</v>
      </c>
      <c r="J138" s="2" t="s">
        <v>27</v>
      </c>
      <c r="K138" s="2" t="s">
        <v>163</v>
      </c>
      <c r="L138" s="2" t="s">
        <v>68</v>
      </c>
      <c r="M138" s="2" t="s">
        <v>578</v>
      </c>
      <c r="N138" s="2" t="s">
        <v>579</v>
      </c>
      <c r="O138" s="2">
        <v>0.2933</v>
      </c>
      <c r="Q138" s="2">
        <v>8.0</v>
      </c>
      <c r="R138" s="2" t="s">
        <v>38</v>
      </c>
      <c r="S138" s="2">
        <v>3.0</v>
      </c>
      <c r="T138" s="2">
        <v>0.0</v>
      </c>
      <c r="U138" s="2">
        <v>2.0</v>
      </c>
    </row>
    <row r="139" ht="15.75" customHeight="1">
      <c r="A139" s="2" t="s">
        <v>368</v>
      </c>
      <c r="B139" s="2" t="s">
        <v>580</v>
      </c>
      <c r="C139" s="2" t="s">
        <v>581</v>
      </c>
      <c r="D139" s="2">
        <v>2.0</v>
      </c>
      <c r="E139" s="2">
        <v>-0.5698</v>
      </c>
      <c r="F139" s="2" t="s">
        <v>40</v>
      </c>
      <c r="G139" s="2">
        <v>0.5698</v>
      </c>
      <c r="H139" s="2" t="s">
        <v>25</v>
      </c>
      <c r="I139" s="2" t="s">
        <v>26</v>
      </c>
      <c r="J139" s="2" t="s">
        <v>27</v>
      </c>
      <c r="K139" s="2" t="s">
        <v>43</v>
      </c>
      <c r="L139" s="2" t="s">
        <v>43</v>
      </c>
      <c r="M139" s="2" t="s">
        <v>582</v>
      </c>
      <c r="N139" s="2" t="s">
        <v>583</v>
      </c>
      <c r="O139" s="2">
        <v>0.8793</v>
      </c>
      <c r="Q139" s="2">
        <v>0.0</v>
      </c>
      <c r="R139" s="2" t="s">
        <v>71</v>
      </c>
      <c r="S139" s="2">
        <v>0.0</v>
      </c>
      <c r="T139" s="2">
        <v>0.0</v>
      </c>
      <c r="U139" s="2">
        <v>2.0</v>
      </c>
    </row>
    <row r="140" ht="15.75" customHeight="1">
      <c r="A140" s="2" t="s">
        <v>368</v>
      </c>
      <c r="B140" s="2" t="s">
        <v>584</v>
      </c>
      <c r="C140" s="2" t="s">
        <v>190</v>
      </c>
      <c r="D140" s="2">
        <v>2.0</v>
      </c>
      <c r="E140" s="2">
        <v>-0.5569</v>
      </c>
      <c r="F140" s="2" t="s">
        <v>40</v>
      </c>
      <c r="G140" s="2">
        <v>0.5569</v>
      </c>
      <c r="H140" s="2" t="s">
        <v>25</v>
      </c>
      <c r="I140" s="2" t="s">
        <v>26</v>
      </c>
      <c r="J140" s="2" t="s">
        <v>27</v>
      </c>
      <c r="K140" s="2" t="s">
        <v>43</v>
      </c>
      <c r="L140" s="2" t="s">
        <v>43</v>
      </c>
      <c r="M140" s="2" t="s">
        <v>585</v>
      </c>
      <c r="N140" s="2" t="s">
        <v>586</v>
      </c>
      <c r="O140" s="2">
        <v>0.8789</v>
      </c>
      <c r="Q140" s="2">
        <v>0.0</v>
      </c>
      <c r="R140" s="2" t="s">
        <v>71</v>
      </c>
      <c r="S140" s="2">
        <v>0.0</v>
      </c>
      <c r="T140" s="2">
        <v>0.0</v>
      </c>
      <c r="U140" s="2">
        <v>2.0</v>
      </c>
    </row>
    <row r="141" ht="15.75" customHeight="1">
      <c r="A141" s="2" t="s">
        <v>368</v>
      </c>
      <c r="B141" s="2" t="s">
        <v>587</v>
      </c>
      <c r="C141" s="2" t="s">
        <v>588</v>
      </c>
      <c r="D141" s="2">
        <v>5.0</v>
      </c>
      <c r="E141" s="2">
        <v>-0.5773</v>
      </c>
      <c r="F141" s="2" t="s">
        <v>40</v>
      </c>
      <c r="G141" s="2">
        <v>0.5773</v>
      </c>
      <c r="H141" s="2" t="s">
        <v>47</v>
      </c>
      <c r="I141" s="2" t="s">
        <v>318</v>
      </c>
      <c r="J141" s="2" t="s">
        <v>49</v>
      </c>
      <c r="K141" s="2" t="s">
        <v>294</v>
      </c>
      <c r="L141" s="2" t="s">
        <v>294</v>
      </c>
      <c r="M141" s="2" t="s">
        <v>589</v>
      </c>
      <c r="N141" s="2" t="s">
        <v>590</v>
      </c>
      <c r="O141" s="2">
        <v>1.0</v>
      </c>
      <c r="Q141" s="2">
        <v>5.0</v>
      </c>
      <c r="R141" s="2" t="s">
        <v>71</v>
      </c>
      <c r="S141" s="2">
        <v>0.0</v>
      </c>
      <c r="T141" s="2">
        <v>0.0</v>
      </c>
      <c r="U141" s="2">
        <v>2.0</v>
      </c>
    </row>
    <row r="142" ht="15.75" customHeight="1">
      <c r="A142" s="2" t="s">
        <v>368</v>
      </c>
      <c r="B142" s="2" t="s">
        <v>591</v>
      </c>
      <c r="C142" s="2" t="s">
        <v>592</v>
      </c>
      <c r="D142" s="2">
        <v>4.0</v>
      </c>
      <c r="E142" s="2">
        <v>-0.691</v>
      </c>
      <c r="F142" s="2" t="s">
        <v>40</v>
      </c>
      <c r="G142" s="2">
        <v>0.691</v>
      </c>
      <c r="H142" s="2" t="s">
        <v>47</v>
      </c>
      <c r="I142" s="2" t="s">
        <v>318</v>
      </c>
      <c r="J142" s="2" t="s">
        <v>227</v>
      </c>
      <c r="K142" s="2" t="s">
        <v>294</v>
      </c>
      <c r="L142" s="2" t="s">
        <v>294</v>
      </c>
      <c r="M142" s="2" t="s">
        <v>593</v>
      </c>
      <c r="N142" s="2" t="s">
        <v>594</v>
      </c>
      <c r="O142" s="2">
        <v>1.0</v>
      </c>
      <c r="Q142" s="2">
        <v>8.0</v>
      </c>
      <c r="R142" s="2" t="s">
        <v>38</v>
      </c>
      <c r="S142" s="2">
        <v>3.0</v>
      </c>
      <c r="T142" s="2">
        <v>0.0</v>
      </c>
      <c r="U142" s="2">
        <v>2.0</v>
      </c>
    </row>
    <row r="143" ht="15.75" customHeight="1">
      <c r="A143" s="2" t="s">
        <v>368</v>
      </c>
      <c r="B143" s="2" t="s">
        <v>595</v>
      </c>
      <c r="C143" s="2" t="s">
        <v>596</v>
      </c>
      <c r="D143" s="2">
        <v>5.0</v>
      </c>
      <c r="E143" s="2">
        <v>-0.9584</v>
      </c>
      <c r="F143" s="2" t="s">
        <v>40</v>
      </c>
      <c r="G143" s="2">
        <v>0.9584</v>
      </c>
      <c r="H143" s="2" t="s">
        <v>25</v>
      </c>
      <c r="I143" s="2" t="s">
        <v>26</v>
      </c>
      <c r="J143" s="2" t="s">
        <v>27</v>
      </c>
      <c r="K143" s="2" t="s">
        <v>597</v>
      </c>
      <c r="L143" s="2" t="s">
        <v>294</v>
      </c>
      <c r="M143" s="2" t="s">
        <v>598</v>
      </c>
      <c r="N143" s="2" t="s">
        <v>599</v>
      </c>
      <c r="O143" s="2">
        <v>0.4766</v>
      </c>
      <c r="Q143" s="2">
        <v>7.0</v>
      </c>
      <c r="R143" s="2" t="s">
        <v>71</v>
      </c>
      <c r="S143" s="2">
        <v>0.0</v>
      </c>
      <c r="T143" s="2">
        <v>0.0</v>
      </c>
      <c r="U143" s="2">
        <v>2.0</v>
      </c>
    </row>
    <row r="144" ht="15.75" customHeight="1">
      <c r="A144" s="2" t="s">
        <v>368</v>
      </c>
      <c r="B144" s="2" t="s">
        <v>600</v>
      </c>
      <c r="C144" s="2" t="s">
        <v>601</v>
      </c>
      <c r="D144" s="2">
        <v>2.0</v>
      </c>
      <c r="E144" s="2">
        <v>0.0</v>
      </c>
      <c r="F144" s="2" t="s">
        <v>24</v>
      </c>
      <c r="G144" s="2">
        <v>0.5725</v>
      </c>
      <c r="H144" s="2" t="s">
        <v>25</v>
      </c>
      <c r="I144" s="2" t="s">
        <v>26</v>
      </c>
      <c r="J144" s="2" t="s">
        <v>27</v>
      </c>
      <c r="K144" s="2" t="s">
        <v>294</v>
      </c>
      <c r="L144" s="2" t="s">
        <v>294</v>
      </c>
      <c r="M144" s="2" t="s">
        <v>602</v>
      </c>
      <c r="N144" s="2" t="s">
        <v>603</v>
      </c>
      <c r="O144" s="2">
        <v>0.5484</v>
      </c>
      <c r="Q144" s="2">
        <v>6.0</v>
      </c>
      <c r="R144" s="2" t="s">
        <v>38</v>
      </c>
      <c r="S144" s="2">
        <v>2.0</v>
      </c>
      <c r="T144" s="2">
        <v>0.0</v>
      </c>
      <c r="U144" s="2">
        <v>2.0</v>
      </c>
    </row>
    <row r="145" ht="15.75" customHeight="1">
      <c r="A145" s="2" t="s">
        <v>368</v>
      </c>
      <c r="B145" s="2" t="s">
        <v>604</v>
      </c>
      <c r="C145" s="2" t="s">
        <v>190</v>
      </c>
      <c r="D145" s="2">
        <v>2.0</v>
      </c>
      <c r="E145" s="2">
        <v>0.0</v>
      </c>
      <c r="F145" s="2" t="s">
        <v>24</v>
      </c>
      <c r="G145" s="2">
        <v>0.7695</v>
      </c>
      <c r="H145" s="2" t="s">
        <v>25</v>
      </c>
      <c r="I145" s="2" t="s">
        <v>26</v>
      </c>
      <c r="J145" s="2" t="s">
        <v>27</v>
      </c>
      <c r="K145" s="2" t="s">
        <v>294</v>
      </c>
      <c r="L145" s="2" t="s">
        <v>294</v>
      </c>
      <c r="M145" s="2" t="s">
        <v>605</v>
      </c>
      <c r="N145" s="2" t="s">
        <v>606</v>
      </c>
      <c r="O145" s="2">
        <v>0.3062</v>
      </c>
      <c r="Q145" s="2">
        <v>5.0</v>
      </c>
      <c r="R145" s="2" t="s">
        <v>71</v>
      </c>
      <c r="S145" s="2">
        <v>0.0</v>
      </c>
      <c r="T145" s="2">
        <v>0.0</v>
      </c>
      <c r="U145" s="2">
        <v>2.0</v>
      </c>
    </row>
    <row r="146" ht="15.75" customHeight="1">
      <c r="A146" s="2" t="s">
        <v>368</v>
      </c>
      <c r="B146" s="2" t="s">
        <v>607</v>
      </c>
      <c r="C146" s="2" t="s">
        <v>608</v>
      </c>
      <c r="D146" s="2">
        <v>4.0</v>
      </c>
      <c r="E146" s="2">
        <v>-0.711</v>
      </c>
      <c r="F146" s="2" t="s">
        <v>40</v>
      </c>
      <c r="G146" s="2">
        <v>0.711</v>
      </c>
      <c r="H146" s="2" t="s">
        <v>47</v>
      </c>
      <c r="I146" s="2" t="s">
        <v>318</v>
      </c>
      <c r="J146" s="2" t="s">
        <v>227</v>
      </c>
      <c r="K146" s="2" t="s">
        <v>294</v>
      </c>
      <c r="L146" s="2" t="s">
        <v>294</v>
      </c>
      <c r="M146" s="2" t="s">
        <v>609</v>
      </c>
      <c r="N146" s="2" t="s">
        <v>610</v>
      </c>
      <c r="O146" s="2">
        <v>1.0</v>
      </c>
      <c r="Q146" s="2">
        <v>8.0</v>
      </c>
      <c r="R146" s="2" t="s">
        <v>38</v>
      </c>
      <c r="S146" s="2">
        <v>4.0</v>
      </c>
      <c r="T146" s="2">
        <v>0.0</v>
      </c>
      <c r="U146" s="2">
        <v>2.0</v>
      </c>
    </row>
    <row r="147" ht="15.75" customHeight="1">
      <c r="A147" s="2" t="s">
        <v>368</v>
      </c>
      <c r="B147" s="2" t="s">
        <v>611</v>
      </c>
      <c r="C147" s="2" t="s">
        <v>612</v>
      </c>
      <c r="D147" s="2">
        <v>2.0</v>
      </c>
      <c r="E147" s="2">
        <v>-0.6026</v>
      </c>
      <c r="F147" s="2" t="s">
        <v>40</v>
      </c>
      <c r="G147" s="2">
        <v>0.6026</v>
      </c>
      <c r="H147" s="2" t="s">
        <v>25</v>
      </c>
      <c r="I147" s="2" t="s">
        <v>26</v>
      </c>
      <c r="J147" s="2" t="s">
        <v>27</v>
      </c>
      <c r="K147" s="2" t="s">
        <v>294</v>
      </c>
      <c r="L147" s="2" t="s">
        <v>294</v>
      </c>
      <c r="M147" s="2" t="s">
        <v>613</v>
      </c>
      <c r="N147" s="2" t="s">
        <v>614</v>
      </c>
      <c r="O147" s="2">
        <v>0.7058</v>
      </c>
      <c r="Q147" s="2">
        <v>8.0</v>
      </c>
      <c r="R147" s="2" t="s">
        <v>38</v>
      </c>
      <c r="S147" s="2">
        <v>3.0</v>
      </c>
      <c r="T147" s="2">
        <v>0.0</v>
      </c>
      <c r="U147" s="2">
        <v>2.0</v>
      </c>
    </row>
    <row r="148" ht="15.75" customHeight="1">
      <c r="A148" s="2" t="s">
        <v>368</v>
      </c>
      <c r="B148" s="2" t="s">
        <v>615</v>
      </c>
      <c r="C148" s="2" t="s">
        <v>190</v>
      </c>
      <c r="D148" s="2">
        <v>2.0</v>
      </c>
      <c r="E148" s="2">
        <v>0.0</v>
      </c>
      <c r="F148" s="2" t="s">
        <v>24</v>
      </c>
      <c r="G148" s="2">
        <v>0.4936</v>
      </c>
      <c r="H148" s="2" t="s">
        <v>25</v>
      </c>
      <c r="I148" s="2" t="s">
        <v>26</v>
      </c>
      <c r="J148" s="2" t="s">
        <v>27</v>
      </c>
      <c r="K148" s="2" t="s">
        <v>294</v>
      </c>
      <c r="L148" s="2" t="s">
        <v>294</v>
      </c>
      <c r="M148" s="2" t="s">
        <v>616</v>
      </c>
      <c r="N148" s="2" t="s">
        <v>617</v>
      </c>
      <c r="O148" s="2">
        <v>0.3803</v>
      </c>
      <c r="Q148" s="2">
        <v>8.0</v>
      </c>
      <c r="R148" s="2" t="s">
        <v>38</v>
      </c>
      <c r="S148" s="2">
        <v>3.0</v>
      </c>
      <c r="T148" s="2">
        <v>0.0</v>
      </c>
      <c r="U148" s="2">
        <v>2.0</v>
      </c>
    </row>
    <row r="149" ht="15.75" customHeight="1">
      <c r="A149" s="2" t="s">
        <v>368</v>
      </c>
      <c r="B149" s="2" t="s">
        <v>618</v>
      </c>
      <c r="C149" s="2" t="s">
        <v>190</v>
      </c>
      <c r="D149" s="2">
        <v>4.0</v>
      </c>
      <c r="E149" s="2">
        <v>0.0</v>
      </c>
      <c r="F149" s="2" t="s">
        <v>24</v>
      </c>
      <c r="G149" s="2">
        <v>0.4639</v>
      </c>
      <c r="H149" s="2" t="s">
        <v>76</v>
      </c>
      <c r="I149" s="2" t="s">
        <v>26</v>
      </c>
      <c r="J149" s="2" t="s">
        <v>77</v>
      </c>
      <c r="K149" s="2" t="s">
        <v>294</v>
      </c>
      <c r="L149" s="2" t="s">
        <v>294</v>
      </c>
      <c r="M149" s="2" t="s">
        <v>619</v>
      </c>
      <c r="N149" s="2" t="s">
        <v>620</v>
      </c>
      <c r="O149" s="2">
        <v>0.3412</v>
      </c>
      <c r="Q149" s="2">
        <v>5.0</v>
      </c>
      <c r="R149" s="2" t="s">
        <v>71</v>
      </c>
      <c r="S149" s="2">
        <v>0.0</v>
      </c>
      <c r="T149" s="2">
        <v>0.0</v>
      </c>
      <c r="U149" s="2">
        <v>2.0</v>
      </c>
    </row>
    <row r="150" ht="15.75" customHeight="1">
      <c r="A150" s="2" t="s">
        <v>368</v>
      </c>
      <c r="B150" s="2" t="s">
        <v>621</v>
      </c>
      <c r="C150" s="2" t="s">
        <v>622</v>
      </c>
      <c r="D150" s="2">
        <v>4.0</v>
      </c>
      <c r="E150" s="2">
        <v>-0.4556</v>
      </c>
      <c r="F150" s="2" t="s">
        <v>40</v>
      </c>
      <c r="G150" s="2">
        <v>0.4556</v>
      </c>
      <c r="H150" s="2" t="s">
        <v>25</v>
      </c>
      <c r="I150" s="2" t="s">
        <v>26</v>
      </c>
      <c r="J150" s="2" t="s">
        <v>27</v>
      </c>
      <c r="K150" s="2" t="s">
        <v>379</v>
      </c>
      <c r="L150" s="2" t="s">
        <v>294</v>
      </c>
      <c r="M150" s="2" t="s">
        <v>623</v>
      </c>
      <c r="N150" s="2" t="s">
        <v>624</v>
      </c>
      <c r="O150" s="2">
        <v>0.6622</v>
      </c>
      <c r="Q150" s="2">
        <v>8.5</v>
      </c>
      <c r="R150" s="2" t="s">
        <v>38</v>
      </c>
      <c r="S150" s="2">
        <v>8.5</v>
      </c>
      <c r="T150" s="2">
        <v>0.0</v>
      </c>
      <c r="U150" s="2">
        <v>2.0</v>
      </c>
    </row>
    <row r="151" ht="15.75" customHeight="1">
      <c r="A151" s="2" t="s">
        <v>368</v>
      </c>
      <c r="B151" s="2" t="s">
        <v>625</v>
      </c>
      <c r="C151" s="2" t="s">
        <v>190</v>
      </c>
      <c r="D151" s="2">
        <v>2.0</v>
      </c>
      <c r="E151" s="2">
        <v>-0.4896</v>
      </c>
      <c r="F151" s="2" t="s">
        <v>40</v>
      </c>
      <c r="G151" s="2">
        <v>0.4896</v>
      </c>
      <c r="H151" s="2" t="s">
        <v>25</v>
      </c>
      <c r="I151" s="2" t="s">
        <v>26</v>
      </c>
      <c r="J151" s="2" t="s">
        <v>27</v>
      </c>
      <c r="K151" s="2" t="s">
        <v>294</v>
      </c>
      <c r="L151" s="2" t="s">
        <v>294</v>
      </c>
      <c r="M151" s="2" t="s">
        <v>626</v>
      </c>
      <c r="N151" s="2" t="s">
        <v>627</v>
      </c>
      <c r="O151" s="2">
        <v>0.5979</v>
      </c>
      <c r="Q151" s="2">
        <v>3.0</v>
      </c>
      <c r="R151" s="2" t="s">
        <v>71</v>
      </c>
      <c r="S151" s="2">
        <v>0.0</v>
      </c>
      <c r="T151" s="2">
        <v>0.0</v>
      </c>
      <c r="U151" s="2">
        <v>2.0</v>
      </c>
    </row>
    <row r="152" ht="15.75" customHeight="1">
      <c r="A152" s="2" t="s">
        <v>368</v>
      </c>
      <c r="B152" s="2" t="s">
        <v>628</v>
      </c>
      <c r="C152" s="2" t="s">
        <v>190</v>
      </c>
      <c r="D152" s="2">
        <v>1.0</v>
      </c>
      <c r="E152" s="2">
        <v>0.0</v>
      </c>
      <c r="F152" s="2" t="s">
        <v>24</v>
      </c>
      <c r="G152" s="2">
        <v>0.4932</v>
      </c>
      <c r="H152" s="2" t="s">
        <v>155</v>
      </c>
      <c r="I152" s="2" t="s">
        <v>26</v>
      </c>
      <c r="J152" s="2" t="s">
        <v>27</v>
      </c>
      <c r="K152" s="2" t="s">
        <v>294</v>
      </c>
      <c r="L152" s="2" t="s">
        <v>294</v>
      </c>
      <c r="M152" s="2" t="s">
        <v>629</v>
      </c>
      <c r="N152" s="2" t="s">
        <v>630</v>
      </c>
      <c r="O152" s="2">
        <v>0.416</v>
      </c>
      <c r="Q152" s="2">
        <v>5.0</v>
      </c>
      <c r="R152" s="2" t="s">
        <v>38</v>
      </c>
      <c r="S152" s="2">
        <v>2.0</v>
      </c>
      <c r="T152" s="2">
        <v>0.0</v>
      </c>
      <c r="U152" s="2">
        <v>2.0</v>
      </c>
    </row>
    <row r="153" ht="15.75" customHeight="1">
      <c r="A153" s="2" t="s">
        <v>368</v>
      </c>
      <c r="B153" s="2" t="s">
        <v>631</v>
      </c>
      <c r="C153" s="2" t="s">
        <v>632</v>
      </c>
      <c r="D153" s="2">
        <v>5.0</v>
      </c>
      <c r="E153" s="2">
        <v>-0.6098</v>
      </c>
      <c r="F153" s="2" t="s">
        <v>40</v>
      </c>
      <c r="G153" s="2">
        <v>0.6098</v>
      </c>
      <c r="H153" s="2" t="s">
        <v>47</v>
      </c>
      <c r="I153" s="2" t="s">
        <v>318</v>
      </c>
      <c r="J153" s="2" t="s">
        <v>49</v>
      </c>
      <c r="K153" s="2" t="s">
        <v>294</v>
      </c>
      <c r="L153" s="2" t="s">
        <v>294</v>
      </c>
      <c r="M153" s="2" t="s">
        <v>633</v>
      </c>
      <c r="N153" s="2" t="s">
        <v>634</v>
      </c>
      <c r="O153" s="2">
        <v>1.0</v>
      </c>
      <c r="Q153" s="2">
        <v>5.0</v>
      </c>
      <c r="R153" s="2" t="s">
        <v>71</v>
      </c>
      <c r="S153" s="2">
        <v>0.0</v>
      </c>
      <c r="T153" s="2">
        <v>0.0</v>
      </c>
      <c r="U153" s="2">
        <v>2.0</v>
      </c>
    </row>
    <row r="154" ht="15.75" customHeight="1">
      <c r="A154" s="2" t="s">
        <v>368</v>
      </c>
      <c r="B154" s="2" t="s">
        <v>635</v>
      </c>
      <c r="C154" s="2" t="s">
        <v>190</v>
      </c>
      <c r="D154" s="2">
        <v>1.0</v>
      </c>
      <c r="E154" s="2">
        <v>-0.7386</v>
      </c>
      <c r="F154" s="2" t="s">
        <v>40</v>
      </c>
      <c r="G154" s="2">
        <v>0.7386</v>
      </c>
      <c r="H154" s="2" t="s">
        <v>76</v>
      </c>
      <c r="I154" s="2" t="s">
        <v>26</v>
      </c>
      <c r="J154" s="2" t="s">
        <v>77</v>
      </c>
      <c r="K154" s="2" t="s">
        <v>328</v>
      </c>
      <c r="L154" s="2" t="s">
        <v>294</v>
      </c>
      <c r="M154" s="2" t="s">
        <v>636</v>
      </c>
      <c r="N154" s="2" t="s">
        <v>637</v>
      </c>
      <c r="O154" s="2">
        <v>0.3262</v>
      </c>
      <c r="Q154" s="2">
        <v>8.5</v>
      </c>
      <c r="R154" s="2" t="s">
        <v>38</v>
      </c>
      <c r="S154" s="2">
        <v>3.5</v>
      </c>
      <c r="T154" s="2">
        <v>0.0</v>
      </c>
      <c r="U154" s="2">
        <v>2.0</v>
      </c>
    </row>
    <row r="155" ht="15.75" customHeight="1">
      <c r="A155" s="2" t="s">
        <v>368</v>
      </c>
      <c r="B155" s="2" t="s">
        <v>638</v>
      </c>
      <c r="C155" s="2" t="s">
        <v>639</v>
      </c>
      <c r="D155" s="2">
        <v>5.0</v>
      </c>
      <c r="E155" s="2">
        <v>0.0</v>
      </c>
      <c r="F155" s="2" t="s">
        <v>24</v>
      </c>
      <c r="G155" s="2">
        <v>0.5448</v>
      </c>
      <c r="H155" s="2" t="s">
        <v>138</v>
      </c>
      <c r="I155" s="2" t="s">
        <v>139</v>
      </c>
      <c r="J155" s="2" t="s">
        <v>140</v>
      </c>
      <c r="K155" s="2" t="s">
        <v>294</v>
      </c>
      <c r="L155" s="2" t="s">
        <v>294</v>
      </c>
      <c r="M155" s="2" t="s">
        <v>640</v>
      </c>
      <c r="N155" s="2" t="s">
        <v>641</v>
      </c>
      <c r="O155" s="2">
        <v>1.0</v>
      </c>
      <c r="Q155" s="2">
        <v>8.0</v>
      </c>
      <c r="R155" s="2" t="s">
        <v>38</v>
      </c>
      <c r="S155" s="2">
        <v>3.0</v>
      </c>
      <c r="T155" s="2">
        <v>0.0</v>
      </c>
      <c r="U155" s="2">
        <v>2.0</v>
      </c>
    </row>
    <row r="156" ht="15.75" customHeight="1">
      <c r="A156" s="2" t="s">
        <v>368</v>
      </c>
      <c r="B156" s="2" t="s">
        <v>642</v>
      </c>
      <c r="C156" s="2" t="s">
        <v>190</v>
      </c>
      <c r="D156" s="2">
        <v>3.0</v>
      </c>
      <c r="E156" s="2">
        <v>-0.9533</v>
      </c>
      <c r="F156" s="2" t="s">
        <v>40</v>
      </c>
      <c r="G156" s="2">
        <v>0.9533</v>
      </c>
      <c r="H156" s="2" t="s">
        <v>104</v>
      </c>
      <c r="I156" s="2" t="s">
        <v>643</v>
      </c>
      <c r="J156" s="2" t="s">
        <v>105</v>
      </c>
      <c r="K156" s="2" t="s">
        <v>328</v>
      </c>
      <c r="L156" s="2" t="s">
        <v>294</v>
      </c>
      <c r="M156" s="2" t="s">
        <v>644</v>
      </c>
      <c r="N156" s="2" t="s">
        <v>645</v>
      </c>
      <c r="O156" s="2">
        <v>1.0</v>
      </c>
      <c r="Q156" s="2">
        <v>5.0</v>
      </c>
      <c r="R156" s="2" t="s">
        <v>38</v>
      </c>
      <c r="S156" s="2">
        <v>2.0</v>
      </c>
      <c r="T156" s="2">
        <v>0.0</v>
      </c>
      <c r="U156" s="2">
        <v>2.0</v>
      </c>
    </row>
    <row r="157" ht="15.75" customHeight="1">
      <c r="A157" s="2" t="s">
        <v>368</v>
      </c>
      <c r="B157" s="2" t="s">
        <v>646</v>
      </c>
      <c r="C157" s="2" t="s">
        <v>190</v>
      </c>
      <c r="D157" s="2">
        <v>2.0</v>
      </c>
      <c r="E157" s="2">
        <v>0.0</v>
      </c>
      <c r="F157" s="2" t="s">
        <v>24</v>
      </c>
      <c r="G157" s="2">
        <v>0.8359</v>
      </c>
      <c r="H157" s="2" t="s">
        <v>25</v>
      </c>
      <c r="I157" s="2" t="s">
        <v>26</v>
      </c>
      <c r="J157" s="2" t="s">
        <v>27</v>
      </c>
      <c r="K157" s="2" t="s">
        <v>294</v>
      </c>
      <c r="L157" s="2" t="s">
        <v>294</v>
      </c>
      <c r="M157" s="2" t="s">
        <v>647</v>
      </c>
      <c r="N157" s="2" t="s">
        <v>648</v>
      </c>
      <c r="O157" s="2">
        <v>0.7446</v>
      </c>
      <c r="Q157" s="2">
        <v>6.0</v>
      </c>
      <c r="R157" s="2" t="s">
        <v>38</v>
      </c>
      <c r="S157" s="2">
        <v>6.0</v>
      </c>
      <c r="T157" s="2">
        <v>0.0</v>
      </c>
      <c r="U157" s="2">
        <v>2.0</v>
      </c>
    </row>
    <row r="158" ht="15.75" customHeight="1">
      <c r="A158" s="2" t="s">
        <v>368</v>
      </c>
      <c r="B158" s="2" t="s">
        <v>649</v>
      </c>
      <c r="C158" s="2" t="s">
        <v>650</v>
      </c>
      <c r="D158" s="2">
        <v>2.0</v>
      </c>
      <c r="E158" s="2">
        <v>0.0</v>
      </c>
      <c r="F158" s="2" t="s">
        <v>24</v>
      </c>
      <c r="G158" s="2">
        <v>0.6349</v>
      </c>
      <c r="H158" s="2" t="s">
        <v>25</v>
      </c>
      <c r="I158" s="2" t="s">
        <v>26</v>
      </c>
      <c r="J158" s="2" t="s">
        <v>27</v>
      </c>
      <c r="K158" s="2" t="s">
        <v>294</v>
      </c>
      <c r="L158" s="2" t="s">
        <v>294</v>
      </c>
      <c r="M158" s="2" t="s">
        <v>651</v>
      </c>
      <c r="N158" s="2" t="s">
        <v>652</v>
      </c>
      <c r="O158" s="2">
        <v>0.4666</v>
      </c>
      <c r="Q158" s="2">
        <v>8.0</v>
      </c>
      <c r="R158" s="2" t="s">
        <v>38</v>
      </c>
      <c r="S158" s="2">
        <v>3.0</v>
      </c>
      <c r="T158" s="2">
        <v>0.0</v>
      </c>
      <c r="U158" s="2">
        <v>2.0</v>
      </c>
    </row>
    <row r="159" ht="15.75" customHeight="1">
      <c r="A159" s="2" t="s">
        <v>368</v>
      </c>
      <c r="B159" s="2" t="s">
        <v>653</v>
      </c>
      <c r="C159" s="2" t="s">
        <v>654</v>
      </c>
      <c r="D159" s="2">
        <v>2.0</v>
      </c>
      <c r="E159" s="2">
        <v>0.0</v>
      </c>
      <c r="F159" s="2" t="s">
        <v>24</v>
      </c>
      <c r="G159" s="2">
        <v>0.5691</v>
      </c>
      <c r="H159" s="2" t="s">
        <v>25</v>
      </c>
      <c r="I159" s="2" t="s">
        <v>26</v>
      </c>
      <c r="J159" s="2" t="s">
        <v>27</v>
      </c>
      <c r="K159" s="2" t="s">
        <v>294</v>
      </c>
      <c r="L159" s="2" t="s">
        <v>294</v>
      </c>
      <c r="M159" s="2" t="s">
        <v>655</v>
      </c>
      <c r="N159" s="2" t="s">
        <v>656</v>
      </c>
      <c r="O159" s="2">
        <v>0.9076</v>
      </c>
      <c r="Q159" s="2">
        <v>6.0</v>
      </c>
      <c r="R159" s="2" t="s">
        <v>38</v>
      </c>
      <c r="S159" s="2">
        <v>5.0</v>
      </c>
      <c r="T159" s="2">
        <v>0.0</v>
      </c>
      <c r="U159" s="2">
        <v>2.0</v>
      </c>
    </row>
    <row r="160" ht="15.75" customHeight="1">
      <c r="A160" s="2" t="s">
        <v>368</v>
      </c>
      <c r="B160" s="2" t="s">
        <v>657</v>
      </c>
      <c r="C160" s="2" t="s">
        <v>658</v>
      </c>
      <c r="D160" s="2">
        <v>2.0</v>
      </c>
      <c r="E160" s="2">
        <v>-0.4769</v>
      </c>
      <c r="F160" s="2" t="s">
        <v>40</v>
      </c>
      <c r="G160" s="2">
        <v>0.4769</v>
      </c>
      <c r="H160" s="2" t="s">
        <v>25</v>
      </c>
      <c r="I160" s="2" t="s">
        <v>26</v>
      </c>
      <c r="J160" s="2" t="s">
        <v>27</v>
      </c>
      <c r="K160" s="2" t="s">
        <v>294</v>
      </c>
      <c r="L160" s="2" t="s">
        <v>294</v>
      </c>
      <c r="M160" s="2" t="s">
        <v>659</v>
      </c>
      <c r="N160" s="2" t="s">
        <v>660</v>
      </c>
      <c r="O160" s="2">
        <v>0.9457</v>
      </c>
      <c r="Q160" s="2">
        <v>5.0</v>
      </c>
      <c r="R160" s="2" t="s">
        <v>71</v>
      </c>
      <c r="S160" s="2">
        <v>0.0</v>
      </c>
      <c r="T160" s="2">
        <v>0.0</v>
      </c>
      <c r="U160" s="2">
        <v>2.0</v>
      </c>
    </row>
    <row r="161" ht="15.75" customHeight="1">
      <c r="A161" s="2" t="s">
        <v>368</v>
      </c>
      <c r="B161" s="2" t="s">
        <v>661</v>
      </c>
      <c r="C161" s="2" t="s">
        <v>190</v>
      </c>
      <c r="D161" s="2">
        <v>1.0</v>
      </c>
      <c r="E161" s="2">
        <v>-0.5969</v>
      </c>
      <c r="F161" s="2" t="s">
        <v>40</v>
      </c>
      <c r="G161" s="2">
        <v>0.5969</v>
      </c>
      <c r="H161" s="2" t="s">
        <v>76</v>
      </c>
      <c r="I161" s="2" t="s">
        <v>26</v>
      </c>
      <c r="J161" s="2" t="s">
        <v>77</v>
      </c>
      <c r="K161" s="2" t="s">
        <v>294</v>
      </c>
      <c r="L161" s="2" t="s">
        <v>294</v>
      </c>
      <c r="M161" s="2" t="s">
        <v>662</v>
      </c>
      <c r="N161" s="2" t="s">
        <v>663</v>
      </c>
      <c r="O161" s="2">
        <v>0.3123</v>
      </c>
      <c r="Q161" s="2">
        <v>5.0</v>
      </c>
      <c r="R161" s="2" t="s">
        <v>32</v>
      </c>
      <c r="S161" s="2">
        <v>1.0</v>
      </c>
      <c r="T161" s="2">
        <v>0.0</v>
      </c>
      <c r="U161" s="2">
        <v>2.0</v>
      </c>
    </row>
    <row r="162" ht="15.75" customHeight="1">
      <c r="A162" s="2" t="s">
        <v>368</v>
      </c>
      <c r="B162" s="2" t="s">
        <v>664</v>
      </c>
      <c r="C162" s="2" t="s">
        <v>190</v>
      </c>
      <c r="D162" s="2">
        <v>5.0</v>
      </c>
      <c r="E162" s="2">
        <v>0.0</v>
      </c>
      <c r="F162" s="2" t="s">
        <v>24</v>
      </c>
      <c r="G162" s="2">
        <v>0.4978</v>
      </c>
      <c r="H162" s="2" t="s">
        <v>47</v>
      </c>
      <c r="I162" s="2" t="s">
        <v>318</v>
      </c>
      <c r="J162" s="2" t="s">
        <v>227</v>
      </c>
      <c r="K162" s="2" t="s">
        <v>55</v>
      </c>
      <c r="L162" s="2" t="s">
        <v>55</v>
      </c>
      <c r="M162" s="2" t="s">
        <v>665</v>
      </c>
      <c r="N162" s="2" t="s">
        <v>666</v>
      </c>
      <c r="O162" s="2">
        <v>1.0</v>
      </c>
      <c r="Q162" s="2">
        <v>5.0</v>
      </c>
      <c r="R162" s="2" t="s">
        <v>38</v>
      </c>
      <c r="S162" s="2">
        <v>3.0</v>
      </c>
      <c r="T162" s="2">
        <v>0.0</v>
      </c>
      <c r="U162" s="2">
        <v>2.0</v>
      </c>
    </row>
    <row r="163" ht="15.75" customHeight="1">
      <c r="A163" s="2" t="s">
        <v>368</v>
      </c>
      <c r="B163" s="2" t="s">
        <v>667</v>
      </c>
      <c r="C163" s="2" t="s">
        <v>668</v>
      </c>
      <c r="D163" s="2">
        <v>2.0</v>
      </c>
      <c r="E163" s="2">
        <v>0.0</v>
      </c>
      <c r="F163" s="2" t="s">
        <v>24</v>
      </c>
      <c r="G163" s="2">
        <v>0.5576</v>
      </c>
      <c r="H163" s="2" t="s">
        <v>25</v>
      </c>
      <c r="I163" s="2" t="s">
        <v>26</v>
      </c>
      <c r="J163" s="2" t="s">
        <v>27</v>
      </c>
      <c r="K163" s="2" t="s">
        <v>43</v>
      </c>
      <c r="L163" s="2" t="s">
        <v>43</v>
      </c>
      <c r="M163" s="2" t="s">
        <v>669</v>
      </c>
      <c r="N163" s="2" t="s">
        <v>670</v>
      </c>
      <c r="O163" s="2">
        <v>0.3563</v>
      </c>
      <c r="Q163" s="2">
        <v>1.0</v>
      </c>
      <c r="R163" s="2" t="s">
        <v>71</v>
      </c>
      <c r="S163" s="2">
        <v>1.0</v>
      </c>
      <c r="T163" s="2">
        <v>0.0</v>
      </c>
      <c r="U163" s="2">
        <v>2.0</v>
      </c>
    </row>
    <row r="164" ht="15.75" customHeight="1">
      <c r="A164" s="2" t="s">
        <v>368</v>
      </c>
      <c r="B164" s="2" t="s">
        <v>671</v>
      </c>
      <c r="C164" s="2" t="s">
        <v>190</v>
      </c>
      <c r="D164" s="2">
        <v>3.0</v>
      </c>
      <c r="E164" s="2">
        <v>-0.815</v>
      </c>
      <c r="F164" s="2" t="s">
        <v>40</v>
      </c>
      <c r="G164" s="2">
        <v>0.815</v>
      </c>
      <c r="H164" s="2" t="s">
        <v>104</v>
      </c>
      <c r="I164" s="2" t="s">
        <v>26</v>
      </c>
      <c r="J164" s="2" t="s">
        <v>105</v>
      </c>
      <c r="K164" s="2" t="s">
        <v>328</v>
      </c>
      <c r="L164" s="2" t="s">
        <v>294</v>
      </c>
      <c r="M164" s="2" t="s">
        <v>672</v>
      </c>
      <c r="N164" s="2" t="s">
        <v>673</v>
      </c>
      <c r="O164" s="2">
        <v>0.3613</v>
      </c>
      <c r="Q164" s="2">
        <v>8.5</v>
      </c>
      <c r="R164" s="2" t="s">
        <v>38</v>
      </c>
      <c r="S164" s="2">
        <v>5.5</v>
      </c>
      <c r="T164" s="2">
        <v>0.0</v>
      </c>
      <c r="U164" s="2">
        <v>2.0</v>
      </c>
    </row>
    <row r="165" ht="15.75" customHeight="1">
      <c r="A165" s="2" t="s">
        <v>368</v>
      </c>
      <c r="B165" s="2" t="s">
        <v>674</v>
      </c>
      <c r="C165" s="2" t="s">
        <v>190</v>
      </c>
      <c r="D165" s="2">
        <v>2.0</v>
      </c>
      <c r="E165" s="2">
        <v>0.0</v>
      </c>
      <c r="F165" s="2" t="s">
        <v>24</v>
      </c>
      <c r="G165" s="2">
        <v>0.5393</v>
      </c>
      <c r="H165" s="2" t="s">
        <v>25</v>
      </c>
      <c r="I165" s="2" t="s">
        <v>26</v>
      </c>
      <c r="J165" s="2" t="s">
        <v>27</v>
      </c>
      <c r="K165" s="2" t="s">
        <v>423</v>
      </c>
      <c r="L165" s="2" t="s">
        <v>294</v>
      </c>
      <c r="M165" s="2" t="s">
        <v>675</v>
      </c>
      <c r="N165" s="2" t="s">
        <v>676</v>
      </c>
      <c r="O165" s="2">
        <v>0.26</v>
      </c>
      <c r="Q165" s="2">
        <v>8.5</v>
      </c>
      <c r="R165" s="2" t="s">
        <v>38</v>
      </c>
      <c r="S165" s="2">
        <v>3.5</v>
      </c>
      <c r="T165" s="2">
        <v>0.0</v>
      </c>
      <c r="U165" s="2">
        <v>2.0</v>
      </c>
    </row>
    <row r="166" ht="15.75" customHeight="1">
      <c r="A166" s="2" t="s">
        <v>368</v>
      </c>
      <c r="B166" s="2" t="s">
        <v>677</v>
      </c>
      <c r="C166" s="2" t="s">
        <v>190</v>
      </c>
      <c r="D166" s="2">
        <v>2.0</v>
      </c>
      <c r="E166" s="2">
        <v>0.0</v>
      </c>
      <c r="F166" s="2" t="s">
        <v>24</v>
      </c>
      <c r="G166" s="2">
        <v>0.6674</v>
      </c>
      <c r="H166" s="2" t="s">
        <v>25</v>
      </c>
      <c r="I166" s="2" t="s">
        <v>26</v>
      </c>
      <c r="J166" s="2" t="s">
        <v>27</v>
      </c>
      <c r="K166" s="2" t="s">
        <v>294</v>
      </c>
      <c r="L166" s="2" t="s">
        <v>294</v>
      </c>
      <c r="M166" s="2" t="s">
        <v>678</v>
      </c>
      <c r="N166" s="2" t="s">
        <v>679</v>
      </c>
      <c r="O166" s="2">
        <v>0.5801</v>
      </c>
      <c r="Q166" s="2">
        <v>5.0</v>
      </c>
      <c r="R166" s="2" t="s">
        <v>38</v>
      </c>
      <c r="S166" s="2">
        <v>2.0</v>
      </c>
      <c r="T166" s="2">
        <v>0.0</v>
      </c>
      <c r="U166" s="2">
        <v>2.0</v>
      </c>
    </row>
    <row r="167" ht="15.75" customHeight="1">
      <c r="A167" s="2" t="s">
        <v>368</v>
      </c>
      <c r="B167" s="2" t="s">
        <v>680</v>
      </c>
      <c r="C167" s="2" t="s">
        <v>681</v>
      </c>
      <c r="D167" s="2">
        <v>5.0</v>
      </c>
      <c r="E167" s="2">
        <v>-0.5058</v>
      </c>
      <c r="F167" s="2" t="s">
        <v>40</v>
      </c>
      <c r="G167" s="2">
        <v>0.5058</v>
      </c>
      <c r="H167" s="2" t="s">
        <v>47</v>
      </c>
      <c r="I167" s="2" t="s">
        <v>682</v>
      </c>
      <c r="J167" s="2" t="s">
        <v>49</v>
      </c>
      <c r="K167" s="2" t="s">
        <v>294</v>
      </c>
      <c r="L167" s="2" t="s">
        <v>294</v>
      </c>
      <c r="M167" s="2" t="s">
        <v>683</v>
      </c>
      <c r="N167" s="2" t="s">
        <v>684</v>
      </c>
      <c r="O167" s="2">
        <v>1.0</v>
      </c>
      <c r="Q167" s="2">
        <v>5.0</v>
      </c>
      <c r="R167" s="2" t="s">
        <v>32</v>
      </c>
      <c r="S167" s="2">
        <v>1.0</v>
      </c>
      <c r="T167" s="2">
        <v>0.0</v>
      </c>
      <c r="U167" s="2">
        <v>2.0</v>
      </c>
    </row>
    <row r="168" ht="15.75" customHeight="1">
      <c r="A168" s="2" t="s">
        <v>368</v>
      </c>
      <c r="B168" s="2" t="s">
        <v>685</v>
      </c>
      <c r="C168" s="2" t="s">
        <v>190</v>
      </c>
      <c r="D168" s="2">
        <v>1.0</v>
      </c>
      <c r="E168" s="2">
        <v>-0.8156</v>
      </c>
      <c r="F168" s="2" t="s">
        <v>40</v>
      </c>
      <c r="G168" s="2">
        <v>0.8156</v>
      </c>
      <c r="H168" s="2" t="s">
        <v>76</v>
      </c>
      <c r="I168" s="2" t="s">
        <v>26</v>
      </c>
      <c r="J168" s="2" t="s">
        <v>77</v>
      </c>
      <c r="K168" s="2" t="s">
        <v>294</v>
      </c>
      <c r="L168" s="2" t="s">
        <v>294</v>
      </c>
      <c r="M168" s="2" t="s">
        <v>686</v>
      </c>
      <c r="N168" s="2" t="s">
        <v>687</v>
      </c>
      <c r="O168" s="2">
        <v>0.42</v>
      </c>
      <c r="Q168" s="2">
        <v>5.0</v>
      </c>
      <c r="R168" s="2" t="s">
        <v>32</v>
      </c>
      <c r="S168" s="2">
        <v>1.0</v>
      </c>
      <c r="T168" s="2">
        <v>0.0</v>
      </c>
      <c r="U168" s="2">
        <v>2.0</v>
      </c>
    </row>
    <row r="169" ht="15.75" customHeight="1">
      <c r="A169" s="2" t="s">
        <v>368</v>
      </c>
      <c r="B169" s="2" t="s">
        <v>688</v>
      </c>
      <c r="C169" s="2" t="s">
        <v>190</v>
      </c>
      <c r="D169" s="2">
        <v>1.0</v>
      </c>
      <c r="E169" s="2">
        <v>-0.7474</v>
      </c>
      <c r="F169" s="2" t="s">
        <v>40</v>
      </c>
      <c r="G169" s="2">
        <v>0.7474</v>
      </c>
      <c r="H169" s="2" t="s">
        <v>76</v>
      </c>
      <c r="I169" s="2" t="s">
        <v>26</v>
      </c>
      <c r="J169" s="2" t="s">
        <v>77</v>
      </c>
      <c r="K169" s="2" t="s">
        <v>328</v>
      </c>
      <c r="L169" s="2" t="s">
        <v>294</v>
      </c>
      <c r="M169" s="2" t="s">
        <v>689</v>
      </c>
      <c r="N169" s="2" t="s">
        <v>690</v>
      </c>
      <c r="O169" s="2">
        <v>0.3651</v>
      </c>
      <c r="Q169" s="2">
        <v>8.5</v>
      </c>
      <c r="R169" s="2" t="s">
        <v>38</v>
      </c>
      <c r="S169" s="2">
        <v>3.5</v>
      </c>
      <c r="T169" s="2">
        <v>0.0</v>
      </c>
      <c r="U169" s="2">
        <v>2.0</v>
      </c>
    </row>
    <row r="170" ht="15.75" customHeight="1">
      <c r="A170" s="2" t="s">
        <v>368</v>
      </c>
      <c r="B170" s="2" t="s">
        <v>691</v>
      </c>
      <c r="C170" s="2" t="s">
        <v>190</v>
      </c>
      <c r="D170" s="2">
        <v>1.0</v>
      </c>
      <c r="E170" s="2">
        <v>0.0</v>
      </c>
      <c r="F170" s="2" t="s">
        <v>24</v>
      </c>
      <c r="G170" s="2">
        <v>0.511</v>
      </c>
      <c r="H170" s="2" t="s">
        <v>76</v>
      </c>
      <c r="I170" s="2" t="s">
        <v>26</v>
      </c>
      <c r="J170" s="2" t="s">
        <v>77</v>
      </c>
      <c r="K170" s="2" t="s">
        <v>294</v>
      </c>
      <c r="L170" s="2" t="s">
        <v>294</v>
      </c>
      <c r="M170" s="2" t="s">
        <v>692</v>
      </c>
      <c r="N170" s="2" t="s">
        <v>693</v>
      </c>
      <c r="O170" s="2">
        <v>0.3873</v>
      </c>
      <c r="Q170" s="2">
        <v>5.0</v>
      </c>
      <c r="R170" s="2" t="s">
        <v>38</v>
      </c>
      <c r="S170" s="2">
        <v>2.0</v>
      </c>
      <c r="T170" s="2">
        <v>0.0</v>
      </c>
      <c r="U170" s="2">
        <v>2.0</v>
      </c>
    </row>
    <row r="171" ht="15.75" customHeight="1">
      <c r="A171" s="2" t="s">
        <v>368</v>
      </c>
      <c r="B171" s="2" t="s">
        <v>694</v>
      </c>
      <c r="C171" s="2" t="s">
        <v>190</v>
      </c>
      <c r="D171" s="2">
        <v>2.0</v>
      </c>
      <c r="E171" s="2">
        <v>0.72</v>
      </c>
      <c r="F171" s="2" t="s">
        <v>279</v>
      </c>
      <c r="G171" s="2">
        <v>0.72</v>
      </c>
      <c r="H171" s="2" t="s">
        <v>25</v>
      </c>
      <c r="I171" s="2" t="s">
        <v>26</v>
      </c>
      <c r="J171" s="2" t="s">
        <v>27</v>
      </c>
      <c r="K171" s="2" t="s">
        <v>294</v>
      </c>
      <c r="L171" s="2" t="s">
        <v>294</v>
      </c>
      <c r="M171" s="2" t="s">
        <v>695</v>
      </c>
      <c r="N171" s="2" t="s">
        <v>696</v>
      </c>
      <c r="O171" s="2">
        <v>0.3616</v>
      </c>
      <c r="Q171" s="2">
        <v>8.0</v>
      </c>
      <c r="R171" s="2" t="s">
        <v>38</v>
      </c>
      <c r="S171" s="2">
        <v>4.0</v>
      </c>
      <c r="T171" s="2">
        <v>0.0</v>
      </c>
      <c r="U171" s="2">
        <v>2.0</v>
      </c>
    </row>
    <row r="172" ht="15.75" customHeight="1">
      <c r="A172" s="2" t="s">
        <v>368</v>
      </c>
      <c r="B172" s="2" t="s">
        <v>697</v>
      </c>
      <c r="C172" s="2" t="s">
        <v>698</v>
      </c>
      <c r="D172" s="2">
        <v>4.0</v>
      </c>
      <c r="E172" s="2">
        <v>0.0</v>
      </c>
      <c r="F172" s="2" t="s">
        <v>24</v>
      </c>
      <c r="G172" s="2">
        <v>0.5781</v>
      </c>
      <c r="H172" s="2" t="s">
        <v>47</v>
      </c>
      <c r="I172" s="2" t="s">
        <v>318</v>
      </c>
      <c r="J172" s="2" t="s">
        <v>227</v>
      </c>
      <c r="K172" s="2" t="s">
        <v>294</v>
      </c>
      <c r="L172" s="2" t="s">
        <v>294</v>
      </c>
      <c r="M172" s="2" t="s">
        <v>699</v>
      </c>
      <c r="N172" s="2" t="s">
        <v>700</v>
      </c>
      <c r="O172" s="2">
        <v>1.0</v>
      </c>
      <c r="Q172" s="2">
        <v>8.0</v>
      </c>
      <c r="R172" s="2" t="s">
        <v>38</v>
      </c>
      <c r="S172" s="2">
        <v>4.0</v>
      </c>
      <c r="T172" s="2">
        <v>0.0</v>
      </c>
      <c r="U172" s="2">
        <v>2.0</v>
      </c>
    </row>
    <row r="173" ht="15.75" customHeight="1">
      <c r="A173" s="2" t="s">
        <v>368</v>
      </c>
      <c r="B173" s="2" t="s">
        <v>701</v>
      </c>
      <c r="C173" s="2" t="s">
        <v>190</v>
      </c>
      <c r="D173" s="2">
        <v>5.0</v>
      </c>
      <c r="E173" s="2">
        <v>-0.4921</v>
      </c>
      <c r="F173" s="2" t="s">
        <v>40</v>
      </c>
      <c r="G173" s="2">
        <v>0.4921</v>
      </c>
      <c r="H173" s="2" t="s">
        <v>138</v>
      </c>
      <c r="I173" s="2" t="s">
        <v>702</v>
      </c>
      <c r="J173" s="2" t="s">
        <v>140</v>
      </c>
      <c r="K173" s="2" t="s">
        <v>294</v>
      </c>
      <c r="L173" s="2" t="s">
        <v>294</v>
      </c>
      <c r="M173" s="2" t="s">
        <v>703</v>
      </c>
      <c r="N173" s="2" t="s">
        <v>704</v>
      </c>
      <c r="O173" s="2">
        <v>1.0</v>
      </c>
      <c r="Q173" s="2">
        <v>8.0</v>
      </c>
      <c r="R173" s="2" t="s">
        <v>38</v>
      </c>
      <c r="S173" s="2">
        <v>3.0</v>
      </c>
      <c r="T173" s="2">
        <v>0.0</v>
      </c>
      <c r="U173" s="2">
        <v>2.0</v>
      </c>
    </row>
    <row r="174" ht="15.75" customHeight="1">
      <c r="A174" s="2" t="s">
        <v>368</v>
      </c>
      <c r="B174" s="2" t="s">
        <v>705</v>
      </c>
      <c r="C174" s="2" t="s">
        <v>706</v>
      </c>
      <c r="D174" s="2">
        <v>1.0</v>
      </c>
      <c r="E174" s="2">
        <v>0.5985</v>
      </c>
      <c r="F174" s="2" t="s">
        <v>279</v>
      </c>
      <c r="G174" s="2">
        <v>0.5985</v>
      </c>
      <c r="H174" s="2" t="s">
        <v>76</v>
      </c>
      <c r="I174" s="2" t="s">
        <v>26</v>
      </c>
      <c r="J174" s="2" t="s">
        <v>77</v>
      </c>
      <c r="K174" s="2" t="s">
        <v>423</v>
      </c>
      <c r="L174" s="2" t="s">
        <v>294</v>
      </c>
      <c r="M174" s="2" t="s">
        <v>707</v>
      </c>
      <c r="N174" s="2" t="s">
        <v>708</v>
      </c>
      <c r="O174" s="2">
        <v>0.3824</v>
      </c>
      <c r="Q174" s="2">
        <v>8.5</v>
      </c>
      <c r="R174" s="2" t="s">
        <v>38</v>
      </c>
      <c r="S174" s="2">
        <v>5.5</v>
      </c>
      <c r="T174" s="2">
        <v>0.0</v>
      </c>
      <c r="U174" s="2">
        <v>2.0</v>
      </c>
    </row>
    <row r="175" ht="15.75" customHeight="1">
      <c r="A175" s="2" t="s">
        <v>368</v>
      </c>
      <c r="B175" s="2" t="s">
        <v>709</v>
      </c>
      <c r="C175" s="2" t="s">
        <v>190</v>
      </c>
      <c r="D175" s="2">
        <v>4.0</v>
      </c>
      <c r="E175" s="2">
        <v>0.0</v>
      </c>
      <c r="F175" s="2" t="s">
        <v>24</v>
      </c>
      <c r="G175" s="2">
        <v>0.4467</v>
      </c>
      <c r="H175" s="2" t="s">
        <v>47</v>
      </c>
      <c r="I175" s="2" t="s">
        <v>318</v>
      </c>
      <c r="J175" s="2" t="s">
        <v>227</v>
      </c>
      <c r="K175" s="2" t="s">
        <v>294</v>
      </c>
      <c r="L175" s="2" t="s">
        <v>294</v>
      </c>
      <c r="M175" s="2" t="s">
        <v>710</v>
      </c>
      <c r="N175" s="2" t="s">
        <v>711</v>
      </c>
      <c r="O175" s="2">
        <v>1.0</v>
      </c>
      <c r="Q175" s="2">
        <v>8.0</v>
      </c>
      <c r="R175" s="2" t="s">
        <v>38</v>
      </c>
      <c r="S175" s="2">
        <v>4.0</v>
      </c>
      <c r="T175" s="2">
        <v>0.0</v>
      </c>
      <c r="U175" s="2">
        <v>2.0</v>
      </c>
    </row>
    <row r="176" ht="15.75" customHeight="1">
      <c r="A176" s="2" t="s">
        <v>368</v>
      </c>
      <c r="B176" s="2" t="s">
        <v>712</v>
      </c>
      <c r="C176" s="2" t="s">
        <v>713</v>
      </c>
      <c r="D176" s="2">
        <v>2.0</v>
      </c>
      <c r="E176" s="2">
        <v>0.0</v>
      </c>
      <c r="F176" s="2" t="s">
        <v>24</v>
      </c>
      <c r="G176" s="2">
        <v>0.4945</v>
      </c>
      <c r="H176" s="2" t="s">
        <v>25</v>
      </c>
      <c r="I176" s="2" t="s">
        <v>26</v>
      </c>
      <c r="J176" s="2" t="s">
        <v>27</v>
      </c>
      <c r="K176" s="2" t="s">
        <v>423</v>
      </c>
      <c r="L176" s="2" t="s">
        <v>294</v>
      </c>
      <c r="M176" s="2" t="s">
        <v>714</v>
      </c>
      <c r="N176" s="2" t="s">
        <v>715</v>
      </c>
      <c r="O176" s="2">
        <v>0.3846</v>
      </c>
      <c r="Q176" s="2">
        <v>4.0</v>
      </c>
      <c r="R176" s="2" t="s">
        <v>32</v>
      </c>
      <c r="S176" s="2">
        <v>1.0</v>
      </c>
      <c r="T176" s="2">
        <v>0.0</v>
      </c>
      <c r="U176" s="2">
        <v>2.0</v>
      </c>
    </row>
    <row r="177" ht="15.75" customHeight="1">
      <c r="A177" s="2" t="s">
        <v>368</v>
      </c>
      <c r="B177" s="2" t="s">
        <v>716</v>
      </c>
      <c r="C177" s="2" t="s">
        <v>190</v>
      </c>
      <c r="D177" s="2">
        <v>2.0</v>
      </c>
      <c r="E177" s="2">
        <v>0.0</v>
      </c>
      <c r="F177" s="2" t="s">
        <v>24</v>
      </c>
      <c r="G177" s="2">
        <v>0.5522</v>
      </c>
      <c r="H177" s="2" t="s">
        <v>25</v>
      </c>
      <c r="I177" s="2" t="s">
        <v>26</v>
      </c>
      <c r="J177" s="2" t="s">
        <v>27</v>
      </c>
      <c r="K177" s="2" t="s">
        <v>294</v>
      </c>
      <c r="L177" s="2" t="s">
        <v>294</v>
      </c>
      <c r="M177" s="2" t="s">
        <v>717</v>
      </c>
      <c r="N177" s="2" t="s">
        <v>718</v>
      </c>
      <c r="O177" s="2">
        <v>0.4348</v>
      </c>
      <c r="Q177" s="2">
        <v>5.0</v>
      </c>
      <c r="R177" s="2" t="s">
        <v>71</v>
      </c>
      <c r="S177" s="2">
        <v>0.0</v>
      </c>
      <c r="T177" s="2">
        <v>0.0</v>
      </c>
      <c r="U177" s="2">
        <v>2.0</v>
      </c>
    </row>
    <row r="178" ht="15.75" customHeight="1">
      <c r="A178" s="2" t="s">
        <v>368</v>
      </c>
      <c r="B178" s="2" t="s">
        <v>719</v>
      </c>
      <c r="C178" s="2" t="s">
        <v>190</v>
      </c>
      <c r="D178" s="2">
        <v>2.0</v>
      </c>
      <c r="E178" s="2">
        <v>0.4495</v>
      </c>
      <c r="F178" s="2" t="s">
        <v>279</v>
      </c>
      <c r="G178" s="2">
        <v>0.4495</v>
      </c>
      <c r="H178" s="2" t="s">
        <v>25</v>
      </c>
      <c r="I178" s="2" t="s">
        <v>26</v>
      </c>
      <c r="J178" s="2" t="s">
        <v>27</v>
      </c>
      <c r="K178" s="2" t="s">
        <v>328</v>
      </c>
      <c r="L178" s="2" t="s">
        <v>294</v>
      </c>
      <c r="M178" s="2" t="s">
        <v>720</v>
      </c>
      <c r="N178" s="2" t="s">
        <v>721</v>
      </c>
      <c r="O178" s="2">
        <v>0.4076</v>
      </c>
      <c r="Q178" s="2">
        <v>8.5</v>
      </c>
      <c r="R178" s="2" t="s">
        <v>38</v>
      </c>
      <c r="S178" s="2">
        <v>6.5</v>
      </c>
      <c r="T178" s="2">
        <v>0.0</v>
      </c>
      <c r="U178" s="2">
        <v>2.0</v>
      </c>
    </row>
    <row r="179" ht="15.75" customHeight="1">
      <c r="A179" s="2" t="s">
        <v>368</v>
      </c>
      <c r="B179" s="2" t="s">
        <v>722</v>
      </c>
      <c r="C179" s="2" t="s">
        <v>190</v>
      </c>
      <c r="D179" s="2">
        <v>4.0</v>
      </c>
      <c r="E179" s="2">
        <v>0.0</v>
      </c>
      <c r="F179" s="2" t="s">
        <v>24</v>
      </c>
      <c r="G179" s="2">
        <v>0.503</v>
      </c>
      <c r="H179" s="2" t="s">
        <v>47</v>
      </c>
      <c r="I179" s="2" t="s">
        <v>318</v>
      </c>
      <c r="J179" s="2" t="s">
        <v>227</v>
      </c>
      <c r="K179" s="2" t="s">
        <v>294</v>
      </c>
      <c r="L179" s="2" t="s">
        <v>294</v>
      </c>
      <c r="M179" s="2" t="s">
        <v>723</v>
      </c>
      <c r="N179" s="2" t="s">
        <v>724</v>
      </c>
      <c r="O179" s="2">
        <v>1.0</v>
      </c>
      <c r="Q179" s="2">
        <v>8.0</v>
      </c>
      <c r="R179" s="2" t="s">
        <v>38</v>
      </c>
      <c r="S179" s="2">
        <v>3.0</v>
      </c>
      <c r="T179" s="2">
        <v>0.0</v>
      </c>
      <c r="U179" s="2">
        <v>2.0</v>
      </c>
    </row>
    <row r="180" ht="15.75" customHeight="1">
      <c r="A180" s="2" t="s">
        <v>368</v>
      </c>
      <c r="B180" s="2" t="s">
        <v>725</v>
      </c>
      <c r="C180" s="2" t="s">
        <v>190</v>
      </c>
      <c r="D180" s="2">
        <v>2.0</v>
      </c>
      <c r="E180" s="2">
        <v>0.0</v>
      </c>
      <c r="F180" s="2" t="s">
        <v>24</v>
      </c>
      <c r="G180" s="2">
        <v>0.5031</v>
      </c>
      <c r="H180" s="2" t="s">
        <v>25</v>
      </c>
      <c r="I180" s="2" t="s">
        <v>26</v>
      </c>
      <c r="J180" s="2" t="s">
        <v>27</v>
      </c>
      <c r="K180" s="2" t="s">
        <v>294</v>
      </c>
      <c r="L180" s="2" t="s">
        <v>294</v>
      </c>
      <c r="M180" s="2" t="s">
        <v>726</v>
      </c>
      <c r="N180" s="2" t="s">
        <v>727</v>
      </c>
      <c r="O180" s="2">
        <v>0.914</v>
      </c>
      <c r="Q180" s="2">
        <v>5.0</v>
      </c>
      <c r="R180" s="2" t="s">
        <v>32</v>
      </c>
      <c r="S180" s="2">
        <v>1.0</v>
      </c>
      <c r="T180" s="2">
        <v>0.0</v>
      </c>
      <c r="U180" s="2">
        <v>2.0</v>
      </c>
    </row>
    <row r="181" ht="15.75" customHeight="1">
      <c r="A181" s="2" t="s">
        <v>368</v>
      </c>
      <c r="B181" s="2" t="s">
        <v>728</v>
      </c>
      <c r="C181" s="2" t="s">
        <v>729</v>
      </c>
      <c r="D181" s="2">
        <v>2.0</v>
      </c>
      <c r="E181" s="2">
        <v>-0.5643</v>
      </c>
      <c r="F181" s="2" t="s">
        <v>40</v>
      </c>
      <c r="G181" s="2">
        <v>0.5643</v>
      </c>
      <c r="H181" s="2" t="s">
        <v>25</v>
      </c>
      <c r="I181" s="2" t="s">
        <v>26</v>
      </c>
      <c r="J181" s="2" t="s">
        <v>27</v>
      </c>
      <c r="K181" s="2" t="s">
        <v>328</v>
      </c>
      <c r="L181" s="2" t="s">
        <v>294</v>
      </c>
      <c r="M181" s="2" t="s">
        <v>730</v>
      </c>
      <c r="N181" s="2" t="s">
        <v>731</v>
      </c>
      <c r="O181" s="2">
        <v>0.351</v>
      </c>
      <c r="Q181" s="2">
        <v>8.5</v>
      </c>
      <c r="R181" s="2" t="s">
        <v>38</v>
      </c>
      <c r="S181" s="2">
        <v>7.5</v>
      </c>
      <c r="T181" s="2">
        <v>0.0</v>
      </c>
      <c r="U181" s="2">
        <v>2.0</v>
      </c>
    </row>
    <row r="182" ht="15.75" customHeight="1">
      <c r="A182" s="2" t="s">
        <v>368</v>
      </c>
      <c r="B182" s="2" t="s">
        <v>732</v>
      </c>
      <c r="C182" s="2" t="s">
        <v>190</v>
      </c>
      <c r="D182" s="2">
        <v>3.0</v>
      </c>
      <c r="E182" s="2">
        <v>0.0</v>
      </c>
      <c r="F182" s="2" t="s">
        <v>24</v>
      </c>
      <c r="G182" s="2">
        <v>0.4941</v>
      </c>
      <c r="H182" s="2" t="s">
        <v>104</v>
      </c>
      <c r="I182" s="2" t="s">
        <v>242</v>
      </c>
      <c r="J182" s="2" t="s">
        <v>105</v>
      </c>
      <c r="K182" s="2" t="s">
        <v>423</v>
      </c>
      <c r="L182" s="2" t="s">
        <v>294</v>
      </c>
      <c r="M182" s="2" t="s">
        <v>733</v>
      </c>
      <c r="N182" s="2" t="s">
        <v>734</v>
      </c>
      <c r="O182" s="2">
        <v>1.0</v>
      </c>
      <c r="Q182" s="2">
        <v>8.5</v>
      </c>
      <c r="R182" s="2" t="s">
        <v>38</v>
      </c>
      <c r="S182" s="2">
        <v>5.5</v>
      </c>
      <c r="T182" s="2">
        <v>0.0</v>
      </c>
      <c r="U182" s="2">
        <v>2.0</v>
      </c>
    </row>
    <row r="183" ht="15.75" customHeight="1">
      <c r="A183" s="2" t="s">
        <v>368</v>
      </c>
      <c r="B183" s="2" t="s">
        <v>735</v>
      </c>
      <c r="C183" s="2" t="s">
        <v>190</v>
      </c>
      <c r="D183" s="2">
        <v>4.0</v>
      </c>
      <c r="E183" s="2">
        <v>0.0</v>
      </c>
      <c r="F183" s="2" t="s">
        <v>24</v>
      </c>
      <c r="G183" s="2">
        <v>0.4817</v>
      </c>
      <c r="H183" s="2" t="s">
        <v>47</v>
      </c>
      <c r="I183" s="2" t="s">
        <v>318</v>
      </c>
      <c r="J183" s="2" t="s">
        <v>227</v>
      </c>
      <c r="K183" s="2" t="s">
        <v>294</v>
      </c>
      <c r="L183" s="2" t="s">
        <v>294</v>
      </c>
      <c r="M183" s="2" t="s">
        <v>736</v>
      </c>
      <c r="N183" s="2" t="s">
        <v>737</v>
      </c>
      <c r="O183" s="2">
        <v>1.0</v>
      </c>
      <c r="Q183" s="2">
        <v>6.0</v>
      </c>
      <c r="R183" s="2" t="s">
        <v>38</v>
      </c>
      <c r="S183" s="2">
        <v>3.0</v>
      </c>
      <c r="T183" s="2">
        <v>0.0</v>
      </c>
      <c r="U183" s="2">
        <v>2.0</v>
      </c>
    </row>
    <row r="184" ht="15.75" customHeight="1">
      <c r="A184" s="2" t="s">
        <v>368</v>
      </c>
      <c r="B184" s="2" t="s">
        <v>738</v>
      </c>
      <c r="C184" s="2" t="s">
        <v>739</v>
      </c>
      <c r="D184" s="2">
        <v>4.0</v>
      </c>
      <c r="E184" s="2">
        <v>-0.5025</v>
      </c>
      <c r="F184" s="2" t="s">
        <v>40</v>
      </c>
      <c r="G184" s="2">
        <v>0.5025</v>
      </c>
      <c r="H184" s="2" t="s">
        <v>25</v>
      </c>
      <c r="I184" s="2" t="s">
        <v>26</v>
      </c>
      <c r="J184" s="2" t="s">
        <v>27</v>
      </c>
      <c r="K184" s="2" t="s">
        <v>597</v>
      </c>
      <c r="L184" s="2" t="s">
        <v>294</v>
      </c>
      <c r="M184" s="2" t="s">
        <v>740</v>
      </c>
      <c r="N184" s="2" t="s">
        <v>741</v>
      </c>
      <c r="O184" s="2">
        <v>0.748</v>
      </c>
      <c r="Q184" s="2">
        <v>7.0</v>
      </c>
      <c r="R184" s="2" t="s">
        <v>38</v>
      </c>
      <c r="S184" s="2">
        <v>4.0</v>
      </c>
      <c r="T184" s="2">
        <v>0.0</v>
      </c>
      <c r="U184" s="2">
        <v>2.0</v>
      </c>
    </row>
    <row r="185" ht="15.75" customHeight="1">
      <c r="A185" s="2" t="s">
        <v>368</v>
      </c>
      <c r="B185" s="2" t="s">
        <v>742</v>
      </c>
      <c r="C185" s="2" t="s">
        <v>190</v>
      </c>
      <c r="D185" s="2">
        <v>5.0</v>
      </c>
      <c r="E185" s="2">
        <v>0.0</v>
      </c>
      <c r="F185" s="2" t="s">
        <v>24</v>
      </c>
      <c r="G185" s="2">
        <v>0.4568</v>
      </c>
      <c r="H185" s="2" t="s">
        <v>138</v>
      </c>
      <c r="I185" s="2" t="s">
        <v>702</v>
      </c>
      <c r="J185" s="2" t="s">
        <v>140</v>
      </c>
      <c r="K185" s="2" t="s">
        <v>294</v>
      </c>
      <c r="L185" s="2" t="s">
        <v>294</v>
      </c>
      <c r="M185" s="2" t="s">
        <v>743</v>
      </c>
      <c r="N185" s="2" t="s">
        <v>744</v>
      </c>
      <c r="O185" s="2">
        <v>1.0</v>
      </c>
      <c r="Q185" s="2">
        <v>6.0</v>
      </c>
      <c r="R185" s="2" t="s">
        <v>38</v>
      </c>
      <c r="S185" s="2">
        <v>6.0</v>
      </c>
      <c r="T185" s="2">
        <v>0.0</v>
      </c>
      <c r="U185" s="2">
        <v>2.0</v>
      </c>
    </row>
    <row r="186" ht="15.75" customHeight="1">
      <c r="A186" s="2" t="s">
        <v>368</v>
      </c>
      <c r="B186" s="2" t="s">
        <v>745</v>
      </c>
      <c r="C186" s="2" t="s">
        <v>746</v>
      </c>
      <c r="D186" s="2">
        <v>4.0</v>
      </c>
      <c r="E186" s="2">
        <v>-0.5567</v>
      </c>
      <c r="F186" s="2" t="s">
        <v>40</v>
      </c>
      <c r="G186" s="2">
        <v>0.5567</v>
      </c>
      <c r="H186" s="2" t="s">
        <v>25</v>
      </c>
      <c r="I186" s="2" t="s">
        <v>26</v>
      </c>
      <c r="J186" s="2" t="s">
        <v>27</v>
      </c>
      <c r="K186" s="2" t="s">
        <v>294</v>
      </c>
      <c r="L186" s="2" t="s">
        <v>294</v>
      </c>
      <c r="M186" s="2" t="s">
        <v>747</v>
      </c>
      <c r="N186" s="2" t="s">
        <v>748</v>
      </c>
      <c r="O186" s="2">
        <v>0.3332</v>
      </c>
      <c r="Q186" s="2">
        <v>5.0</v>
      </c>
      <c r="R186" s="2" t="s">
        <v>71</v>
      </c>
      <c r="S186" s="2">
        <v>0.0</v>
      </c>
      <c r="T186" s="2">
        <v>0.0</v>
      </c>
      <c r="U186" s="2">
        <v>2.0</v>
      </c>
    </row>
    <row r="187" ht="15.75" customHeight="1">
      <c r="A187" s="2" t="s">
        <v>368</v>
      </c>
      <c r="B187" s="2" t="s">
        <v>749</v>
      </c>
      <c r="C187" s="2" t="s">
        <v>750</v>
      </c>
      <c r="D187" s="2">
        <v>4.0</v>
      </c>
      <c r="E187" s="2">
        <v>0.0</v>
      </c>
      <c r="F187" s="2" t="s">
        <v>24</v>
      </c>
      <c r="G187" s="2">
        <v>0.543</v>
      </c>
      <c r="H187" s="2" t="s">
        <v>47</v>
      </c>
      <c r="I187" s="2" t="s">
        <v>318</v>
      </c>
      <c r="J187" s="2" t="s">
        <v>227</v>
      </c>
      <c r="K187" s="2" t="s">
        <v>294</v>
      </c>
      <c r="L187" s="2" t="s">
        <v>294</v>
      </c>
      <c r="M187" s="2" t="s">
        <v>751</v>
      </c>
      <c r="N187" s="2" t="s">
        <v>752</v>
      </c>
      <c r="O187" s="2">
        <v>1.0</v>
      </c>
      <c r="Q187" s="2">
        <v>5.0</v>
      </c>
      <c r="R187" s="2" t="s">
        <v>71</v>
      </c>
      <c r="S187" s="2">
        <v>0.0</v>
      </c>
      <c r="T187" s="2">
        <v>0.0</v>
      </c>
      <c r="U187" s="2">
        <v>2.0</v>
      </c>
    </row>
    <row r="188" ht="15.75" customHeight="1">
      <c r="A188" s="2" t="s">
        <v>368</v>
      </c>
      <c r="B188" s="2" t="s">
        <v>753</v>
      </c>
      <c r="C188" s="2" t="s">
        <v>754</v>
      </c>
      <c r="D188" s="2">
        <v>2.0</v>
      </c>
      <c r="E188" s="2">
        <v>-0.4859</v>
      </c>
      <c r="F188" s="2" t="s">
        <v>40</v>
      </c>
      <c r="G188" s="2">
        <v>0.4859</v>
      </c>
      <c r="H188" s="2" t="s">
        <v>25</v>
      </c>
      <c r="I188" s="2" t="s">
        <v>26</v>
      </c>
      <c r="J188" s="2" t="s">
        <v>27</v>
      </c>
      <c r="K188" s="2" t="s">
        <v>294</v>
      </c>
      <c r="L188" s="2" t="s">
        <v>294</v>
      </c>
      <c r="M188" s="2" t="s">
        <v>755</v>
      </c>
      <c r="N188" s="2" t="s">
        <v>756</v>
      </c>
      <c r="O188" s="2">
        <v>0.8685</v>
      </c>
      <c r="Q188" s="2">
        <v>8.0</v>
      </c>
      <c r="R188" s="2" t="s">
        <v>71</v>
      </c>
      <c r="S188" s="2">
        <v>0.0</v>
      </c>
      <c r="T188" s="2">
        <v>0.0</v>
      </c>
      <c r="U188" s="2">
        <v>2.0</v>
      </c>
    </row>
    <row r="189" ht="15.75" customHeight="1">
      <c r="A189" s="2" t="s">
        <v>368</v>
      </c>
      <c r="B189" s="2" t="s">
        <v>757</v>
      </c>
      <c r="C189" s="2" t="s">
        <v>758</v>
      </c>
      <c r="D189" s="2">
        <v>1.0</v>
      </c>
      <c r="E189" s="2">
        <v>-0.587</v>
      </c>
      <c r="F189" s="2" t="s">
        <v>40</v>
      </c>
      <c r="G189" s="2">
        <v>0.587</v>
      </c>
      <c r="H189" s="2" t="s">
        <v>76</v>
      </c>
      <c r="I189" s="2" t="s">
        <v>26</v>
      </c>
      <c r="J189" s="2" t="s">
        <v>77</v>
      </c>
      <c r="K189" s="2" t="s">
        <v>43</v>
      </c>
      <c r="L189" s="2" t="s">
        <v>43</v>
      </c>
      <c r="M189" s="2" t="s">
        <v>759</v>
      </c>
      <c r="N189" s="2" t="s">
        <v>760</v>
      </c>
      <c r="O189" s="2">
        <v>0.3066</v>
      </c>
      <c r="Q189" s="2">
        <v>0.0</v>
      </c>
      <c r="R189" s="2" t="s">
        <v>71</v>
      </c>
      <c r="S189" s="2">
        <v>0.0</v>
      </c>
      <c r="T189" s="2">
        <v>0.0</v>
      </c>
      <c r="U189" s="2">
        <v>2.0</v>
      </c>
    </row>
    <row r="190" ht="15.75" customHeight="1">
      <c r="A190" s="2" t="s">
        <v>368</v>
      </c>
      <c r="B190" s="2" t="s">
        <v>761</v>
      </c>
      <c r="C190" s="2" t="s">
        <v>762</v>
      </c>
      <c r="D190" s="2">
        <v>2.0</v>
      </c>
      <c r="E190" s="2">
        <v>0.0</v>
      </c>
      <c r="F190" s="2" t="s">
        <v>24</v>
      </c>
      <c r="G190" s="2">
        <v>0.5223</v>
      </c>
      <c r="H190" s="2" t="s">
        <v>25</v>
      </c>
      <c r="I190" s="2" t="s">
        <v>26</v>
      </c>
      <c r="J190" s="2" t="s">
        <v>27</v>
      </c>
      <c r="K190" s="2" t="s">
        <v>43</v>
      </c>
      <c r="L190" s="2" t="s">
        <v>43</v>
      </c>
      <c r="M190" s="2" t="s">
        <v>763</v>
      </c>
      <c r="N190" s="2" t="s">
        <v>764</v>
      </c>
      <c r="O190" s="2">
        <v>0.3445</v>
      </c>
      <c r="Q190" s="2">
        <v>3.0</v>
      </c>
      <c r="R190" s="2" t="s">
        <v>71</v>
      </c>
      <c r="S190" s="2">
        <v>0.0</v>
      </c>
      <c r="T190" s="2">
        <v>0.0</v>
      </c>
      <c r="U190" s="2">
        <v>2.0</v>
      </c>
    </row>
    <row r="191" ht="15.75" customHeight="1">
      <c r="A191" s="2" t="s">
        <v>368</v>
      </c>
      <c r="B191" s="2" t="s">
        <v>765</v>
      </c>
      <c r="C191" s="2" t="s">
        <v>766</v>
      </c>
      <c r="D191" s="2">
        <v>5.0</v>
      </c>
      <c r="E191" s="2">
        <v>0.0</v>
      </c>
      <c r="F191" s="2" t="s">
        <v>24</v>
      </c>
      <c r="G191" s="2">
        <v>0.451</v>
      </c>
      <c r="H191" s="2" t="s">
        <v>47</v>
      </c>
      <c r="I191" s="2" t="s">
        <v>318</v>
      </c>
      <c r="J191" s="2" t="s">
        <v>227</v>
      </c>
      <c r="K191" s="2" t="s">
        <v>597</v>
      </c>
      <c r="L191" s="2" t="s">
        <v>294</v>
      </c>
      <c r="M191" s="2" t="s">
        <v>767</v>
      </c>
      <c r="N191" s="2" t="s">
        <v>768</v>
      </c>
      <c r="O191" s="2">
        <v>1.0</v>
      </c>
      <c r="Q191" s="2">
        <v>7.0</v>
      </c>
      <c r="R191" s="2" t="s">
        <v>38</v>
      </c>
      <c r="S191" s="2">
        <v>7.0</v>
      </c>
      <c r="T191" s="2">
        <v>0.0</v>
      </c>
      <c r="U191" s="2">
        <v>2.0</v>
      </c>
    </row>
    <row r="192" ht="15.75" customHeight="1">
      <c r="A192" s="2" t="s">
        <v>368</v>
      </c>
      <c r="B192" s="2" t="s">
        <v>769</v>
      </c>
      <c r="C192" s="2" t="s">
        <v>770</v>
      </c>
      <c r="D192" s="2">
        <v>2.0</v>
      </c>
      <c r="E192" s="2">
        <v>-0.7541</v>
      </c>
      <c r="F192" s="2" t="s">
        <v>40</v>
      </c>
      <c r="G192" s="2">
        <v>0.7541</v>
      </c>
      <c r="H192" s="2" t="s">
        <v>41</v>
      </c>
      <c r="I192" s="2" t="s">
        <v>26</v>
      </c>
      <c r="J192" s="2" t="s">
        <v>42</v>
      </c>
      <c r="K192" s="2" t="s">
        <v>59</v>
      </c>
      <c r="L192" s="2" t="s">
        <v>59</v>
      </c>
      <c r="M192" s="2" t="s">
        <v>771</v>
      </c>
      <c r="N192" s="2" t="s">
        <v>772</v>
      </c>
      <c r="O192" s="2">
        <v>0.7497</v>
      </c>
      <c r="Q192" s="2">
        <v>3.0</v>
      </c>
      <c r="R192" s="2" t="s">
        <v>71</v>
      </c>
      <c r="S192" s="2">
        <v>0.0</v>
      </c>
      <c r="T192" s="2">
        <v>0.0</v>
      </c>
      <c r="U192" s="2">
        <v>2.0</v>
      </c>
    </row>
    <row r="193" ht="15.75" customHeight="1">
      <c r="A193" s="2" t="s">
        <v>368</v>
      </c>
      <c r="B193" s="2" t="s">
        <v>773</v>
      </c>
      <c r="C193" s="2" t="s">
        <v>190</v>
      </c>
      <c r="D193" s="2">
        <v>5.0</v>
      </c>
      <c r="E193" s="2">
        <v>0.0</v>
      </c>
      <c r="F193" s="2" t="s">
        <v>24</v>
      </c>
      <c r="G193" s="2">
        <v>0.4458</v>
      </c>
      <c r="H193" s="2" t="s">
        <v>25</v>
      </c>
      <c r="I193" s="2" t="s">
        <v>26</v>
      </c>
      <c r="J193" s="2" t="s">
        <v>27</v>
      </c>
      <c r="K193" s="2" t="s">
        <v>294</v>
      </c>
      <c r="L193" s="2" t="s">
        <v>294</v>
      </c>
      <c r="M193" s="2" t="s">
        <v>774</v>
      </c>
      <c r="N193" s="2" t="s">
        <v>775</v>
      </c>
      <c r="O193" s="2">
        <v>0.7032</v>
      </c>
      <c r="Q193" s="2">
        <v>5.0</v>
      </c>
      <c r="R193" s="2" t="s">
        <v>71</v>
      </c>
      <c r="S193" s="2">
        <v>0.0</v>
      </c>
      <c r="T193" s="2">
        <v>0.0</v>
      </c>
      <c r="U193" s="2">
        <v>2.0</v>
      </c>
    </row>
    <row r="194" ht="15.75" customHeight="1">
      <c r="A194" s="2" t="s">
        <v>368</v>
      </c>
      <c r="B194" s="2" t="s">
        <v>776</v>
      </c>
      <c r="C194" s="2" t="s">
        <v>777</v>
      </c>
      <c r="D194" s="2">
        <v>1.0</v>
      </c>
      <c r="E194" s="2">
        <v>-0.8413</v>
      </c>
      <c r="F194" s="2" t="s">
        <v>40</v>
      </c>
      <c r="G194" s="2">
        <v>0.8413</v>
      </c>
      <c r="H194" s="2" t="s">
        <v>76</v>
      </c>
      <c r="I194" s="2" t="s">
        <v>26</v>
      </c>
      <c r="J194" s="2" t="s">
        <v>77</v>
      </c>
      <c r="K194" s="2" t="s">
        <v>294</v>
      </c>
      <c r="L194" s="2" t="s">
        <v>294</v>
      </c>
      <c r="M194" s="2" t="s">
        <v>778</v>
      </c>
      <c r="N194" s="2" t="s">
        <v>779</v>
      </c>
      <c r="O194" s="2">
        <v>0.3616</v>
      </c>
      <c r="Q194" s="2">
        <v>3.0</v>
      </c>
      <c r="R194" s="2" t="s">
        <v>32</v>
      </c>
      <c r="S194" s="2">
        <v>1.0</v>
      </c>
      <c r="T194" s="2">
        <v>0.0</v>
      </c>
      <c r="U194" s="2">
        <v>2.0</v>
      </c>
    </row>
    <row r="195" ht="15.75" customHeight="1">
      <c r="A195" s="2" t="s">
        <v>368</v>
      </c>
      <c r="B195" s="2" t="s">
        <v>780</v>
      </c>
      <c r="C195" s="2" t="s">
        <v>190</v>
      </c>
      <c r="D195" s="2">
        <v>5.0</v>
      </c>
      <c r="E195" s="2">
        <v>0.0</v>
      </c>
      <c r="F195" s="2" t="s">
        <v>24</v>
      </c>
      <c r="G195" s="2">
        <v>0.4922</v>
      </c>
      <c r="H195" s="2" t="s">
        <v>47</v>
      </c>
      <c r="I195" s="2" t="s">
        <v>26</v>
      </c>
      <c r="J195" s="2" t="s">
        <v>49</v>
      </c>
      <c r="K195" s="2" t="s">
        <v>294</v>
      </c>
      <c r="L195" s="2" t="s">
        <v>294</v>
      </c>
      <c r="M195" s="2" t="s">
        <v>781</v>
      </c>
      <c r="N195" s="2" t="s">
        <v>782</v>
      </c>
      <c r="O195" s="2">
        <v>0.5407</v>
      </c>
      <c r="Q195" s="2">
        <v>5.0</v>
      </c>
      <c r="R195" s="2" t="s">
        <v>38</v>
      </c>
      <c r="S195" s="2">
        <v>3.0</v>
      </c>
      <c r="T195" s="2">
        <v>0.0</v>
      </c>
      <c r="U195" s="2">
        <v>2.0</v>
      </c>
    </row>
    <row r="196" ht="15.75" customHeight="1">
      <c r="A196" s="2" t="s">
        <v>368</v>
      </c>
      <c r="B196" s="2" t="s">
        <v>783</v>
      </c>
      <c r="C196" s="2" t="s">
        <v>190</v>
      </c>
      <c r="D196" s="2">
        <v>2.0</v>
      </c>
      <c r="E196" s="2">
        <v>0.0</v>
      </c>
      <c r="F196" s="2" t="s">
        <v>24</v>
      </c>
      <c r="G196" s="2">
        <v>0.5177</v>
      </c>
      <c r="H196" s="2" t="s">
        <v>25</v>
      </c>
      <c r="I196" s="2" t="s">
        <v>26</v>
      </c>
      <c r="J196" s="2" t="s">
        <v>27</v>
      </c>
      <c r="K196" s="2" t="s">
        <v>328</v>
      </c>
      <c r="L196" s="2" t="s">
        <v>294</v>
      </c>
      <c r="M196" s="2" t="s">
        <v>784</v>
      </c>
      <c r="N196" s="2" t="s">
        <v>785</v>
      </c>
      <c r="O196" s="2">
        <v>0.374</v>
      </c>
      <c r="Q196" s="2">
        <v>8.5</v>
      </c>
      <c r="R196" s="2" t="s">
        <v>71</v>
      </c>
      <c r="S196" s="2">
        <v>0.0</v>
      </c>
      <c r="T196" s="2">
        <v>0.0</v>
      </c>
      <c r="U196" s="2">
        <v>2.0</v>
      </c>
    </row>
    <row r="197" ht="15.75" customHeight="1">
      <c r="A197" s="2" t="s">
        <v>368</v>
      </c>
      <c r="B197" s="2" t="s">
        <v>786</v>
      </c>
      <c r="C197" s="2" t="s">
        <v>787</v>
      </c>
      <c r="D197" s="2">
        <v>4.0</v>
      </c>
      <c r="E197" s="2">
        <v>0.0</v>
      </c>
      <c r="F197" s="2" t="s">
        <v>24</v>
      </c>
      <c r="G197" s="2">
        <v>0.469</v>
      </c>
      <c r="H197" s="2" t="s">
        <v>47</v>
      </c>
      <c r="I197" s="2" t="s">
        <v>318</v>
      </c>
      <c r="J197" s="2" t="s">
        <v>227</v>
      </c>
      <c r="K197" s="2" t="s">
        <v>294</v>
      </c>
      <c r="L197" s="2" t="s">
        <v>294</v>
      </c>
      <c r="M197" s="2" t="s">
        <v>788</v>
      </c>
      <c r="N197" s="2" t="s">
        <v>789</v>
      </c>
      <c r="O197" s="2">
        <v>1.0</v>
      </c>
      <c r="Q197" s="2">
        <v>8.0</v>
      </c>
      <c r="R197" s="2" t="s">
        <v>38</v>
      </c>
      <c r="S197" s="2">
        <v>5.0</v>
      </c>
      <c r="T197" s="2">
        <v>0.0</v>
      </c>
      <c r="U197" s="2">
        <v>2.0</v>
      </c>
    </row>
    <row r="198" ht="15.75" customHeight="1">
      <c r="A198" s="2" t="s">
        <v>368</v>
      </c>
      <c r="B198" s="2" t="s">
        <v>790</v>
      </c>
      <c r="C198" s="2" t="s">
        <v>190</v>
      </c>
      <c r="D198" s="2">
        <v>5.0</v>
      </c>
      <c r="E198" s="2">
        <v>0.0</v>
      </c>
      <c r="F198" s="2" t="s">
        <v>24</v>
      </c>
      <c r="G198" s="2">
        <v>0.551</v>
      </c>
      <c r="H198" s="2" t="s">
        <v>138</v>
      </c>
      <c r="I198" s="2" t="s">
        <v>384</v>
      </c>
      <c r="J198" s="2" t="s">
        <v>140</v>
      </c>
      <c r="K198" s="2" t="s">
        <v>294</v>
      </c>
      <c r="L198" s="2" t="s">
        <v>294</v>
      </c>
      <c r="M198" s="2" t="s">
        <v>791</v>
      </c>
      <c r="N198" s="2" t="s">
        <v>792</v>
      </c>
      <c r="O198" s="2">
        <v>1.0</v>
      </c>
      <c r="Q198" s="2">
        <v>5.0</v>
      </c>
      <c r="R198" s="2" t="s">
        <v>32</v>
      </c>
      <c r="S198" s="2">
        <v>1.0</v>
      </c>
      <c r="T198" s="2">
        <v>0.0</v>
      </c>
      <c r="U198" s="2">
        <v>2.0</v>
      </c>
    </row>
    <row r="199" ht="15.75" customHeight="1">
      <c r="A199" s="2" t="s">
        <v>368</v>
      </c>
      <c r="B199" s="2" t="s">
        <v>793</v>
      </c>
      <c r="C199" s="2" t="s">
        <v>794</v>
      </c>
      <c r="D199" s="2">
        <v>2.0</v>
      </c>
      <c r="E199" s="2">
        <v>-0.939</v>
      </c>
      <c r="F199" s="2" t="s">
        <v>40</v>
      </c>
      <c r="G199" s="2">
        <v>0.939</v>
      </c>
      <c r="H199" s="2" t="s">
        <v>25</v>
      </c>
      <c r="I199" s="2" t="s">
        <v>26</v>
      </c>
      <c r="J199" s="2" t="s">
        <v>27</v>
      </c>
      <c r="K199" s="2" t="s">
        <v>294</v>
      </c>
      <c r="L199" s="2" t="s">
        <v>294</v>
      </c>
      <c r="M199" s="2" t="s">
        <v>795</v>
      </c>
      <c r="N199" s="2" t="s">
        <v>796</v>
      </c>
      <c r="O199" s="2">
        <v>0.3806</v>
      </c>
      <c r="Q199" s="2">
        <v>5.0</v>
      </c>
      <c r="R199" s="2" t="s">
        <v>71</v>
      </c>
      <c r="S199" s="2">
        <v>0.0</v>
      </c>
      <c r="T199" s="2">
        <v>0.0</v>
      </c>
      <c r="U199" s="2">
        <v>2.0</v>
      </c>
    </row>
    <row r="200" ht="15.75" customHeight="1">
      <c r="A200" s="2" t="s">
        <v>368</v>
      </c>
      <c r="B200" s="2" t="s">
        <v>797</v>
      </c>
      <c r="C200" s="2" t="s">
        <v>798</v>
      </c>
      <c r="D200" s="2">
        <v>4.0</v>
      </c>
      <c r="E200" s="2">
        <v>-0.4871</v>
      </c>
      <c r="F200" s="2" t="s">
        <v>40</v>
      </c>
      <c r="G200" s="2">
        <v>0.4871</v>
      </c>
      <c r="H200" s="2" t="s">
        <v>25</v>
      </c>
      <c r="I200" s="2" t="s">
        <v>26</v>
      </c>
      <c r="J200" s="2" t="s">
        <v>27</v>
      </c>
      <c r="K200" s="2" t="s">
        <v>294</v>
      </c>
      <c r="L200" s="2" t="s">
        <v>294</v>
      </c>
      <c r="M200" s="2" t="s">
        <v>799</v>
      </c>
      <c r="N200" s="2" t="s">
        <v>800</v>
      </c>
      <c r="O200" s="2">
        <v>0.6476</v>
      </c>
      <c r="Q200" s="2">
        <v>8.0</v>
      </c>
      <c r="R200" s="2" t="s">
        <v>38</v>
      </c>
      <c r="S200" s="2">
        <v>3.0</v>
      </c>
      <c r="T200" s="2">
        <v>0.0</v>
      </c>
      <c r="U200" s="2">
        <v>2.0</v>
      </c>
    </row>
    <row r="201" ht="15.75" customHeight="1">
      <c r="A201" s="2" t="s">
        <v>368</v>
      </c>
      <c r="B201" s="2" t="s">
        <v>801</v>
      </c>
      <c r="C201" s="2" t="s">
        <v>802</v>
      </c>
      <c r="D201" s="2">
        <v>4.0</v>
      </c>
      <c r="E201" s="2">
        <v>0.0</v>
      </c>
      <c r="F201" s="2" t="s">
        <v>24</v>
      </c>
      <c r="G201" s="2">
        <v>0.4891</v>
      </c>
      <c r="H201" s="2" t="s">
        <v>47</v>
      </c>
      <c r="I201" s="2" t="s">
        <v>318</v>
      </c>
      <c r="J201" s="2" t="s">
        <v>227</v>
      </c>
      <c r="K201" s="2" t="s">
        <v>294</v>
      </c>
      <c r="L201" s="2" t="s">
        <v>294</v>
      </c>
      <c r="M201" s="2" t="s">
        <v>803</v>
      </c>
      <c r="N201" s="2" t="s">
        <v>804</v>
      </c>
      <c r="O201" s="2">
        <v>1.0</v>
      </c>
      <c r="Q201" s="2">
        <v>3.0</v>
      </c>
      <c r="R201" s="2" t="s">
        <v>32</v>
      </c>
      <c r="S201" s="2">
        <v>2.0</v>
      </c>
      <c r="T201" s="2">
        <v>0.0</v>
      </c>
      <c r="U201" s="2">
        <v>2.0</v>
      </c>
    </row>
    <row r="202" ht="15.75" customHeight="1">
      <c r="A202" s="2" t="s">
        <v>368</v>
      </c>
      <c r="B202" s="2" t="s">
        <v>805</v>
      </c>
      <c r="C202" s="2" t="s">
        <v>806</v>
      </c>
      <c r="D202" s="2">
        <v>5.0</v>
      </c>
      <c r="E202" s="2">
        <v>0.0</v>
      </c>
      <c r="F202" s="2" t="s">
        <v>24</v>
      </c>
      <c r="G202" s="2">
        <v>0.5672</v>
      </c>
      <c r="H202" s="2" t="s">
        <v>25</v>
      </c>
      <c r="I202" s="2" t="s">
        <v>26</v>
      </c>
      <c r="J202" s="2" t="s">
        <v>27</v>
      </c>
      <c r="K202" s="2" t="s">
        <v>294</v>
      </c>
      <c r="L202" s="2" t="s">
        <v>294</v>
      </c>
      <c r="M202" s="2" t="s">
        <v>807</v>
      </c>
      <c r="N202" s="2" t="s">
        <v>808</v>
      </c>
      <c r="O202" s="2">
        <v>0.4096</v>
      </c>
      <c r="Q202" s="2">
        <v>6.0</v>
      </c>
      <c r="R202" s="2" t="s">
        <v>38</v>
      </c>
      <c r="S202" s="2">
        <v>6.0</v>
      </c>
      <c r="T202" s="2">
        <v>0.0</v>
      </c>
      <c r="U202" s="2">
        <v>2.0</v>
      </c>
    </row>
    <row r="203" ht="15.75" customHeight="1">
      <c r="A203" s="2" t="s">
        <v>809</v>
      </c>
      <c r="B203" s="2" t="s">
        <v>810</v>
      </c>
      <c r="C203" s="2" t="s">
        <v>23</v>
      </c>
      <c r="D203" s="2">
        <v>2.0</v>
      </c>
      <c r="E203" s="2">
        <v>0.0</v>
      </c>
      <c r="F203" s="2" t="s">
        <v>24</v>
      </c>
      <c r="G203" s="2">
        <v>0.4032</v>
      </c>
      <c r="H203" s="2" t="s">
        <v>25</v>
      </c>
      <c r="I203" s="2" t="s">
        <v>26</v>
      </c>
      <c r="J203" s="2" t="s">
        <v>27</v>
      </c>
      <c r="K203" s="2" t="s">
        <v>811</v>
      </c>
      <c r="L203" s="2" t="s">
        <v>59</v>
      </c>
      <c r="M203" s="2" t="s">
        <v>812</v>
      </c>
      <c r="N203" s="2" t="s">
        <v>813</v>
      </c>
      <c r="O203" s="2">
        <v>0.499</v>
      </c>
      <c r="Q203" s="2">
        <v>8.0</v>
      </c>
      <c r="R203" s="2" t="s">
        <v>38</v>
      </c>
      <c r="S203" s="2">
        <v>3.0</v>
      </c>
      <c r="T203" s="2">
        <v>0.0</v>
      </c>
      <c r="U203" s="2">
        <v>3.0</v>
      </c>
    </row>
    <row r="204" ht="15.75" customHeight="1">
      <c r="A204" s="2" t="s">
        <v>809</v>
      </c>
      <c r="B204" s="2" t="s">
        <v>814</v>
      </c>
      <c r="C204" s="2" t="s">
        <v>23</v>
      </c>
      <c r="D204" s="2">
        <v>2.0</v>
      </c>
      <c r="E204" s="2">
        <v>-0.6305</v>
      </c>
      <c r="F204" s="2" t="s">
        <v>40</v>
      </c>
      <c r="G204" s="2">
        <v>0.6305</v>
      </c>
      <c r="H204" s="2" t="s">
        <v>25</v>
      </c>
      <c r="I204" s="2" t="s">
        <v>26</v>
      </c>
      <c r="J204" s="2" t="s">
        <v>27</v>
      </c>
      <c r="K204" s="2" t="s">
        <v>309</v>
      </c>
      <c r="L204" s="2" t="s">
        <v>59</v>
      </c>
      <c r="M204" s="2" t="s">
        <v>815</v>
      </c>
      <c r="N204" s="2" t="s">
        <v>816</v>
      </c>
      <c r="O204" s="2">
        <v>0.9194</v>
      </c>
      <c r="Q204" s="2">
        <v>8.5</v>
      </c>
      <c r="R204" s="2" t="s">
        <v>38</v>
      </c>
      <c r="S204" s="2">
        <v>3.5</v>
      </c>
      <c r="T204" s="2">
        <v>0.0</v>
      </c>
      <c r="U204" s="2">
        <v>3.0</v>
      </c>
    </row>
    <row r="205" ht="15.75" customHeight="1">
      <c r="A205" s="2" t="s">
        <v>809</v>
      </c>
      <c r="B205" s="2" t="s">
        <v>817</v>
      </c>
      <c r="C205" s="2" t="s">
        <v>23</v>
      </c>
      <c r="D205" s="2">
        <v>1.0</v>
      </c>
      <c r="E205" s="2">
        <v>0.0</v>
      </c>
      <c r="F205" s="2" t="s">
        <v>24</v>
      </c>
      <c r="G205" s="2">
        <v>0.5157</v>
      </c>
      <c r="H205" s="2" t="s">
        <v>76</v>
      </c>
      <c r="I205" s="2" t="s">
        <v>26</v>
      </c>
      <c r="J205" s="2" t="s">
        <v>77</v>
      </c>
      <c r="K205" s="2" t="s">
        <v>59</v>
      </c>
      <c r="L205" s="2" t="s">
        <v>59</v>
      </c>
      <c r="M205" s="2" t="s">
        <v>818</v>
      </c>
      <c r="N205" s="2" t="s">
        <v>819</v>
      </c>
      <c r="O205" s="2">
        <v>0.2278</v>
      </c>
      <c r="Q205" s="2">
        <v>5.0</v>
      </c>
      <c r="R205" s="2" t="s">
        <v>38</v>
      </c>
      <c r="S205" s="2">
        <v>2.5</v>
      </c>
      <c r="T205" s="2">
        <v>0.0</v>
      </c>
      <c r="U205" s="2">
        <v>3.0</v>
      </c>
    </row>
    <row r="206" ht="15.75" customHeight="1">
      <c r="A206" s="2" t="s">
        <v>809</v>
      </c>
      <c r="B206" s="2" t="s">
        <v>820</v>
      </c>
      <c r="C206" s="2" t="s">
        <v>23</v>
      </c>
      <c r="D206" s="2">
        <v>4.0</v>
      </c>
      <c r="E206" s="2">
        <v>0.0</v>
      </c>
      <c r="F206" s="2" t="s">
        <v>24</v>
      </c>
      <c r="G206" s="2">
        <v>0.5398</v>
      </c>
      <c r="H206" s="2" t="s">
        <v>25</v>
      </c>
      <c r="I206" s="2" t="s">
        <v>26</v>
      </c>
      <c r="J206" s="2" t="s">
        <v>27</v>
      </c>
      <c r="K206" s="2" t="s">
        <v>59</v>
      </c>
      <c r="L206" s="2" t="s">
        <v>59</v>
      </c>
      <c r="M206" s="2" t="s">
        <v>821</v>
      </c>
      <c r="N206" s="2" t="s">
        <v>822</v>
      </c>
      <c r="O206" s="2">
        <v>0.8451</v>
      </c>
      <c r="Q206" s="2">
        <v>8.0</v>
      </c>
      <c r="R206" s="2" t="s">
        <v>38</v>
      </c>
      <c r="S206" s="2">
        <v>3.0</v>
      </c>
      <c r="T206" s="2">
        <v>0.0</v>
      </c>
      <c r="U206" s="2">
        <v>3.0</v>
      </c>
    </row>
    <row r="207" ht="15.75" customHeight="1">
      <c r="A207" s="2" t="s">
        <v>809</v>
      </c>
      <c r="B207" s="2" t="s">
        <v>823</v>
      </c>
      <c r="C207" s="2" t="s">
        <v>23</v>
      </c>
      <c r="D207" s="2">
        <v>1.0</v>
      </c>
      <c r="E207" s="2">
        <v>0.0</v>
      </c>
      <c r="F207" s="2" t="s">
        <v>24</v>
      </c>
      <c r="G207" s="2">
        <v>0.51</v>
      </c>
      <c r="H207" s="2" t="s">
        <v>76</v>
      </c>
      <c r="I207" s="2" t="s">
        <v>26</v>
      </c>
      <c r="J207" s="2" t="s">
        <v>77</v>
      </c>
      <c r="K207" s="2" t="s">
        <v>59</v>
      </c>
      <c r="L207" s="2" t="s">
        <v>59</v>
      </c>
      <c r="M207" s="2" t="s">
        <v>824</v>
      </c>
      <c r="N207" s="2" t="s">
        <v>825</v>
      </c>
      <c r="O207" s="2">
        <v>0.2286</v>
      </c>
      <c r="Q207" s="2">
        <v>5.0</v>
      </c>
      <c r="R207" s="2" t="s">
        <v>71</v>
      </c>
      <c r="S207" s="2">
        <v>0.0</v>
      </c>
      <c r="T207" s="2">
        <v>0.0</v>
      </c>
      <c r="U207" s="2">
        <v>3.0</v>
      </c>
    </row>
    <row r="208" ht="15.75" customHeight="1">
      <c r="A208" s="2" t="s">
        <v>809</v>
      </c>
      <c r="B208" s="2" t="s">
        <v>826</v>
      </c>
      <c r="C208" s="2" t="s">
        <v>23</v>
      </c>
      <c r="D208" s="2">
        <v>1.0</v>
      </c>
      <c r="E208" s="2">
        <v>-0.5323</v>
      </c>
      <c r="F208" s="2" t="s">
        <v>40</v>
      </c>
      <c r="G208" s="2">
        <v>0.5323</v>
      </c>
      <c r="H208" s="2" t="s">
        <v>76</v>
      </c>
      <c r="I208" s="2" t="s">
        <v>26</v>
      </c>
      <c r="J208" s="2" t="s">
        <v>77</v>
      </c>
      <c r="K208" s="2" t="s">
        <v>59</v>
      </c>
      <c r="L208" s="2" t="s">
        <v>59</v>
      </c>
      <c r="M208" s="2" t="s">
        <v>827</v>
      </c>
      <c r="N208" s="2" t="s">
        <v>828</v>
      </c>
      <c r="O208" s="2">
        <v>0.5015</v>
      </c>
      <c r="Q208" s="2">
        <v>5.0</v>
      </c>
      <c r="R208" s="2" t="s">
        <v>71</v>
      </c>
      <c r="S208" s="2">
        <v>0.0</v>
      </c>
      <c r="T208" s="2">
        <v>0.0</v>
      </c>
      <c r="U208" s="2">
        <v>3.0</v>
      </c>
    </row>
    <row r="209" ht="15.75" customHeight="1">
      <c r="A209" s="2" t="s">
        <v>809</v>
      </c>
      <c r="B209" s="2" t="s">
        <v>829</v>
      </c>
      <c r="C209" s="2" t="s">
        <v>171</v>
      </c>
      <c r="D209" s="2">
        <v>4.0</v>
      </c>
      <c r="E209" s="2">
        <v>-0.7568</v>
      </c>
      <c r="F209" s="2" t="s">
        <v>40</v>
      </c>
      <c r="G209" s="2">
        <v>0.7568</v>
      </c>
      <c r="H209" s="2" t="s">
        <v>25</v>
      </c>
      <c r="I209" s="2" t="s">
        <v>26</v>
      </c>
      <c r="J209" s="2" t="s">
        <v>27</v>
      </c>
      <c r="K209" s="2" t="s">
        <v>811</v>
      </c>
      <c r="L209" s="2" t="s">
        <v>59</v>
      </c>
      <c r="M209" s="2" t="s">
        <v>830</v>
      </c>
      <c r="N209" s="2" t="s">
        <v>831</v>
      </c>
      <c r="O209" s="2">
        <v>0.7718</v>
      </c>
      <c r="Q209" s="2">
        <v>8.0</v>
      </c>
      <c r="R209" s="2" t="s">
        <v>38</v>
      </c>
      <c r="S209" s="2">
        <v>3.0</v>
      </c>
      <c r="T209" s="2">
        <v>0.0</v>
      </c>
      <c r="U209" s="2">
        <v>3.0</v>
      </c>
    </row>
    <row r="210" ht="15.75" customHeight="1">
      <c r="A210" s="2" t="s">
        <v>809</v>
      </c>
      <c r="B210" s="2" t="s">
        <v>832</v>
      </c>
      <c r="C210" s="2" t="s">
        <v>171</v>
      </c>
      <c r="D210" s="2">
        <v>4.0</v>
      </c>
      <c r="E210" s="2">
        <v>-0.5804</v>
      </c>
      <c r="F210" s="2" t="s">
        <v>40</v>
      </c>
      <c r="G210" s="2">
        <v>0.5804</v>
      </c>
      <c r="H210" s="2" t="s">
        <v>25</v>
      </c>
      <c r="I210" s="2" t="s">
        <v>26</v>
      </c>
      <c r="J210" s="2" t="s">
        <v>27</v>
      </c>
      <c r="K210" s="2" t="s">
        <v>59</v>
      </c>
      <c r="L210" s="2" t="s">
        <v>59</v>
      </c>
      <c r="M210" s="2" t="s">
        <v>833</v>
      </c>
      <c r="N210" s="2" t="s">
        <v>834</v>
      </c>
      <c r="O210" s="2">
        <v>0.6388</v>
      </c>
      <c r="Q210" s="2">
        <v>5.0</v>
      </c>
      <c r="R210" s="2" t="s">
        <v>32</v>
      </c>
      <c r="S210" s="2">
        <v>1.0</v>
      </c>
      <c r="T210" s="2">
        <v>0.0</v>
      </c>
      <c r="U210" s="2">
        <v>3.0</v>
      </c>
    </row>
    <row r="211" ht="15.75" customHeight="1">
      <c r="A211" s="2" t="s">
        <v>809</v>
      </c>
      <c r="B211" s="2" t="s">
        <v>835</v>
      </c>
      <c r="C211" s="2" t="s">
        <v>171</v>
      </c>
      <c r="D211" s="2">
        <v>2.0</v>
      </c>
      <c r="E211" s="2">
        <v>-0.7051</v>
      </c>
      <c r="F211" s="2" t="s">
        <v>40</v>
      </c>
      <c r="G211" s="2">
        <v>0.7051</v>
      </c>
      <c r="H211" s="2" t="s">
        <v>41</v>
      </c>
      <c r="I211" s="2" t="s">
        <v>836</v>
      </c>
      <c r="J211" s="2" t="s">
        <v>67</v>
      </c>
      <c r="K211" s="2" t="s">
        <v>837</v>
      </c>
      <c r="L211" s="2" t="s">
        <v>59</v>
      </c>
      <c r="M211" s="2" t="s">
        <v>838</v>
      </c>
      <c r="N211" s="2" t="s">
        <v>839</v>
      </c>
      <c r="O211" s="2">
        <v>1.0</v>
      </c>
      <c r="Q211" s="2">
        <v>8.0</v>
      </c>
      <c r="R211" s="2" t="s">
        <v>38</v>
      </c>
      <c r="S211" s="2">
        <v>3.0</v>
      </c>
      <c r="T211" s="2">
        <v>0.0</v>
      </c>
      <c r="U211" s="2">
        <v>3.0</v>
      </c>
    </row>
    <row r="212" ht="15.75" customHeight="1">
      <c r="A212" s="2" t="s">
        <v>809</v>
      </c>
      <c r="B212" s="2" t="s">
        <v>840</v>
      </c>
      <c r="C212" s="2" t="s">
        <v>171</v>
      </c>
      <c r="D212" s="2">
        <v>2.0</v>
      </c>
      <c r="E212" s="2">
        <v>0.0</v>
      </c>
      <c r="F212" s="2" t="s">
        <v>24</v>
      </c>
      <c r="G212" s="2">
        <v>0.5035</v>
      </c>
      <c r="H212" s="2" t="s">
        <v>25</v>
      </c>
      <c r="I212" s="2" t="s">
        <v>26</v>
      </c>
      <c r="J212" s="2" t="s">
        <v>27</v>
      </c>
      <c r="K212" s="2" t="s">
        <v>309</v>
      </c>
      <c r="L212" s="2" t="s">
        <v>59</v>
      </c>
      <c r="M212" s="2" t="s">
        <v>841</v>
      </c>
      <c r="N212" s="2" t="s">
        <v>842</v>
      </c>
      <c r="O212" s="2">
        <v>0.8944</v>
      </c>
      <c r="Q212" s="2">
        <v>8.5</v>
      </c>
      <c r="R212" s="2" t="s">
        <v>38</v>
      </c>
      <c r="S212" s="2">
        <v>3.5</v>
      </c>
      <c r="T212" s="2">
        <v>0.0</v>
      </c>
      <c r="U212" s="2">
        <v>3.0</v>
      </c>
    </row>
    <row r="213" ht="15.75" customHeight="1">
      <c r="A213" s="2" t="s">
        <v>809</v>
      </c>
      <c r="B213" s="2" t="s">
        <v>843</v>
      </c>
      <c r="C213" s="2" t="s">
        <v>171</v>
      </c>
      <c r="D213" s="2">
        <v>4.0</v>
      </c>
      <c r="E213" s="2">
        <v>0.0</v>
      </c>
      <c r="F213" s="2" t="s">
        <v>24</v>
      </c>
      <c r="G213" s="2">
        <v>0.5011</v>
      </c>
      <c r="H213" s="2" t="s">
        <v>25</v>
      </c>
      <c r="I213" s="2" t="s">
        <v>26</v>
      </c>
      <c r="J213" s="2" t="s">
        <v>27</v>
      </c>
      <c r="K213" s="2" t="s">
        <v>59</v>
      </c>
      <c r="L213" s="2" t="s">
        <v>59</v>
      </c>
      <c r="M213" s="2" t="s">
        <v>844</v>
      </c>
      <c r="N213" s="2" t="s">
        <v>845</v>
      </c>
      <c r="O213" s="2">
        <v>0.8745</v>
      </c>
      <c r="Q213" s="2">
        <v>5.0</v>
      </c>
      <c r="R213" s="2" t="s">
        <v>71</v>
      </c>
      <c r="S213" s="2">
        <v>0.0</v>
      </c>
      <c r="T213" s="2">
        <v>0.0</v>
      </c>
      <c r="U213" s="2">
        <v>3.0</v>
      </c>
    </row>
    <row r="214" ht="15.75" customHeight="1">
      <c r="A214" s="2" t="s">
        <v>809</v>
      </c>
      <c r="B214" s="2" t="s">
        <v>846</v>
      </c>
      <c r="C214" s="2" t="s">
        <v>171</v>
      </c>
      <c r="D214" s="2">
        <v>2.0</v>
      </c>
      <c r="E214" s="2">
        <v>-0.5339</v>
      </c>
      <c r="F214" s="2" t="s">
        <v>40</v>
      </c>
      <c r="G214" s="2">
        <v>0.5339</v>
      </c>
      <c r="H214" s="2" t="s">
        <v>25</v>
      </c>
      <c r="I214" s="2" t="s">
        <v>26</v>
      </c>
      <c r="J214" s="2" t="s">
        <v>27</v>
      </c>
      <c r="K214" s="2" t="s">
        <v>811</v>
      </c>
      <c r="L214" s="2" t="s">
        <v>59</v>
      </c>
      <c r="M214" s="2" t="s">
        <v>847</v>
      </c>
      <c r="N214" s="2" t="s">
        <v>848</v>
      </c>
      <c r="O214" s="2">
        <v>0.454</v>
      </c>
      <c r="Q214" s="2">
        <v>8.0</v>
      </c>
      <c r="R214" s="2" t="s">
        <v>38</v>
      </c>
      <c r="S214" s="2">
        <v>3.0</v>
      </c>
      <c r="T214" s="2">
        <v>0.0</v>
      </c>
      <c r="U214" s="2">
        <v>3.0</v>
      </c>
    </row>
    <row r="215" ht="15.75" customHeight="1">
      <c r="A215" s="2" t="s">
        <v>809</v>
      </c>
      <c r="B215" s="2" t="s">
        <v>849</v>
      </c>
      <c r="C215" s="2" t="s">
        <v>171</v>
      </c>
      <c r="D215" s="2">
        <v>2.0</v>
      </c>
      <c r="E215" s="2">
        <v>0.0</v>
      </c>
      <c r="F215" s="2" t="s">
        <v>24</v>
      </c>
      <c r="G215" s="2">
        <v>0.5681</v>
      </c>
      <c r="H215" s="2" t="s">
        <v>25</v>
      </c>
      <c r="I215" s="2" t="s">
        <v>26</v>
      </c>
      <c r="J215" s="2" t="s">
        <v>27</v>
      </c>
      <c r="K215" s="2" t="s">
        <v>309</v>
      </c>
      <c r="L215" s="2" t="s">
        <v>59</v>
      </c>
      <c r="M215" s="2" t="s">
        <v>850</v>
      </c>
      <c r="N215" s="2" t="s">
        <v>851</v>
      </c>
      <c r="O215" s="2">
        <v>0.4105</v>
      </c>
      <c r="Q215" s="2">
        <v>8.5</v>
      </c>
      <c r="R215" s="2" t="s">
        <v>38</v>
      </c>
      <c r="S215" s="2">
        <v>3.5</v>
      </c>
      <c r="T215" s="2">
        <v>0.0</v>
      </c>
      <c r="U215" s="2">
        <v>3.0</v>
      </c>
    </row>
    <row r="216" ht="15.75" customHeight="1">
      <c r="A216" s="2" t="s">
        <v>809</v>
      </c>
      <c r="B216" s="2" t="s">
        <v>852</v>
      </c>
      <c r="C216" s="2" t="s">
        <v>171</v>
      </c>
      <c r="D216" s="2">
        <v>1.0</v>
      </c>
      <c r="E216" s="2">
        <v>0.0</v>
      </c>
      <c r="F216" s="2" t="s">
        <v>24</v>
      </c>
      <c r="G216" s="2">
        <v>0.8075</v>
      </c>
      <c r="H216" s="2" t="s">
        <v>155</v>
      </c>
      <c r="I216" s="2" t="s">
        <v>26</v>
      </c>
      <c r="J216" s="2" t="s">
        <v>27</v>
      </c>
      <c r="K216" s="2" t="s">
        <v>59</v>
      </c>
      <c r="L216" s="2" t="s">
        <v>59</v>
      </c>
      <c r="M216" s="2" t="s">
        <v>853</v>
      </c>
      <c r="N216" s="2" t="s">
        <v>854</v>
      </c>
      <c r="O216" s="2">
        <v>0.3158</v>
      </c>
      <c r="Q216" s="2">
        <v>5.0</v>
      </c>
      <c r="R216" s="2" t="s">
        <v>38</v>
      </c>
      <c r="S216" s="2">
        <v>3.0</v>
      </c>
      <c r="T216" s="2">
        <v>0.0</v>
      </c>
      <c r="U216" s="2">
        <v>3.0</v>
      </c>
    </row>
    <row r="217" ht="15.75" customHeight="1">
      <c r="A217" s="2" t="s">
        <v>809</v>
      </c>
      <c r="B217" s="2" t="s">
        <v>855</v>
      </c>
      <c r="C217" s="2" t="s">
        <v>171</v>
      </c>
      <c r="D217" s="2">
        <v>2.0</v>
      </c>
      <c r="E217" s="2">
        <v>0.0</v>
      </c>
      <c r="F217" s="2" t="s">
        <v>24</v>
      </c>
      <c r="G217" s="2">
        <v>0.5165</v>
      </c>
      <c r="H217" s="2" t="s">
        <v>25</v>
      </c>
      <c r="I217" s="2" t="s">
        <v>26</v>
      </c>
      <c r="J217" s="2" t="s">
        <v>27</v>
      </c>
      <c r="K217" s="2" t="s">
        <v>59</v>
      </c>
      <c r="L217" s="2" t="s">
        <v>59</v>
      </c>
      <c r="M217" s="2" t="s">
        <v>856</v>
      </c>
      <c r="N217" s="2" t="s">
        <v>857</v>
      </c>
      <c r="O217" s="2">
        <v>0.3398</v>
      </c>
      <c r="Q217" s="2">
        <v>5.0</v>
      </c>
      <c r="R217" s="2" t="s">
        <v>38</v>
      </c>
      <c r="S217" s="2">
        <v>2.0</v>
      </c>
      <c r="T217" s="2">
        <v>0.0</v>
      </c>
      <c r="U217" s="2">
        <v>3.0</v>
      </c>
    </row>
    <row r="218" ht="15.75" customHeight="1">
      <c r="A218" s="2" t="s">
        <v>809</v>
      </c>
      <c r="B218" s="2" t="s">
        <v>858</v>
      </c>
      <c r="C218" s="2" t="s">
        <v>171</v>
      </c>
      <c r="D218" s="2">
        <v>2.0</v>
      </c>
      <c r="E218" s="2">
        <v>0.0</v>
      </c>
      <c r="F218" s="2" t="s">
        <v>24</v>
      </c>
      <c r="G218" s="2">
        <v>0.6851</v>
      </c>
      <c r="H218" s="2" t="s">
        <v>25</v>
      </c>
      <c r="I218" s="2" t="s">
        <v>26</v>
      </c>
      <c r="J218" s="2" t="s">
        <v>27</v>
      </c>
      <c r="K218" s="2" t="s">
        <v>59</v>
      </c>
      <c r="L218" s="2" t="s">
        <v>59</v>
      </c>
      <c r="M218" s="2" t="s">
        <v>859</v>
      </c>
      <c r="N218" s="2" t="s">
        <v>860</v>
      </c>
      <c r="O218" s="2">
        <v>0.168</v>
      </c>
      <c r="Q218" s="2">
        <v>5.0</v>
      </c>
      <c r="R218" s="2" t="s">
        <v>38</v>
      </c>
      <c r="S218" s="2">
        <v>3.0</v>
      </c>
      <c r="T218" s="2">
        <v>0.0</v>
      </c>
      <c r="U218" s="2">
        <v>3.0</v>
      </c>
    </row>
    <row r="219" ht="15.75" customHeight="1">
      <c r="A219" s="2" t="s">
        <v>809</v>
      </c>
      <c r="B219" s="2" t="s">
        <v>861</v>
      </c>
      <c r="C219" s="2" t="s">
        <v>171</v>
      </c>
      <c r="D219" s="2">
        <v>1.0</v>
      </c>
      <c r="E219" s="2">
        <v>0.0</v>
      </c>
      <c r="F219" s="2" t="s">
        <v>24</v>
      </c>
      <c r="G219" s="2">
        <v>0.6154</v>
      </c>
      <c r="H219" s="2" t="s">
        <v>76</v>
      </c>
      <c r="I219" s="2" t="s">
        <v>26</v>
      </c>
      <c r="J219" s="2" t="s">
        <v>77</v>
      </c>
      <c r="K219" s="2" t="s">
        <v>81</v>
      </c>
      <c r="L219" s="2" t="s">
        <v>81</v>
      </c>
      <c r="M219" s="2" t="s">
        <v>862</v>
      </c>
      <c r="N219" s="2" t="s">
        <v>863</v>
      </c>
      <c r="O219" s="2">
        <v>0.2592</v>
      </c>
      <c r="Q219" s="2">
        <v>8.5</v>
      </c>
      <c r="R219" s="2" t="s">
        <v>32</v>
      </c>
      <c r="S219" s="2">
        <v>1.5</v>
      </c>
      <c r="T219" s="2">
        <v>0.0</v>
      </c>
      <c r="U219" s="2">
        <v>3.0</v>
      </c>
    </row>
    <row r="220" ht="15.75" customHeight="1">
      <c r="A220" s="2" t="s">
        <v>809</v>
      </c>
      <c r="B220" s="2" t="s">
        <v>864</v>
      </c>
      <c r="C220" s="2" t="s">
        <v>171</v>
      </c>
      <c r="D220" s="2">
        <v>1.0</v>
      </c>
      <c r="E220" s="2">
        <v>-0.936</v>
      </c>
      <c r="F220" s="2" t="s">
        <v>40</v>
      </c>
      <c r="G220" s="2">
        <v>0.936</v>
      </c>
      <c r="H220" s="2" t="s">
        <v>76</v>
      </c>
      <c r="I220" s="2" t="s">
        <v>26</v>
      </c>
      <c r="J220" s="2" t="s">
        <v>77</v>
      </c>
      <c r="K220" s="2" t="s">
        <v>309</v>
      </c>
      <c r="L220" s="2" t="s">
        <v>59</v>
      </c>
      <c r="M220" s="2" t="s">
        <v>865</v>
      </c>
      <c r="N220" s="2" t="s">
        <v>866</v>
      </c>
      <c r="O220" s="2">
        <v>0.4376</v>
      </c>
      <c r="Q220" s="2">
        <v>2.0</v>
      </c>
      <c r="R220" s="2" t="s">
        <v>71</v>
      </c>
      <c r="S220" s="2">
        <v>2.0</v>
      </c>
      <c r="T220" s="2">
        <v>0.0</v>
      </c>
      <c r="U220" s="2">
        <v>3.0</v>
      </c>
    </row>
    <row r="221" ht="15.75" customHeight="1">
      <c r="A221" s="2" t="s">
        <v>809</v>
      </c>
      <c r="B221" s="2" t="s">
        <v>867</v>
      </c>
      <c r="C221" s="2" t="s">
        <v>171</v>
      </c>
      <c r="D221" s="2">
        <v>2.0</v>
      </c>
      <c r="E221" s="2">
        <v>0.0</v>
      </c>
      <c r="F221" s="2" t="s">
        <v>24</v>
      </c>
      <c r="G221" s="2">
        <v>0.5857</v>
      </c>
      <c r="H221" s="2" t="s">
        <v>25</v>
      </c>
      <c r="I221" s="2" t="s">
        <v>26</v>
      </c>
      <c r="J221" s="2" t="s">
        <v>27</v>
      </c>
      <c r="K221" s="2" t="s">
        <v>59</v>
      </c>
      <c r="L221" s="2" t="s">
        <v>59</v>
      </c>
      <c r="M221" s="2" t="s">
        <v>868</v>
      </c>
      <c r="N221" s="2" t="s">
        <v>869</v>
      </c>
      <c r="O221" s="2">
        <v>0.2819</v>
      </c>
      <c r="Q221" s="2">
        <v>5.0</v>
      </c>
      <c r="R221" s="2" t="s">
        <v>71</v>
      </c>
      <c r="S221" s="2">
        <v>0.0</v>
      </c>
      <c r="T221" s="2">
        <v>0.0</v>
      </c>
      <c r="U221" s="2">
        <v>3.0</v>
      </c>
    </row>
    <row r="222" ht="15.75" customHeight="1">
      <c r="A222" s="2" t="s">
        <v>809</v>
      </c>
      <c r="B222" s="2" t="s">
        <v>870</v>
      </c>
      <c r="C222" s="2" t="s">
        <v>231</v>
      </c>
      <c r="D222" s="2">
        <v>1.0</v>
      </c>
      <c r="E222" s="2">
        <v>-0.5761</v>
      </c>
      <c r="F222" s="2" t="s">
        <v>40</v>
      </c>
      <c r="G222" s="2">
        <v>0.5761</v>
      </c>
      <c r="H222" s="2" t="s">
        <v>155</v>
      </c>
      <c r="I222" s="2" t="s">
        <v>26</v>
      </c>
      <c r="J222" s="2" t="s">
        <v>27</v>
      </c>
      <c r="K222" s="2" t="s">
        <v>59</v>
      </c>
      <c r="L222" s="2" t="s">
        <v>59</v>
      </c>
      <c r="M222" s="2" t="s">
        <v>871</v>
      </c>
      <c r="N222" s="2" t="s">
        <v>872</v>
      </c>
      <c r="O222" s="2">
        <v>0.5837</v>
      </c>
      <c r="Q222" s="2">
        <v>8.0</v>
      </c>
      <c r="R222" s="2" t="s">
        <v>38</v>
      </c>
      <c r="S222" s="2">
        <v>5.0</v>
      </c>
      <c r="T222" s="2">
        <v>0.0</v>
      </c>
      <c r="U222" s="2">
        <v>3.0</v>
      </c>
    </row>
    <row r="223" ht="15.75" customHeight="1">
      <c r="A223" s="2" t="s">
        <v>809</v>
      </c>
      <c r="B223" s="2" t="s">
        <v>873</v>
      </c>
      <c r="C223" s="2" t="s">
        <v>231</v>
      </c>
      <c r="D223" s="2">
        <v>2.0</v>
      </c>
      <c r="E223" s="2">
        <v>-0.4621</v>
      </c>
      <c r="F223" s="2" t="s">
        <v>40</v>
      </c>
      <c r="G223" s="2">
        <v>0.4621</v>
      </c>
      <c r="H223" s="2" t="s">
        <v>25</v>
      </c>
      <c r="I223" s="2" t="s">
        <v>26</v>
      </c>
      <c r="J223" s="2" t="s">
        <v>27</v>
      </c>
      <c r="K223" s="2" t="s">
        <v>59</v>
      </c>
      <c r="L223" s="2" t="s">
        <v>59</v>
      </c>
      <c r="M223" s="2" t="s">
        <v>874</v>
      </c>
      <c r="N223" s="2" t="s">
        <v>875</v>
      </c>
      <c r="O223" s="2">
        <v>0.7183</v>
      </c>
      <c r="Q223" s="2">
        <v>5.0</v>
      </c>
      <c r="R223" s="2" t="s">
        <v>38</v>
      </c>
      <c r="S223" s="2">
        <v>3.0</v>
      </c>
      <c r="T223" s="2">
        <v>0.0</v>
      </c>
      <c r="U223" s="2">
        <v>3.0</v>
      </c>
    </row>
    <row r="224" ht="15.75" customHeight="1">
      <c r="A224" s="2" t="s">
        <v>809</v>
      </c>
      <c r="B224" s="2" t="s">
        <v>876</v>
      </c>
      <c r="C224" s="2" t="s">
        <v>231</v>
      </c>
      <c r="D224" s="2">
        <v>1.0</v>
      </c>
      <c r="E224" s="2">
        <v>0.5409</v>
      </c>
      <c r="F224" s="2" t="s">
        <v>279</v>
      </c>
      <c r="G224" s="2">
        <v>0.5409</v>
      </c>
      <c r="H224" s="2" t="s">
        <v>76</v>
      </c>
      <c r="I224" s="2" t="s">
        <v>26</v>
      </c>
      <c r="J224" s="2" t="s">
        <v>77</v>
      </c>
      <c r="K224" s="2" t="s">
        <v>59</v>
      </c>
      <c r="L224" s="2" t="s">
        <v>59</v>
      </c>
      <c r="M224" s="2" t="s">
        <v>877</v>
      </c>
      <c r="N224" s="2" t="s">
        <v>878</v>
      </c>
      <c r="O224" s="2">
        <v>0.2859</v>
      </c>
      <c r="Q224" s="2">
        <v>5.0</v>
      </c>
      <c r="R224" s="2" t="s">
        <v>32</v>
      </c>
      <c r="S224" s="2">
        <v>1.0</v>
      </c>
      <c r="T224" s="2">
        <v>0.0</v>
      </c>
      <c r="U224" s="2">
        <v>3.0</v>
      </c>
    </row>
    <row r="225" ht="15.75" customHeight="1">
      <c r="A225" s="2" t="s">
        <v>809</v>
      </c>
      <c r="B225" s="2" t="s">
        <v>879</v>
      </c>
      <c r="C225" s="2" t="s">
        <v>231</v>
      </c>
      <c r="D225" s="2">
        <v>1.0</v>
      </c>
      <c r="E225" s="2">
        <v>0.673</v>
      </c>
      <c r="F225" s="2" t="s">
        <v>279</v>
      </c>
      <c r="G225" s="2">
        <v>0.673</v>
      </c>
      <c r="H225" s="2" t="s">
        <v>76</v>
      </c>
      <c r="I225" s="2" t="s">
        <v>26</v>
      </c>
      <c r="J225" s="2" t="s">
        <v>77</v>
      </c>
      <c r="K225" s="2" t="s">
        <v>59</v>
      </c>
      <c r="L225" s="2" t="s">
        <v>59</v>
      </c>
      <c r="M225" s="2" t="s">
        <v>880</v>
      </c>
      <c r="N225" s="2" t="s">
        <v>881</v>
      </c>
      <c r="O225" s="2">
        <v>0.4781</v>
      </c>
      <c r="Q225" s="2">
        <v>5.0</v>
      </c>
      <c r="R225" s="2" t="s">
        <v>71</v>
      </c>
      <c r="S225" s="2">
        <v>0.0</v>
      </c>
      <c r="T225" s="2">
        <v>0.0</v>
      </c>
      <c r="U225" s="2">
        <v>3.0</v>
      </c>
    </row>
    <row r="226" ht="15.75" customHeight="1">
      <c r="A226" s="2" t="s">
        <v>809</v>
      </c>
      <c r="B226" s="2" t="s">
        <v>882</v>
      </c>
      <c r="C226" s="2" t="s">
        <v>231</v>
      </c>
      <c r="D226" s="2">
        <v>1.0</v>
      </c>
      <c r="E226" s="2">
        <v>-0.9137</v>
      </c>
      <c r="F226" s="2" t="s">
        <v>40</v>
      </c>
      <c r="G226" s="2">
        <v>0.9137</v>
      </c>
      <c r="H226" s="2" t="s">
        <v>155</v>
      </c>
      <c r="I226" s="2" t="s">
        <v>26</v>
      </c>
      <c r="J226" s="2" t="s">
        <v>27</v>
      </c>
      <c r="K226" s="2" t="s">
        <v>59</v>
      </c>
      <c r="L226" s="2" t="s">
        <v>59</v>
      </c>
      <c r="M226" s="2" t="s">
        <v>883</v>
      </c>
      <c r="N226" s="2" t="s">
        <v>884</v>
      </c>
      <c r="O226" s="2">
        <v>0.4124</v>
      </c>
      <c r="Q226" s="2">
        <v>8.0</v>
      </c>
      <c r="R226" s="2" t="s">
        <v>38</v>
      </c>
      <c r="S226" s="2">
        <v>3.0</v>
      </c>
      <c r="T226" s="2">
        <v>0.0</v>
      </c>
      <c r="U226" s="2">
        <v>3.0</v>
      </c>
    </row>
    <row r="227" ht="15.75" customHeight="1">
      <c r="A227" s="2" t="s">
        <v>809</v>
      </c>
      <c r="B227" s="2" t="s">
        <v>885</v>
      </c>
      <c r="C227" s="2" t="s">
        <v>886</v>
      </c>
      <c r="D227" s="2">
        <v>2.0</v>
      </c>
      <c r="E227" s="2">
        <v>0.0</v>
      </c>
      <c r="F227" s="2" t="s">
        <v>24</v>
      </c>
      <c r="G227" s="2">
        <v>0.4989</v>
      </c>
      <c r="H227" s="2" t="s">
        <v>25</v>
      </c>
      <c r="I227" s="2" t="s">
        <v>26</v>
      </c>
      <c r="J227" s="2" t="s">
        <v>27</v>
      </c>
      <c r="K227" s="2" t="s">
        <v>55</v>
      </c>
      <c r="L227" s="2" t="s">
        <v>55</v>
      </c>
      <c r="M227" s="2" t="s">
        <v>887</v>
      </c>
      <c r="N227" s="2" t="s">
        <v>888</v>
      </c>
      <c r="O227" s="2">
        <v>0.4942</v>
      </c>
      <c r="Q227" s="2">
        <v>8.5</v>
      </c>
      <c r="R227" s="2" t="s">
        <v>71</v>
      </c>
      <c r="S227" s="2">
        <v>0.5</v>
      </c>
      <c r="T227" s="2">
        <v>0.0</v>
      </c>
      <c r="U227" s="2">
        <v>3.0</v>
      </c>
    </row>
    <row r="228" ht="15.75" customHeight="1">
      <c r="A228" s="2" t="s">
        <v>809</v>
      </c>
      <c r="B228" s="2" t="s">
        <v>889</v>
      </c>
      <c r="C228" s="2" t="s">
        <v>886</v>
      </c>
      <c r="D228" s="2">
        <v>4.0</v>
      </c>
      <c r="E228" s="2">
        <v>0.0</v>
      </c>
      <c r="F228" s="2" t="s">
        <v>24</v>
      </c>
      <c r="G228" s="2">
        <v>0.6665</v>
      </c>
      <c r="H228" s="2" t="s">
        <v>25</v>
      </c>
      <c r="I228" s="2" t="s">
        <v>26</v>
      </c>
      <c r="J228" s="2" t="s">
        <v>27</v>
      </c>
      <c r="K228" s="2" t="s">
        <v>59</v>
      </c>
      <c r="L228" s="2" t="s">
        <v>59</v>
      </c>
      <c r="M228" s="2" t="s">
        <v>890</v>
      </c>
      <c r="N228" s="2" t="s">
        <v>891</v>
      </c>
      <c r="O228" s="2">
        <v>0.5944</v>
      </c>
      <c r="Q228" s="2">
        <v>5.0</v>
      </c>
      <c r="R228" s="2" t="s">
        <v>71</v>
      </c>
      <c r="S228" s="2">
        <v>0.0</v>
      </c>
      <c r="T228" s="2">
        <v>0.0</v>
      </c>
      <c r="U228" s="2">
        <v>3.0</v>
      </c>
    </row>
    <row r="229" ht="15.75" customHeight="1">
      <c r="A229" s="2" t="s">
        <v>809</v>
      </c>
      <c r="B229" s="2" t="s">
        <v>892</v>
      </c>
      <c r="C229" s="2" t="s">
        <v>886</v>
      </c>
      <c r="D229" s="2">
        <v>4.0</v>
      </c>
      <c r="E229" s="2">
        <v>0.0</v>
      </c>
      <c r="F229" s="2" t="s">
        <v>24</v>
      </c>
      <c r="G229" s="2">
        <v>0.5008</v>
      </c>
      <c r="H229" s="2" t="s">
        <v>25</v>
      </c>
      <c r="I229" s="2" t="s">
        <v>26</v>
      </c>
      <c r="J229" s="2" t="s">
        <v>27</v>
      </c>
      <c r="K229" s="2" t="s">
        <v>893</v>
      </c>
      <c r="L229" s="2" t="s">
        <v>59</v>
      </c>
      <c r="M229" s="2" t="s">
        <v>894</v>
      </c>
      <c r="N229" s="2" t="s">
        <v>895</v>
      </c>
      <c r="O229" s="2">
        <v>0.717</v>
      </c>
      <c r="Q229" s="2">
        <v>8.5</v>
      </c>
      <c r="R229" s="2" t="s">
        <v>38</v>
      </c>
      <c r="S229" s="2">
        <v>3.5</v>
      </c>
      <c r="T229" s="2">
        <v>0.0</v>
      </c>
      <c r="U229" s="2">
        <v>3.0</v>
      </c>
    </row>
    <row r="230" ht="15.75" customHeight="1">
      <c r="A230" s="2" t="s">
        <v>809</v>
      </c>
      <c r="B230" s="2" t="s">
        <v>896</v>
      </c>
      <c r="C230" s="2" t="s">
        <v>886</v>
      </c>
      <c r="D230" s="2">
        <v>1.0</v>
      </c>
      <c r="E230" s="2">
        <v>-0.6604</v>
      </c>
      <c r="F230" s="2" t="s">
        <v>40</v>
      </c>
      <c r="G230" s="2">
        <v>0.6604</v>
      </c>
      <c r="H230" s="2" t="s">
        <v>76</v>
      </c>
      <c r="I230" s="2" t="s">
        <v>26</v>
      </c>
      <c r="J230" s="2" t="s">
        <v>77</v>
      </c>
      <c r="K230" s="2" t="s">
        <v>897</v>
      </c>
      <c r="L230" s="2" t="s">
        <v>59</v>
      </c>
      <c r="M230" s="2" t="s">
        <v>898</v>
      </c>
      <c r="N230" s="2" t="s">
        <v>899</v>
      </c>
      <c r="O230" s="2">
        <v>0.3416</v>
      </c>
      <c r="Q230" s="2">
        <v>8.5</v>
      </c>
      <c r="R230" s="2" t="s">
        <v>38</v>
      </c>
      <c r="S230" s="2">
        <v>3.5</v>
      </c>
      <c r="T230" s="2">
        <v>0.0</v>
      </c>
      <c r="U230" s="2">
        <v>3.0</v>
      </c>
    </row>
    <row r="231" ht="15.75" customHeight="1">
      <c r="A231" s="2" t="s">
        <v>809</v>
      </c>
      <c r="B231" s="2" t="s">
        <v>900</v>
      </c>
      <c r="C231" s="2" t="s">
        <v>886</v>
      </c>
      <c r="D231" s="2">
        <v>4.0</v>
      </c>
      <c r="E231" s="2">
        <v>-0.6867</v>
      </c>
      <c r="F231" s="2" t="s">
        <v>40</v>
      </c>
      <c r="G231" s="2">
        <v>0.6867</v>
      </c>
      <c r="H231" s="2" t="s">
        <v>41</v>
      </c>
      <c r="I231" s="2" t="s">
        <v>167</v>
      </c>
      <c r="J231" s="2" t="s">
        <v>67</v>
      </c>
      <c r="K231" s="2" t="s">
        <v>43</v>
      </c>
      <c r="L231" s="2" t="s">
        <v>43</v>
      </c>
      <c r="M231" s="2" t="s">
        <v>901</v>
      </c>
      <c r="N231" s="2" t="s">
        <v>902</v>
      </c>
      <c r="O231" s="2">
        <v>1.0</v>
      </c>
      <c r="Q231" s="2">
        <v>5.0</v>
      </c>
      <c r="R231" s="2" t="s">
        <v>38</v>
      </c>
      <c r="S231" s="2">
        <v>3.0</v>
      </c>
      <c r="T231" s="2">
        <v>0.0</v>
      </c>
      <c r="U231" s="2">
        <v>3.0</v>
      </c>
    </row>
    <row r="232" ht="15.75" customHeight="1">
      <c r="A232" s="2" t="s">
        <v>809</v>
      </c>
      <c r="B232" s="2" t="s">
        <v>903</v>
      </c>
      <c r="C232" s="2" t="s">
        <v>886</v>
      </c>
      <c r="D232" s="2">
        <v>2.0</v>
      </c>
      <c r="E232" s="2">
        <v>-0.8771</v>
      </c>
      <c r="F232" s="2" t="s">
        <v>40</v>
      </c>
      <c r="G232" s="2">
        <v>0.8771</v>
      </c>
      <c r="H232" s="2" t="s">
        <v>41</v>
      </c>
      <c r="I232" s="2" t="s">
        <v>26</v>
      </c>
      <c r="J232" s="2" t="s">
        <v>67</v>
      </c>
      <c r="K232" s="2" t="s">
        <v>59</v>
      </c>
      <c r="L232" s="2" t="s">
        <v>59</v>
      </c>
      <c r="M232" s="2" t="s">
        <v>904</v>
      </c>
      <c r="N232" s="2" t="s">
        <v>905</v>
      </c>
      <c r="O232" s="2">
        <v>0.7179</v>
      </c>
      <c r="Q232" s="2">
        <v>5.0</v>
      </c>
      <c r="R232" s="2" t="s">
        <v>71</v>
      </c>
      <c r="S232" s="2">
        <v>0.0</v>
      </c>
      <c r="T232" s="2">
        <v>0.0</v>
      </c>
      <c r="U232" s="2">
        <v>3.0</v>
      </c>
    </row>
    <row r="233" ht="15.75" customHeight="1">
      <c r="A233" s="2" t="s">
        <v>809</v>
      </c>
      <c r="B233" s="2" t="s">
        <v>906</v>
      </c>
      <c r="C233" s="2" t="s">
        <v>886</v>
      </c>
      <c r="D233" s="2">
        <v>1.0</v>
      </c>
      <c r="E233" s="2">
        <v>0.0</v>
      </c>
      <c r="F233" s="2" t="s">
        <v>24</v>
      </c>
      <c r="G233" s="2">
        <v>0.7477</v>
      </c>
      <c r="H233" s="2" t="s">
        <v>155</v>
      </c>
      <c r="I233" s="2" t="s">
        <v>26</v>
      </c>
      <c r="J233" s="2" t="s">
        <v>27</v>
      </c>
      <c r="K233" s="2" t="s">
        <v>379</v>
      </c>
      <c r="L233" s="2" t="s">
        <v>294</v>
      </c>
      <c r="M233" s="2" t="s">
        <v>907</v>
      </c>
      <c r="N233" s="2" t="s">
        <v>908</v>
      </c>
      <c r="O233" s="2">
        <v>0.601</v>
      </c>
      <c r="Q233" s="2">
        <v>2.0</v>
      </c>
      <c r="R233" s="2" t="s">
        <v>71</v>
      </c>
      <c r="S233" s="2">
        <v>0.0</v>
      </c>
      <c r="T233" s="2">
        <v>0.0</v>
      </c>
      <c r="U233" s="2">
        <v>3.0</v>
      </c>
    </row>
    <row r="234" ht="15.75" customHeight="1">
      <c r="A234" s="2" t="s">
        <v>809</v>
      </c>
      <c r="B234" s="2" t="s">
        <v>909</v>
      </c>
      <c r="C234" s="2" t="s">
        <v>910</v>
      </c>
      <c r="D234" s="2">
        <v>1.0</v>
      </c>
      <c r="E234" s="2">
        <v>0.0</v>
      </c>
      <c r="F234" s="2" t="s">
        <v>24</v>
      </c>
      <c r="G234" s="2">
        <v>0.5712</v>
      </c>
      <c r="H234" s="2" t="s">
        <v>76</v>
      </c>
      <c r="I234" s="2" t="s">
        <v>26</v>
      </c>
      <c r="J234" s="2" t="s">
        <v>77</v>
      </c>
      <c r="K234" s="2" t="s">
        <v>59</v>
      </c>
      <c r="L234" s="2" t="s">
        <v>59</v>
      </c>
      <c r="M234" s="2" t="s">
        <v>911</v>
      </c>
      <c r="N234" s="2" t="s">
        <v>912</v>
      </c>
      <c r="O234" s="2">
        <v>0.3997</v>
      </c>
      <c r="Q234" s="2">
        <v>5.0</v>
      </c>
      <c r="R234" s="2" t="s">
        <v>32</v>
      </c>
      <c r="S234" s="2">
        <v>1.0</v>
      </c>
      <c r="T234" s="2">
        <v>0.0</v>
      </c>
      <c r="U234" s="2">
        <v>3.0</v>
      </c>
    </row>
    <row r="235" ht="15.75" customHeight="1">
      <c r="A235" s="2" t="s">
        <v>809</v>
      </c>
      <c r="B235" s="2" t="s">
        <v>913</v>
      </c>
      <c r="C235" s="2" t="s">
        <v>910</v>
      </c>
      <c r="D235" s="2">
        <v>5.0</v>
      </c>
      <c r="E235" s="2">
        <v>0.0</v>
      </c>
      <c r="F235" s="2" t="s">
        <v>24</v>
      </c>
      <c r="G235" s="2">
        <v>0.5724</v>
      </c>
      <c r="H235" s="2" t="s">
        <v>47</v>
      </c>
      <c r="I235" s="2" t="s">
        <v>186</v>
      </c>
      <c r="J235" s="2" t="s">
        <v>227</v>
      </c>
      <c r="K235" s="2" t="s">
        <v>59</v>
      </c>
      <c r="L235" s="2" t="s">
        <v>59</v>
      </c>
      <c r="M235" s="2" t="s">
        <v>914</v>
      </c>
      <c r="N235" s="2" t="s">
        <v>915</v>
      </c>
      <c r="O235" s="2">
        <v>1.0</v>
      </c>
      <c r="Q235" s="2">
        <v>8.0</v>
      </c>
      <c r="R235" s="2" t="s">
        <v>38</v>
      </c>
      <c r="S235" s="2">
        <v>5.0</v>
      </c>
      <c r="T235" s="2">
        <v>0.0</v>
      </c>
      <c r="U235" s="2">
        <v>3.0</v>
      </c>
    </row>
    <row r="236" ht="15.75" customHeight="1">
      <c r="A236" s="2" t="s">
        <v>809</v>
      </c>
      <c r="B236" s="2" t="s">
        <v>916</v>
      </c>
      <c r="C236" s="2" t="s">
        <v>910</v>
      </c>
      <c r="D236" s="2">
        <v>2.0</v>
      </c>
      <c r="E236" s="2">
        <v>-0.7444</v>
      </c>
      <c r="F236" s="2" t="s">
        <v>40</v>
      </c>
      <c r="G236" s="2">
        <v>0.7444</v>
      </c>
      <c r="H236" s="2" t="s">
        <v>41</v>
      </c>
      <c r="I236" s="2" t="s">
        <v>167</v>
      </c>
      <c r="J236" s="2" t="s">
        <v>67</v>
      </c>
      <c r="K236" s="2" t="s">
        <v>59</v>
      </c>
      <c r="L236" s="2" t="s">
        <v>59</v>
      </c>
      <c r="M236" s="2" t="s">
        <v>917</v>
      </c>
      <c r="N236" s="2" t="s">
        <v>918</v>
      </c>
      <c r="O236" s="2">
        <v>1.0</v>
      </c>
      <c r="Q236" s="2">
        <v>5.0</v>
      </c>
      <c r="R236" s="2" t="s">
        <v>32</v>
      </c>
      <c r="S236" s="2">
        <v>1.0</v>
      </c>
      <c r="T236" s="2">
        <v>0.0</v>
      </c>
      <c r="U236" s="2">
        <v>3.0</v>
      </c>
    </row>
    <row r="237" ht="15.75" customHeight="1">
      <c r="A237" s="2" t="s">
        <v>809</v>
      </c>
      <c r="B237" s="2" t="s">
        <v>919</v>
      </c>
      <c r="C237" s="2" t="s">
        <v>910</v>
      </c>
      <c r="D237" s="2">
        <v>2.0</v>
      </c>
      <c r="E237" s="2">
        <v>-0.7405</v>
      </c>
      <c r="F237" s="2" t="s">
        <v>40</v>
      </c>
      <c r="G237" s="2">
        <v>0.7405</v>
      </c>
      <c r="H237" s="2" t="s">
        <v>41</v>
      </c>
      <c r="I237" s="2" t="s">
        <v>26</v>
      </c>
      <c r="J237" s="2" t="s">
        <v>67</v>
      </c>
      <c r="K237" s="2" t="s">
        <v>59</v>
      </c>
      <c r="L237" s="2" t="s">
        <v>59</v>
      </c>
      <c r="M237" s="2" t="s">
        <v>920</v>
      </c>
      <c r="N237" s="2" t="s">
        <v>921</v>
      </c>
      <c r="O237" s="2">
        <v>0.4653</v>
      </c>
      <c r="Q237" s="2">
        <v>5.0</v>
      </c>
      <c r="R237" s="2" t="s">
        <v>71</v>
      </c>
      <c r="S237" s="2">
        <v>0.0</v>
      </c>
      <c r="T237" s="2">
        <v>0.0</v>
      </c>
      <c r="U237" s="2">
        <v>3.0</v>
      </c>
    </row>
    <row r="238" ht="15.75" customHeight="1">
      <c r="A238" s="2" t="s">
        <v>809</v>
      </c>
      <c r="B238" s="2" t="s">
        <v>922</v>
      </c>
      <c r="C238" s="2" t="s">
        <v>910</v>
      </c>
      <c r="D238" s="2">
        <v>1.0</v>
      </c>
      <c r="E238" s="2">
        <v>-0.566</v>
      </c>
      <c r="F238" s="2" t="s">
        <v>40</v>
      </c>
      <c r="G238" s="2">
        <v>0.566</v>
      </c>
      <c r="H238" s="2" t="s">
        <v>76</v>
      </c>
      <c r="I238" s="2" t="s">
        <v>26</v>
      </c>
      <c r="J238" s="2" t="s">
        <v>77</v>
      </c>
      <c r="K238" s="2" t="s">
        <v>893</v>
      </c>
      <c r="L238" s="2" t="s">
        <v>59</v>
      </c>
      <c r="M238" s="2" t="s">
        <v>923</v>
      </c>
      <c r="N238" s="2" t="s">
        <v>924</v>
      </c>
      <c r="O238" s="2">
        <v>0.3115</v>
      </c>
      <c r="Q238" s="2">
        <v>8.5</v>
      </c>
      <c r="R238" s="2" t="s">
        <v>38</v>
      </c>
      <c r="S238" s="2">
        <v>3.5</v>
      </c>
      <c r="T238" s="2">
        <v>0.0</v>
      </c>
      <c r="U238" s="2">
        <v>3.0</v>
      </c>
    </row>
    <row r="239" ht="15.75" customHeight="1">
      <c r="A239" s="2" t="s">
        <v>809</v>
      </c>
      <c r="B239" s="2" t="s">
        <v>925</v>
      </c>
      <c r="C239" s="2" t="s">
        <v>926</v>
      </c>
      <c r="D239" s="2">
        <v>1.0</v>
      </c>
      <c r="E239" s="2">
        <v>0.0</v>
      </c>
      <c r="F239" s="2" t="s">
        <v>24</v>
      </c>
      <c r="G239" s="2">
        <v>0.4943</v>
      </c>
      <c r="H239" s="2" t="s">
        <v>76</v>
      </c>
      <c r="I239" s="2" t="s">
        <v>26</v>
      </c>
      <c r="J239" s="2" t="s">
        <v>77</v>
      </c>
      <c r="K239" s="2" t="s">
        <v>59</v>
      </c>
      <c r="L239" s="2" t="s">
        <v>59</v>
      </c>
      <c r="M239" s="2" t="s">
        <v>927</v>
      </c>
      <c r="N239" s="2" t="s">
        <v>928</v>
      </c>
      <c r="O239" s="2">
        <v>0.3096</v>
      </c>
      <c r="Q239" s="2">
        <v>8.0</v>
      </c>
      <c r="R239" s="2" t="s">
        <v>38</v>
      </c>
      <c r="S239" s="2">
        <v>5.0</v>
      </c>
      <c r="T239" s="2">
        <v>0.0</v>
      </c>
      <c r="U239" s="2">
        <v>3.0</v>
      </c>
    </row>
    <row r="240" ht="15.75" customHeight="1">
      <c r="A240" s="2" t="s">
        <v>809</v>
      </c>
      <c r="B240" s="2" t="s">
        <v>929</v>
      </c>
      <c r="C240" s="2" t="s">
        <v>926</v>
      </c>
      <c r="D240" s="2">
        <v>1.0</v>
      </c>
      <c r="E240" s="2">
        <v>0.6705</v>
      </c>
      <c r="F240" s="2" t="s">
        <v>279</v>
      </c>
      <c r="G240" s="2">
        <v>0.6705</v>
      </c>
      <c r="H240" s="2" t="s">
        <v>76</v>
      </c>
      <c r="I240" s="2" t="s">
        <v>26</v>
      </c>
      <c r="J240" s="2" t="s">
        <v>77</v>
      </c>
      <c r="K240" s="2" t="s">
        <v>59</v>
      </c>
      <c r="L240" s="2" t="s">
        <v>59</v>
      </c>
      <c r="M240" s="2" t="s">
        <v>930</v>
      </c>
      <c r="N240" s="2" t="s">
        <v>931</v>
      </c>
      <c r="O240" s="2">
        <v>0.2637</v>
      </c>
      <c r="Q240" s="2">
        <v>5.0</v>
      </c>
      <c r="R240" s="2" t="s">
        <v>38</v>
      </c>
      <c r="S240" s="2">
        <v>2.0</v>
      </c>
      <c r="T240" s="2">
        <v>0.0</v>
      </c>
      <c r="U240" s="2">
        <v>3.0</v>
      </c>
    </row>
    <row r="241" ht="15.75" customHeight="1">
      <c r="A241" s="2" t="s">
        <v>809</v>
      </c>
      <c r="B241" s="2" t="s">
        <v>932</v>
      </c>
      <c r="C241" s="2" t="s">
        <v>926</v>
      </c>
      <c r="D241" s="2">
        <v>1.0</v>
      </c>
      <c r="E241" s="2">
        <v>0.6014</v>
      </c>
      <c r="F241" s="2" t="s">
        <v>279</v>
      </c>
      <c r="G241" s="2">
        <v>0.6014</v>
      </c>
      <c r="H241" s="2" t="s">
        <v>76</v>
      </c>
      <c r="I241" s="2" t="s">
        <v>26</v>
      </c>
      <c r="J241" s="2" t="s">
        <v>77</v>
      </c>
      <c r="K241" s="2" t="s">
        <v>811</v>
      </c>
      <c r="L241" s="2" t="s">
        <v>59</v>
      </c>
      <c r="M241" s="2" t="s">
        <v>933</v>
      </c>
      <c r="N241" s="2" t="s">
        <v>934</v>
      </c>
      <c r="O241" s="2">
        <v>0.2589</v>
      </c>
      <c r="Q241" s="2">
        <v>8.0</v>
      </c>
      <c r="R241" s="2" t="s">
        <v>38</v>
      </c>
      <c r="S241" s="2">
        <v>3.0</v>
      </c>
      <c r="T241" s="2">
        <v>0.0</v>
      </c>
      <c r="U241" s="2">
        <v>3.0</v>
      </c>
    </row>
    <row r="242" ht="15.75" customHeight="1">
      <c r="A242" s="2" t="s">
        <v>809</v>
      </c>
      <c r="B242" s="2" t="s">
        <v>935</v>
      </c>
      <c r="C242" s="2" t="s">
        <v>926</v>
      </c>
      <c r="D242" s="2">
        <v>2.0</v>
      </c>
      <c r="E242" s="2">
        <v>0.0</v>
      </c>
      <c r="F242" s="2" t="s">
        <v>24</v>
      </c>
      <c r="G242" s="2">
        <v>0.6378</v>
      </c>
      <c r="H242" s="2" t="s">
        <v>25</v>
      </c>
      <c r="I242" s="2" t="s">
        <v>26</v>
      </c>
      <c r="J242" s="2" t="s">
        <v>27</v>
      </c>
      <c r="K242" s="2" t="s">
        <v>59</v>
      </c>
      <c r="L242" s="2" t="s">
        <v>59</v>
      </c>
      <c r="M242" s="2" t="s">
        <v>936</v>
      </c>
      <c r="N242" s="2" t="s">
        <v>937</v>
      </c>
      <c r="O242" s="2">
        <v>0.2745</v>
      </c>
      <c r="Q242" s="2">
        <v>8.0</v>
      </c>
      <c r="R242" s="2" t="s">
        <v>38</v>
      </c>
      <c r="S242" s="2">
        <v>3.0</v>
      </c>
      <c r="T242" s="2">
        <v>0.0</v>
      </c>
      <c r="U242" s="2">
        <v>3.0</v>
      </c>
    </row>
    <row r="243" ht="15.75" customHeight="1">
      <c r="A243" s="2" t="s">
        <v>809</v>
      </c>
      <c r="B243" s="2" t="s">
        <v>938</v>
      </c>
      <c r="C243" s="2" t="s">
        <v>926</v>
      </c>
      <c r="D243" s="2">
        <v>2.0</v>
      </c>
      <c r="E243" s="2">
        <v>0.0</v>
      </c>
      <c r="F243" s="2" t="s">
        <v>24</v>
      </c>
      <c r="G243" s="2">
        <v>0.6405</v>
      </c>
      <c r="H243" s="2" t="s">
        <v>25</v>
      </c>
      <c r="I243" s="2" t="s">
        <v>26</v>
      </c>
      <c r="J243" s="2" t="s">
        <v>27</v>
      </c>
      <c r="K243" s="2" t="s">
        <v>59</v>
      </c>
      <c r="L243" s="2" t="s">
        <v>59</v>
      </c>
      <c r="M243" s="2" t="s">
        <v>939</v>
      </c>
      <c r="N243" s="2" t="s">
        <v>940</v>
      </c>
      <c r="O243" s="2">
        <v>0.3441</v>
      </c>
      <c r="Q243" s="2">
        <v>5.0</v>
      </c>
      <c r="R243" s="2" t="s">
        <v>38</v>
      </c>
      <c r="S243" s="2">
        <v>3.0</v>
      </c>
      <c r="T243" s="2">
        <v>0.0</v>
      </c>
      <c r="U243" s="2">
        <v>3.0</v>
      </c>
    </row>
    <row r="244" ht="15.75" customHeight="1">
      <c r="A244" s="2" t="s">
        <v>809</v>
      </c>
      <c r="B244" s="2" t="s">
        <v>941</v>
      </c>
      <c r="C244" s="2" t="s">
        <v>926</v>
      </c>
      <c r="D244" s="2">
        <v>2.0</v>
      </c>
      <c r="E244" s="2">
        <v>0.0</v>
      </c>
      <c r="F244" s="2" t="s">
        <v>24</v>
      </c>
      <c r="G244" s="2">
        <v>0.7497</v>
      </c>
      <c r="H244" s="2" t="s">
        <v>25</v>
      </c>
      <c r="I244" s="2" t="s">
        <v>26</v>
      </c>
      <c r="J244" s="2" t="s">
        <v>27</v>
      </c>
      <c r="K244" s="2" t="s">
        <v>59</v>
      </c>
      <c r="L244" s="2" t="s">
        <v>59</v>
      </c>
      <c r="M244" s="2" t="s">
        <v>942</v>
      </c>
      <c r="N244" s="2" t="s">
        <v>943</v>
      </c>
      <c r="O244" s="2">
        <v>0.2915</v>
      </c>
      <c r="Q244" s="2">
        <v>8.0</v>
      </c>
      <c r="R244" s="2" t="s">
        <v>38</v>
      </c>
      <c r="S244" s="2">
        <v>6.0</v>
      </c>
      <c r="T244" s="2">
        <v>0.0</v>
      </c>
      <c r="U244" s="2">
        <v>3.0</v>
      </c>
    </row>
    <row r="245" ht="15.75" customHeight="1">
      <c r="A245" s="2" t="s">
        <v>809</v>
      </c>
      <c r="B245" s="2" t="s">
        <v>944</v>
      </c>
      <c r="C245" s="2" t="s">
        <v>926</v>
      </c>
      <c r="D245" s="2">
        <v>1.0</v>
      </c>
      <c r="E245" s="2">
        <v>0.0</v>
      </c>
      <c r="F245" s="2" t="s">
        <v>24</v>
      </c>
      <c r="G245" s="2">
        <v>0.4846</v>
      </c>
      <c r="H245" s="2" t="s">
        <v>76</v>
      </c>
      <c r="I245" s="2" t="s">
        <v>26</v>
      </c>
      <c r="J245" s="2" t="s">
        <v>77</v>
      </c>
      <c r="K245" s="2" t="s">
        <v>59</v>
      </c>
      <c r="L245" s="2" t="s">
        <v>59</v>
      </c>
      <c r="M245" s="2" t="s">
        <v>945</v>
      </c>
      <c r="N245" s="2" t="s">
        <v>946</v>
      </c>
      <c r="O245" s="2">
        <v>0.2784</v>
      </c>
      <c r="Q245" s="2">
        <v>8.0</v>
      </c>
      <c r="R245" s="2" t="s">
        <v>38</v>
      </c>
      <c r="S245" s="2">
        <v>4.0</v>
      </c>
      <c r="T245" s="2">
        <v>0.0</v>
      </c>
      <c r="U245" s="2">
        <v>3.0</v>
      </c>
    </row>
    <row r="246" ht="15.75" customHeight="1">
      <c r="A246" s="2" t="s">
        <v>809</v>
      </c>
      <c r="B246" s="2" t="s">
        <v>947</v>
      </c>
      <c r="C246" s="2" t="s">
        <v>926</v>
      </c>
      <c r="D246" s="2">
        <v>1.0</v>
      </c>
      <c r="E246" s="2">
        <v>0.0</v>
      </c>
      <c r="F246" s="2" t="s">
        <v>24</v>
      </c>
      <c r="G246" s="2">
        <v>0.5184</v>
      </c>
      <c r="H246" s="2" t="s">
        <v>155</v>
      </c>
      <c r="I246" s="2" t="s">
        <v>26</v>
      </c>
      <c r="J246" s="2" t="s">
        <v>27</v>
      </c>
      <c r="K246" s="2" t="s">
        <v>59</v>
      </c>
      <c r="L246" s="2" t="s">
        <v>59</v>
      </c>
      <c r="M246" s="2" t="s">
        <v>948</v>
      </c>
      <c r="N246" s="2" t="s">
        <v>949</v>
      </c>
      <c r="O246" s="2">
        <v>0.4354</v>
      </c>
      <c r="Q246" s="2">
        <v>5.0</v>
      </c>
      <c r="R246" s="2" t="s">
        <v>38</v>
      </c>
      <c r="S246" s="2">
        <v>2.0</v>
      </c>
      <c r="T246" s="2">
        <v>0.0</v>
      </c>
      <c r="U246" s="2">
        <v>3.0</v>
      </c>
    </row>
    <row r="247" ht="15.75" customHeight="1">
      <c r="A247" s="2" t="s">
        <v>809</v>
      </c>
      <c r="B247" s="2" t="s">
        <v>950</v>
      </c>
      <c r="C247" s="2" t="s">
        <v>926</v>
      </c>
      <c r="D247" s="2">
        <v>4.0</v>
      </c>
      <c r="E247" s="2">
        <v>-0.5084</v>
      </c>
      <c r="F247" s="2" t="s">
        <v>40</v>
      </c>
      <c r="G247" s="2">
        <v>0.5084</v>
      </c>
      <c r="H247" s="2" t="s">
        <v>25</v>
      </c>
      <c r="I247" s="2" t="s">
        <v>26</v>
      </c>
      <c r="J247" s="2" t="s">
        <v>27</v>
      </c>
      <c r="K247" s="2" t="s">
        <v>951</v>
      </c>
      <c r="L247" s="2" t="s">
        <v>59</v>
      </c>
      <c r="M247" s="2" t="s">
        <v>952</v>
      </c>
      <c r="N247" s="2" t="s">
        <v>953</v>
      </c>
      <c r="O247" s="2">
        <v>0.6266</v>
      </c>
      <c r="Q247" s="2">
        <v>8.0</v>
      </c>
      <c r="R247" s="2" t="s">
        <v>38</v>
      </c>
      <c r="S247" s="2">
        <v>3.0</v>
      </c>
      <c r="T247" s="2">
        <v>0.0</v>
      </c>
      <c r="U247" s="2">
        <v>3.0</v>
      </c>
    </row>
    <row r="248" ht="15.75" customHeight="1">
      <c r="A248" s="2" t="s">
        <v>809</v>
      </c>
      <c r="B248" s="2" t="s">
        <v>954</v>
      </c>
      <c r="C248" s="2" t="s">
        <v>926</v>
      </c>
      <c r="D248" s="2">
        <v>2.0</v>
      </c>
      <c r="E248" s="2">
        <v>0.0</v>
      </c>
      <c r="F248" s="2" t="s">
        <v>24</v>
      </c>
      <c r="G248" s="2">
        <v>0.5095</v>
      </c>
      <c r="H248" s="2" t="s">
        <v>25</v>
      </c>
      <c r="I248" s="2" t="s">
        <v>26</v>
      </c>
      <c r="J248" s="2" t="s">
        <v>27</v>
      </c>
      <c r="K248" s="2" t="s">
        <v>59</v>
      </c>
      <c r="L248" s="2" t="s">
        <v>59</v>
      </c>
      <c r="M248" s="2" t="s">
        <v>955</v>
      </c>
      <c r="N248" s="2" t="s">
        <v>956</v>
      </c>
      <c r="O248" s="2">
        <v>0.1934</v>
      </c>
      <c r="Q248" s="2">
        <v>5.0</v>
      </c>
      <c r="R248" s="2" t="s">
        <v>38</v>
      </c>
      <c r="S248" s="2">
        <v>2.0</v>
      </c>
      <c r="T248" s="2">
        <v>0.0</v>
      </c>
      <c r="U248" s="2">
        <v>3.0</v>
      </c>
    </row>
    <row r="249" ht="15.75" customHeight="1">
      <c r="A249" s="2" t="s">
        <v>809</v>
      </c>
      <c r="B249" s="2" t="s">
        <v>957</v>
      </c>
      <c r="C249" s="2" t="s">
        <v>926</v>
      </c>
      <c r="D249" s="2">
        <v>1.0</v>
      </c>
      <c r="E249" s="2">
        <v>0.0</v>
      </c>
      <c r="F249" s="2" t="s">
        <v>24</v>
      </c>
      <c r="G249" s="2">
        <v>0.643</v>
      </c>
      <c r="H249" s="2" t="s">
        <v>155</v>
      </c>
      <c r="I249" s="2" t="s">
        <v>26</v>
      </c>
      <c r="J249" s="2" t="s">
        <v>27</v>
      </c>
      <c r="K249" s="2" t="s">
        <v>59</v>
      </c>
      <c r="L249" s="2" t="s">
        <v>59</v>
      </c>
      <c r="M249" s="2" t="s">
        <v>958</v>
      </c>
      <c r="N249" s="2" t="s">
        <v>959</v>
      </c>
      <c r="O249" s="2">
        <v>0.4317</v>
      </c>
      <c r="Q249" s="2">
        <v>8.0</v>
      </c>
      <c r="R249" s="2" t="s">
        <v>38</v>
      </c>
      <c r="S249" s="2">
        <v>3.0</v>
      </c>
      <c r="T249" s="2">
        <v>0.0</v>
      </c>
      <c r="U249" s="2">
        <v>3.0</v>
      </c>
    </row>
    <row r="250" ht="15.75" customHeight="1">
      <c r="A250" s="2" t="s">
        <v>809</v>
      </c>
      <c r="B250" s="2" t="s">
        <v>960</v>
      </c>
      <c r="C250" s="2" t="s">
        <v>961</v>
      </c>
      <c r="D250" s="2">
        <v>5.0</v>
      </c>
      <c r="E250" s="2">
        <v>0.0</v>
      </c>
      <c r="F250" s="2" t="s">
        <v>24</v>
      </c>
      <c r="G250" s="2">
        <v>0.3837</v>
      </c>
      <c r="H250" s="2" t="s">
        <v>41</v>
      </c>
      <c r="I250" s="2" t="s">
        <v>167</v>
      </c>
      <c r="J250" s="2" t="s">
        <v>67</v>
      </c>
      <c r="K250" s="2" t="s">
        <v>962</v>
      </c>
      <c r="L250" s="2" t="s">
        <v>59</v>
      </c>
      <c r="M250" s="2" t="s">
        <v>963</v>
      </c>
      <c r="N250" s="2" t="s">
        <v>964</v>
      </c>
      <c r="O250" s="2">
        <v>1.0</v>
      </c>
      <c r="Q250" s="2">
        <v>8.0</v>
      </c>
      <c r="R250" s="2" t="s">
        <v>38</v>
      </c>
      <c r="S250" s="2">
        <v>3.0</v>
      </c>
      <c r="T250" s="2">
        <v>0.0</v>
      </c>
      <c r="U250" s="2">
        <v>3.0</v>
      </c>
    </row>
    <row r="251" ht="15.75" customHeight="1">
      <c r="A251" s="2" t="s">
        <v>809</v>
      </c>
      <c r="B251" s="2" t="s">
        <v>965</v>
      </c>
      <c r="C251" s="2" t="s">
        <v>961</v>
      </c>
      <c r="D251" s="2">
        <v>2.0</v>
      </c>
      <c r="E251" s="2">
        <v>0.0</v>
      </c>
      <c r="F251" s="2" t="s">
        <v>24</v>
      </c>
      <c r="G251" s="2">
        <v>0.4912</v>
      </c>
      <c r="H251" s="2" t="s">
        <v>25</v>
      </c>
      <c r="I251" s="2" t="s">
        <v>26</v>
      </c>
      <c r="J251" s="2" t="s">
        <v>27</v>
      </c>
      <c r="K251" s="2" t="s">
        <v>59</v>
      </c>
      <c r="L251" s="2" t="s">
        <v>59</v>
      </c>
      <c r="M251" s="2" t="s">
        <v>966</v>
      </c>
      <c r="N251" s="2" t="s">
        <v>967</v>
      </c>
      <c r="O251" s="2">
        <v>0.8057</v>
      </c>
      <c r="Q251" s="2">
        <v>5.0</v>
      </c>
      <c r="R251" s="2" t="s">
        <v>38</v>
      </c>
      <c r="S251" s="2">
        <v>3.0</v>
      </c>
      <c r="T251" s="2">
        <v>0.0</v>
      </c>
      <c r="U251" s="2">
        <v>3.0</v>
      </c>
    </row>
    <row r="252" ht="15.75" customHeight="1">
      <c r="A252" s="2" t="s">
        <v>809</v>
      </c>
      <c r="B252" s="2" t="s">
        <v>968</v>
      </c>
      <c r="C252" s="2" t="s">
        <v>961</v>
      </c>
      <c r="D252" s="2">
        <v>4.0</v>
      </c>
      <c r="E252" s="2">
        <v>-0.7268</v>
      </c>
      <c r="F252" s="2" t="s">
        <v>40</v>
      </c>
      <c r="G252" s="2">
        <v>0.7268</v>
      </c>
      <c r="H252" s="2" t="s">
        <v>25</v>
      </c>
      <c r="I252" s="2" t="s">
        <v>26</v>
      </c>
      <c r="J252" s="2" t="s">
        <v>27</v>
      </c>
      <c r="K252" s="2" t="s">
        <v>811</v>
      </c>
      <c r="L252" s="2" t="s">
        <v>59</v>
      </c>
      <c r="M252" s="2" t="s">
        <v>969</v>
      </c>
      <c r="N252" s="2" t="s">
        <v>970</v>
      </c>
      <c r="O252" s="2">
        <v>0.7594</v>
      </c>
      <c r="Q252" s="2">
        <v>8.0</v>
      </c>
      <c r="R252" s="2" t="s">
        <v>38</v>
      </c>
      <c r="S252" s="2">
        <v>3.0</v>
      </c>
      <c r="T252" s="2">
        <v>0.0</v>
      </c>
      <c r="U252" s="2">
        <v>3.0</v>
      </c>
    </row>
    <row r="253" ht="15.75" customHeight="1">
      <c r="A253" s="2" t="s">
        <v>809</v>
      </c>
      <c r="B253" s="2" t="s">
        <v>971</v>
      </c>
      <c r="C253" s="2" t="s">
        <v>961</v>
      </c>
      <c r="D253" s="2">
        <v>1.0</v>
      </c>
      <c r="E253" s="2">
        <v>-0.7007</v>
      </c>
      <c r="F253" s="2" t="s">
        <v>40</v>
      </c>
      <c r="G253" s="2">
        <v>0.7007</v>
      </c>
      <c r="H253" s="2" t="s">
        <v>76</v>
      </c>
      <c r="I253" s="2" t="s">
        <v>26</v>
      </c>
      <c r="J253" s="2" t="s">
        <v>77</v>
      </c>
      <c r="K253" s="2" t="s">
        <v>59</v>
      </c>
      <c r="L253" s="2" t="s">
        <v>59</v>
      </c>
      <c r="M253" s="2" t="s">
        <v>972</v>
      </c>
      <c r="N253" s="2" t="s">
        <v>973</v>
      </c>
      <c r="O253" s="2">
        <v>0.2983</v>
      </c>
      <c r="Q253" s="2">
        <v>5.0</v>
      </c>
      <c r="R253" s="2" t="s">
        <v>38</v>
      </c>
      <c r="S253" s="2">
        <v>3.0</v>
      </c>
      <c r="T253" s="2">
        <v>0.0</v>
      </c>
      <c r="U253" s="2">
        <v>3.0</v>
      </c>
    </row>
    <row r="254" ht="15.75" customHeight="1">
      <c r="A254" s="2" t="s">
        <v>974</v>
      </c>
      <c r="B254" s="2" t="s">
        <v>975</v>
      </c>
      <c r="C254" s="2" t="s">
        <v>976</v>
      </c>
      <c r="D254" s="2">
        <v>4.0</v>
      </c>
      <c r="E254" s="2">
        <v>-0.8925</v>
      </c>
      <c r="F254" s="2" t="s">
        <v>40</v>
      </c>
      <c r="G254" s="2">
        <v>0.8925</v>
      </c>
      <c r="H254" s="2" t="s">
        <v>41</v>
      </c>
      <c r="I254" s="2" t="s">
        <v>26</v>
      </c>
      <c r="J254" s="2" t="s">
        <v>42</v>
      </c>
      <c r="K254" s="2" t="s">
        <v>63</v>
      </c>
      <c r="L254" s="2" t="s">
        <v>63</v>
      </c>
      <c r="M254" s="2" t="s">
        <v>977</v>
      </c>
      <c r="N254" s="2" t="s">
        <v>978</v>
      </c>
      <c r="O254" s="2">
        <v>0.3625</v>
      </c>
      <c r="Q254" s="2">
        <v>8.5</v>
      </c>
      <c r="R254" s="2" t="s">
        <v>38</v>
      </c>
      <c r="S254" s="2">
        <v>2.5</v>
      </c>
      <c r="T254" s="2">
        <v>0.0</v>
      </c>
      <c r="U254" s="2">
        <v>3.0</v>
      </c>
    </row>
    <row r="255" ht="15.75" customHeight="1">
      <c r="A255" s="2" t="s">
        <v>974</v>
      </c>
      <c r="B255" s="2" t="s">
        <v>979</v>
      </c>
      <c r="C255" s="2" t="s">
        <v>980</v>
      </c>
      <c r="D255" s="2">
        <v>4.0</v>
      </c>
      <c r="E255" s="2">
        <v>-0.6516</v>
      </c>
      <c r="F255" s="2" t="s">
        <v>40</v>
      </c>
      <c r="G255" s="2">
        <v>0.6516</v>
      </c>
      <c r="H255" s="2" t="s">
        <v>41</v>
      </c>
      <c r="I255" s="2" t="s">
        <v>167</v>
      </c>
      <c r="J255" s="2" t="s">
        <v>67</v>
      </c>
      <c r="K255" s="2" t="s">
        <v>51</v>
      </c>
      <c r="L255" s="2" t="s">
        <v>51</v>
      </c>
      <c r="M255" s="2" t="s">
        <v>981</v>
      </c>
      <c r="N255" s="2" t="s">
        <v>982</v>
      </c>
      <c r="O255" s="2">
        <v>1.0</v>
      </c>
      <c r="Q255" s="2">
        <v>8.5</v>
      </c>
      <c r="R255" s="2" t="s">
        <v>38</v>
      </c>
      <c r="S255" s="2">
        <v>2.5</v>
      </c>
      <c r="T255" s="2">
        <v>0.0</v>
      </c>
      <c r="U255" s="2">
        <v>3.0</v>
      </c>
    </row>
    <row r="256" ht="15.75" customHeight="1">
      <c r="A256" s="2" t="s">
        <v>974</v>
      </c>
      <c r="B256" s="2" t="s">
        <v>983</v>
      </c>
      <c r="C256" s="2" t="s">
        <v>984</v>
      </c>
      <c r="D256" s="2">
        <v>4.0</v>
      </c>
      <c r="E256" s="2">
        <v>-0.8904</v>
      </c>
      <c r="F256" s="2" t="s">
        <v>40</v>
      </c>
      <c r="G256" s="2">
        <v>0.8904</v>
      </c>
      <c r="H256" s="2" t="s">
        <v>25</v>
      </c>
      <c r="I256" s="2" t="s">
        <v>26</v>
      </c>
      <c r="J256" s="2" t="s">
        <v>27</v>
      </c>
      <c r="K256" s="2" t="s">
        <v>43</v>
      </c>
      <c r="L256" s="2" t="s">
        <v>43</v>
      </c>
      <c r="M256" s="2" t="s">
        <v>985</v>
      </c>
      <c r="N256" s="2" t="s">
        <v>986</v>
      </c>
      <c r="O256" s="2">
        <v>0.3015</v>
      </c>
      <c r="Q256" s="2">
        <v>8.0</v>
      </c>
      <c r="R256" s="2" t="s">
        <v>38</v>
      </c>
      <c r="S256" s="2">
        <v>5.5</v>
      </c>
      <c r="T256" s="2">
        <v>0.0</v>
      </c>
      <c r="U256" s="2">
        <v>3.0</v>
      </c>
    </row>
    <row r="257" ht="15.75" customHeight="1">
      <c r="A257" s="2" t="s">
        <v>974</v>
      </c>
      <c r="B257" s="2" t="s">
        <v>987</v>
      </c>
      <c r="C257" s="2" t="s">
        <v>988</v>
      </c>
      <c r="D257" s="2">
        <v>1.0</v>
      </c>
      <c r="E257" s="2">
        <v>-0.5822</v>
      </c>
      <c r="F257" s="2" t="s">
        <v>40</v>
      </c>
      <c r="G257" s="2">
        <v>0.5822</v>
      </c>
      <c r="H257" s="2" t="s">
        <v>155</v>
      </c>
      <c r="I257" s="2" t="s">
        <v>26</v>
      </c>
      <c r="J257" s="2" t="s">
        <v>27</v>
      </c>
      <c r="K257" s="2" t="s">
        <v>63</v>
      </c>
      <c r="L257" s="2" t="s">
        <v>63</v>
      </c>
      <c r="M257" s="2" t="s">
        <v>989</v>
      </c>
      <c r="N257" s="2" t="s">
        <v>990</v>
      </c>
      <c r="O257" s="2">
        <v>0.2445</v>
      </c>
      <c r="Q257" s="2">
        <v>3.0</v>
      </c>
      <c r="R257" s="2" t="s">
        <v>32</v>
      </c>
      <c r="S257" s="2">
        <v>2.0</v>
      </c>
      <c r="T257" s="2">
        <v>0.0</v>
      </c>
      <c r="U257" s="2">
        <v>3.0</v>
      </c>
    </row>
    <row r="258" ht="15.75" customHeight="1">
      <c r="A258" s="2" t="s">
        <v>974</v>
      </c>
      <c r="B258" s="2" t="s">
        <v>991</v>
      </c>
      <c r="C258" s="2" t="s">
        <v>992</v>
      </c>
      <c r="D258" s="2">
        <v>2.0</v>
      </c>
      <c r="E258" s="2">
        <v>-0.9192</v>
      </c>
      <c r="F258" s="2" t="s">
        <v>40</v>
      </c>
      <c r="G258" s="2">
        <v>0.9192</v>
      </c>
      <c r="H258" s="2" t="s">
        <v>41</v>
      </c>
      <c r="I258" s="2" t="s">
        <v>26</v>
      </c>
      <c r="J258" s="2" t="s">
        <v>67</v>
      </c>
      <c r="K258" s="2" t="s">
        <v>97</v>
      </c>
      <c r="L258" s="2" t="s">
        <v>97</v>
      </c>
      <c r="M258" s="2" t="s">
        <v>993</v>
      </c>
      <c r="N258" s="2" t="s">
        <v>994</v>
      </c>
      <c r="O258" s="2">
        <v>0.3456</v>
      </c>
      <c r="Q258" s="2">
        <v>8.5</v>
      </c>
      <c r="R258" s="2" t="s">
        <v>32</v>
      </c>
      <c r="S258" s="2">
        <v>1.5</v>
      </c>
      <c r="T258" s="2">
        <v>0.0</v>
      </c>
      <c r="U258" s="2">
        <v>3.0</v>
      </c>
    </row>
    <row r="259" ht="15.75" customHeight="1">
      <c r="A259" s="2" t="s">
        <v>974</v>
      </c>
      <c r="B259" s="2" t="s">
        <v>995</v>
      </c>
      <c r="C259" s="2" t="s">
        <v>996</v>
      </c>
      <c r="D259" s="2">
        <v>4.0</v>
      </c>
      <c r="E259" s="2">
        <v>-0.5172</v>
      </c>
      <c r="F259" s="2" t="s">
        <v>40</v>
      </c>
      <c r="G259" s="2">
        <v>0.5172</v>
      </c>
      <c r="H259" s="2" t="s">
        <v>41</v>
      </c>
      <c r="I259" s="2" t="s">
        <v>26</v>
      </c>
      <c r="J259" s="2" t="s">
        <v>42</v>
      </c>
      <c r="K259" s="2" t="s">
        <v>63</v>
      </c>
      <c r="L259" s="2" t="s">
        <v>63</v>
      </c>
      <c r="M259" s="2" t="s">
        <v>997</v>
      </c>
      <c r="N259" s="2" t="s">
        <v>998</v>
      </c>
      <c r="O259" s="2">
        <v>0.4639</v>
      </c>
      <c r="Q259" s="2">
        <v>6.0</v>
      </c>
      <c r="R259" s="2" t="s">
        <v>71</v>
      </c>
      <c r="S259" s="2">
        <v>0.0</v>
      </c>
      <c r="T259" s="2">
        <v>0.0</v>
      </c>
      <c r="U259" s="2">
        <v>3.0</v>
      </c>
    </row>
    <row r="260" ht="15.75" customHeight="1">
      <c r="A260" s="2" t="s">
        <v>974</v>
      </c>
      <c r="B260" s="2" t="s">
        <v>999</v>
      </c>
      <c r="C260" s="2" t="s">
        <v>1000</v>
      </c>
      <c r="D260" s="2">
        <v>4.0</v>
      </c>
      <c r="E260" s="2">
        <v>-0.8078</v>
      </c>
      <c r="F260" s="2" t="s">
        <v>40</v>
      </c>
      <c r="G260" s="2">
        <v>0.8078</v>
      </c>
      <c r="H260" s="2" t="s">
        <v>41</v>
      </c>
      <c r="I260" s="2" t="s">
        <v>167</v>
      </c>
      <c r="J260" s="2" t="s">
        <v>67</v>
      </c>
      <c r="K260" s="2" t="s">
        <v>63</v>
      </c>
      <c r="L260" s="2" t="s">
        <v>63</v>
      </c>
      <c r="M260" s="2" t="s">
        <v>1001</v>
      </c>
      <c r="N260" s="2" t="s">
        <v>1002</v>
      </c>
      <c r="O260" s="2">
        <v>1.0</v>
      </c>
      <c r="Q260" s="2">
        <v>4.0</v>
      </c>
      <c r="R260" s="2" t="s">
        <v>32</v>
      </c>
      <c r="S260" s="2">
        <v>2.0</v>
      </c>
      <c r="T260" s="2">
        <v>0.0</v>
      </c>
      <c r="U260" s="2">
        <v>3.0</v>
      </c>
    </row>
    <row r="261" ht="15.75" customHeight="1">
      <c r="A261" s="2" t="s">
        <v>974</v>
      </c>
      <c r="B261" s="2" t="s">
        <v>1003</v>
      </c>
      <c r="C261" s="2" t="s">
        <v>1004</v>
      </c>
      <c r="D261" s="2">
        <v>4.0</v>
      </c>
      <c r="E261" s="2">
        <v>-0.8982</v>
      </c>
      <c r="F261" s="2" t="s">
        <v>40</v>
      </c>
      <c r="G261" s="2">
        <v>0.8982</v>
      </c>
      <c r="H261" s="2" t="s">
        <v>25</v>
      </c>
      <c r="I261" s="2" t="s">
        <v>26</v>
      </c>
      <c r="J261" s="2" t="s">
        <v>27</v>
      </c>
      <c r="K261" s="2" t="s">
        <v>304</v>
      </c>
      <c r="L261" s="2" t="s">
        <v>304</v>
      </c>
      <c r="M261" s="2" t="s">
        <v>1005</v>
      </c>
      <c r="N261" s="2" t="s">
        <v>1006</v>
      </c>
      <c r="O261" s="2">
        <v>0.2811</v>
      </c>
      <c r="Q261" s="2">
        <v>5.5</v>
      </c>
      <c r="R261" s="2" t="s">
        <v>38</v>
      </c>
      <c r="S261" s="2">
        <v>2.5</v>
      </c>
      <c r="T261" s="2">
        <v>0.0</v>
      </c>
      <c r="U261" s="2">
        <v>3.0</v>
      </c>
    </row>
    <row r="262" ht="15.75" customHeight="1">
      <c r="A262" s="2" t="s">
        <v>974</v>
      </c>
      <c r="B262" s="2" t="s">
        <v>1007</v>
      </c>
      <c r="C262" s="2" t="s">
        <v>1008</v>
      </c>
      <c r="D262" s="2">
        <v>4.0</v>
      </c>
      <c r="E262" s="2">
        <v>-0.7268</v>
      </c>
      <c r="F262" s="2" t="s">
        <v>40</v>
      </c>
      <c r="G262" s="2">
        <v>0.7268</v>
      </c>
      <c r="H262" s="2" t="s">
        <v>41</v>
      </c>
      <c r="I262" s="2" t="s">
        <v>167</v>
      </c>
      <c r="J262" s="2" t="s">
        <v>67</v>
      </c>
      <c r="K262" s="2" t="s">
        <v>1009</v>
      </c>
      <c r="L262" s="2" t="s">
        <v>116</v>
      </c>
      <c r="M262" s="2" t="s">
        <v>1010</v>
      </c>
      <c r="N262" s="2" t="s">
        <v>1011</v>
      </c>
      <c r="O262" s="2">
        <v>1.0</v>
      </c>
      <c r="Q262" s="2">
        <v>5.0</v>
      </c>
      <c r="R262" s="2" t="s">
        <v>71</v>
      </c>
      <c r="S262" s="2">
        <v>0.0</v>
      </c>
      <c r="T262" s="2">
        <v>0.0</v>
      </c>
      <c r="U262" s="2">
        <v>3.0</v>
      </c>
    </row>
    <row r="263" ht="15.75" customHeight="1">
      <c r="A263" s="2" t="s">
        <v>974</v>
      </c>
      <c r="B263" s="2" t="s">
        <v>1012</v>
      </c>
      <c r="C263" s="2" t="s">
        <v>1013</v>
      </c>
      <c r="D263" s="2">
        <v>2.0</v>
      </c>
      <c r="E263" s="2">
        <v>-0.8734</v>
      </c>
      <c r="F263" s="2" t="s">
        <v>40</v>
      </c>
      <c r="G263" s="2">
        <v>0.8734</v>
      </c>
      <c r="H263" s="2" t="s">
        <v>41</v>
      </c>
      <c r="I263" s="2" t="s">
        <v>26</v>
      </c>
      <c r="J263" s="2" t="s">
        <v>67</v>
      </c>
      <c r="K263" s="2" t="s">
        <v>81</v>
      </c>
      <c r="L263" s="2" t="s">
        <v>81</v>
      </c>
      <c r="M263" s="2" t="s">
        <v>1014</v>
      </c>
      <c r="N263" s="2" t="s">
        <v>1015</v>
      </c>
      <c r="O263" s="2">
        <v>0.9135</v>
      </c>
      <c r="Q263" s="2">
        <v>8.5</v>
      </c>
      <c r="R263" s="2" t="s">
        <v>32</v>
      </c>
      <c r="S263" s="2">
        <v>1.5</v>
      </c>
      <c r="T263" s="2">
        <v>0.0</v>
      </c>
      <c r="U263" s="2">
        <v>3.0</v>
      </c>
    </row>
    <row r="264" ht="15.75" customHeight="1">
      <c r="A264" s="2" t="s">
        <v>974</v>
      </c>
      <c r="B264" s="2" t="s">
        <v>1016</v>
      </c>
      <c r="C264" s="2" t="s">
        <v>1017</v>
      </c>
      <c r="D264" s="2">
        <v>4.0</v>
      </c>
      <c r="E264" s="2">
        <v>-0.7188</v>
      </c>
      <c r="F264" s="2" t="s">
        <v>40</v>
      </c>
      <c r="G264" s="2">
        <v>0.7188</v>
      </c>
      <c r="H264" s="2" t="s">
        <v>41</v>
      </c>
      <c r="I264" s="2" t="s">
        <v>167</v>
      </c>
      <c r="J264" s="2" t="s">
        <v>67</v>
      </c>
      <c r="K264" s="2" t="s">
        <v>1018</v>
      </c>
      <c r="L264" s="2" t="s">
        <v>1018</v>
      </c>
      <c r="M264" s="2" t="s">
        <v>1019</v>
      </c>
      <c r="N264" s="2" t="s">
        <v>1020</v>
      </c>
      <c r="O264" s="2">
        <v>1.0</v>
      </c>
      <c r="Q264" s="2">
        <v>8.5</v>
      </c>
      <c r="R264" s="2" t="s">
        <v>38</v>
      </c>
      <c r="S264" s="2">
        <v>5.5</v>
      </c>
      <c r="T264" s="2">
        <v>0.0</v>
      </c>
      <c r="U264" s="2">
        <v>3.0</v>
      </c>
    </row>
    <row r="265" ht="15.75" customHeight="1">
      <c r="A265" s="2" t="s">
        <v>974</v>
      </c>
      <c r="B265" s="2" t="s">
        <v>1021</v>
      </c>
      <c r="C265" s="2" t="s">
        <v>1022</v>
      </c>
      <c r="D265" s="2">
        <v>2.0</v>
      </c>
      <c r="E265" s="2">
        <v>-0.8909</v>
      </c>
      <c r="F265" s="2" t="s">
        <v>40</v>
      </c>
      <c r="G265" s="2">
        <v>0.8909</v>
      </c>
      <c r="H265" s="2" t="s">
        <v>41</v>
      </c>
      <c r="I265" s="2" t="s">
        <v>26</v>
      </c>
      <c r="J265" s="2" t="s">
        <v>42</v>
      </c>
      <c r="K265" s="2" t="s">
        <v>893</v>
      </c>
      <c r="L265" s="2" t="s">
        <v>59</v>
      </c>
      <c r="M265" s="2" t="s">
        <v>1023</v>
      </c>
      <c r="N265" s="2" t="s">
        <v>1024</v>
      </c>
      <c r="O265" s="2">
        <v>0.399</v>
      </c>
      <c r="Q265" s="2">
        <v>8.5</v>
      </c>
      <c r="R265" s="2" t="s">
        <v>38</v>
      </c>
      <c r="S265" s="2">
        <v>8.5</v>
      </c>
      <c r="T265" s="2">
        <v>0.0</v>
      </c>
      <c r="U265" s="2">
        <v>3.0</v>
      </c>
    </row>
    <row r="266" ht="15.75" customHeight="1">
      <c r="A266" s="2" t="s">
        <v>974</v>
      </c>
      <c r="B266" s="2" t="s">
        <v>1025</v>
      </c>
      <c r="C266" s="2" t="s">
        <v>1026</v>
      </c>
      <c r="D266" s="2">
        <v>4.0</v>
      </c>
      <c r="E266" s="2">
        <v>-0.666</v>
      </c>
      <c r="F266" s="2" t="s">
        <v>40</v>
      </c>
      <c r="G266" s="2">
        <v>0.666</v>
      </c>
      <c r="H266" s="2" t="s">
        <v>25</v>
      </c>
      <c r="I266" s="2" t="s">
        <v>26</v>
      </c>
      <c r="J266" s="2" t="s">
        <v>27</v>
      </c>
      <c r="K266" s="2" t="s">
        <v>63</v>
      </c>
      <c r="L266" s="2" t="s">
        <v>63</v>
      </c>
      <c r="M266" s="2" t="s">
        <v>1027</v>
      </c>
      <c r="N266" s="2" t="s">
        <v>1028</v>
      </c>
      <c r="O266" s="2">
        <v>0.3603</v>
      </c>
      <c r="Q266" s="2">
        <v>8.5</v>
      </c>
      <c r="R266" s="2" t="s">
        <v>32</v>
      </c>
      <c r="S266" s="2">
        <v>1.5</v>
      </c>
      <c r="T266" s="2">
        <v>0.0</v>
      </c>
      <c r="U266" s="2">
        <v>3.0</v>
      </c>
    </row>
    <row r="267" ht="15.75" customHeight="1">
      <c r="A267" s="2" t="s">
        <v>974</v>
      </c>
      <c r="B267" s="2" t="s">
        <v>1029</v>
      </c>
      <c r="C267" s="2" t="s">
        <v>1030</v>
      </c>
      <c r="D267" s="2">
        <v>2.0</v>
      </c>
      <c r="E267" s="2">
        <v>0.0</v>
      </c>
      <c r="F267" s="2" t="s">
        <v>24</v>
      </c>
      <c r="G267" s="2">
        <v>0.5461</v>
      </c>
      <c r="H267" s="2" t="s">
        <v>25</v>
      </c>
      <c r="I267" s="2" t="s">
        <v>26</v>
      </c>
      <c r="J267" s="2" t="s">
        <v>27</v>
      </c>
      <c r="K267" s="2" t="s">
        <v>294</v>
      </c>
      <c r="L267" s="2" t="s">
        <v>294</v>
      </c>
      <c r="M267" s="2" t="s">
        <v>1031</v>
      </c>
      <c r="N267" s="2" t="s">
        <v>1032</v>
      </c>
      <c r="O267" s="2">
        <v>0.5289</v>
      </c>
      <c r="Q267" s="2">
        <v>8.0</v>
      </c>
      <c r="R267" s="2" t="s">
        <v>38</v>
      </c>
      <c r="S267" s="2">
        <v>5.0</v>
      </c>
      <c r="T267" s="2">
        <v>0.0</v>
      </c>
      <c r="U267" s="2">
        <v>3.0</v>
      </c>
    </row>
    <row r="268" ht="15.75" customHeight="1">
      <c r="A268" s="2" t="s">
        <v>974</v>
      </c>
      <c r="B268" s="2" t="s">
        <v>1033</v>
      </c>
      <c r="C268" s="2" t="s">
        <v>1034</v>
      </c>
      <c r="D268" s="2">
        <v>4.0</v>
      </c>
      <c r="E268" s="2">
        <v>-0.8092</v>
      </c>
      <c r="F268" s="2" t="s">
        <v>40</v>
      </c>
      <c r="G268" s="2">
        <v>0.8092</v>
      </c>
      <c r="H268" s="2" t="s">
        <v>41</v>
      </c>
      <c r="I268" s="2" t="s">
        <v>167</v>
      </c>
      <c r="J268" s="2" t="s">
        <v>67</v>
      </c>
      <c r="K268" s="2" t="s">
        <v>59</v>
      </c>
      <c r="L268" s="2" t="s">
        <v>59</v>
      </c>
      <c r="M268" s="2" t="s">
        <v>1035</v>
      </c>
      <c r="N268" s="2" t="s">
        <v>1036</v>
      </c>
      <c r="O268" s="2">
        <v>1.0</v>
      </c>
      <c r="Q268" s="2">
        <v>6.0</v>
      </c>
      <c r="R268" s="2" t="s">
        <v>38</v>
      </c>
      <c r="S268" s="2">
        <v>2.0</v>
      </c>
      <c r="T268" s="2">
        <v>0.0</v>
      </c>
      <c r="U268" s="2">
        <v>3.0</v>
      </c>
    </row>
    <row r="269" ht="15.75" customHeight="1">
      <c r="A269" s="2" t="s">
        <v>974</v>
      </c>
      <c r="B269" s="2" t="s">
        <v>1037</v>
      </c>
      <c r="C269" s="2" t="s">
        <v>1038</v>
      </c>
      <c r="D269" s="2">
        <v>2.0</v>
      </c>
      <c r="E269" s="2">
        <v>-0.7189</v>
      </c>
      <c r="F269" s="2" t="s">
        <v>40</v>
      </c>
      <c r="G269" s="2">
        <v>0.7189</v>
      </c>
      <c r="H269" s="2" t="s">
        <v>41</v>
      </c>
      <c r="I269" s="2" t="s">
        <v>167</v>
      </c>
      <c r="J269" s="2" t="s">
        <v>67</v>
      </c>
      <c r="K269" s="2" t="s">
        <v>59</v>
      </c>
      <c r="L269" s="2" t="s">
        <v>59</v>
      </c>
      <c r="M269" s="2" t="s">
        <v>1039</v>
      </c>
      <c r="N269" s="2" t="s">
        <v>1040</v>
      </c>
      <c r="O269" s="2">
        <v>1.0</v>
      </c>
      <c r="Q269" s="2">
        <v>3.0</v>
      </c>
      <c r="R269" s="2" t="s">
        <v>71</v>
      </c>
      <c r="S269" s="2">
        <v>0.0</v>
      </c>
      <c r="T269" s="2">
        <v>0.0</v>
      </c>
      <c r="U269" s="2">
        <v>3.0</v>
      </c>
    </row>
    <row r="270" ht="15.75" customHeight="1">
      <c r="A270" s="2" t="s">
        <v>974</v>
      </c>
      <c r="B270" s="2" t="s">
        <v>1041</v>
      </c>
      <c r="C270" s="2" t="s">
        <v>1042</v>
      </c>
      <c r="D270" s="2">
        <v>2.0</v>
      </c>
      <c r="E270" s="2">
        <v>-0.7218</v>
      </c>
      <c r="F270" s="2" t="s">
        <v>40</v>
      </c>
      <c r="G270" s="2">
        <v>0.7218</v>
      </c>
      <c r="H270" s="2" t="s">
        <v>41</v>
      </c>
      <c r="I270" s="2" t="s">
        <v>1043</v>
      </c>
      <c r="J270" s="2" t="s">
        <v>67</v>
      </c>
      <c r="K270" s="2" t="s">
        <v>1044</v>
      </c>
      <c r="L270" s="2" t="s">
        <v>51</v>
      </c>
      <c r="M270" s="2" t="s">
        <v>1045</v>
      </c>
      <c r="N270" s="2" t="s">
        <v>1046</v>
      </c>
      <c r="O270" s="2">
        <v>1.0</v>
      </c>
      <c r="Q270" s="2">
        <v>5.0</v>
      </c>
      <c r="R270" s="2" t="s">
        <v>71</v>
      </c>
      <c r="S270" s="2">
        <v>0.5</v>
      </c>
      <c r="T270" s="2">
        <v>0.0</v>
      </c>
      <c r="U270" s="2">
        <v>3.0</v>
      </c>
    </row>
    <row r="271" ht="15.75" customHeight="1">
      <c r="A271" s="2" t="s">
        <v>974</v>
      </c>
      <c r="B271" s="2" t="s">
        <v>1047</v>
      </c>
      <c r="C271" s="2" t="s">
        <v>1048</v>
      </c>
      <c r="D271" s="2">
        <v>2.0</v>
      </c>
      <c r="E271" s="2">
        <v>-0.7604</v>
      </c>
      <c r="F271" s="2" t="s">
        <v>40</v>
      </c>
      <c r="G271" s="2">
        <v>0.7604</v>
      </c>
      <c r="H271" s="2" t="s">
        <v>41</v>
      </c>
      <c r="I271" s="2" t="s">
        <v>167</v>
      </c>
      <c r="J271" s="2" t="s">
        <v>67</v>
      </c>
      <c r="K271" s="2" t="s">
        <v>97</v>
      </c>
      <c r="L271" s="2" t="s">
        <v>97</v>
      </c>
      <c r="M271" s="2" t="s">
        <v>1049</v>
      </c>
      <c r="N271" s="2" t="s">
        <v>1050</v>
      </c>
      <c r="O271" s="2">
        <v>1.0</v>
      </c>
      <c r="Q271" s="2">
        <v>0.0</v>
      </c>
      <c r="R271" s="2" t="s">
        <v>71</v>
      </c>
      <c r="S271" s="2">
        <v>0.0</v>
      </c>
      <c r="T271" s="2">
        <v>0.0</v>
      </c>
      <c r="U271" s="2">
        <v>3.0</v>
      </c>
    </row>
    <row r="272" ht="15.75" customHeight="1">
      <c r="A272" s="2" t="s">
        <v>974</v>
      </c>
      <c r="B272" s="2" t="s">
        <v>1051</v>
      </c>
      <c r="C272" s="2" t="s">
        <v>1052</v>
      </c>
      <c r="D272" s="2">
        <v>4.0</v>
      </c>
      <c r="E272" s="2">
        <v>-0.7281</v>
      </c>
      <c r="F272" s="2" t="s">
        <v>40</v>
      </c>
      <c r="G272" s="2">
        <v>0.7281</v>
      </c>
      <c r="H272" s="2" t="s">
        <v>41</v>
      </c>
      <c r="I272" s="2" t="s">
        <v>167</v>
      </c>
      <c r="J272" s="2" t="s">
        <v>67</v>
      </c>
      <c r="K272" s="2" t="s">
        <v>163</v>
      </c>
      <c r="L272" s="2" t="s">
        <v>68</v>
      </c>
      <c r="M272" s="2" t="s">
        <v>1053</v>
      </c>
      <c r="N272" s="2" t="s">
        <v>1054</v>
      </c>
      <c r="O272" s="2">
        <v>1.0</v>
      </c>
      <c r="Q272" s="2">
        <v>3.0</v>
      </c>
      <c r="R272" s="2" t="s">
        <v>32</v>
      </c>
      <c r="S272" s="2">
        <v>3.0</v>
      </c>
      <c r="T272" s="2">
        <v>0.0</v>
      </c>
      <c r="U272" s="2">
        <v>3.0</v>
      </c>
    </row>
    <row r="273" ht="15.75" customHeight="1">
      <c r="A273" s="2" t="s">
        <v>974</v>
      </c>
      <c r="B273" s="2" t="s">
        <v>1055</v>
      </c>
      <c r="C273" s="2" t="s">
        <v>1056</v>
      </c>
      <c r="D273" s="2">
        <v>3.0</v>
      </c>
      <c r="E273" s="2">
        <v>-0.4811</v>
      </c>
      <c r="F273" s="2" t="s">
        <v>40</v>
      </c>
      <c r="G273" s="2">
        <v>0.4811</v>
      </c>
      <c r="H273" s="2" t="s">
        <v>104</v>
      </c>
      <c r="I273" s="2" t="s">
        <v>26</v>
      </c>
      <c r="J273" s="2" t="s">
        <v>105</v>
      </c>
      <c r="K273" s="2" t="s">
        <v>294</v>
      </c>
      <c r="L273" s="2" t="s">
        <v>294</v>
      </c>
      <c r="M273" s="2" t="s">
        <v>1057</v>
      </c>
      <c r="N273" s="2" t="s">
        <v>1058</v>
      </c>
      <c r="O273" s="2">
        <v>0.2675</v>
      </c>
      <c r="Q273" s="2">
        <v>5.0</v>
      </c>
      <c r="R273" s="2" t="s">
        <v>38</v>
      </c>
      <c r="S273" s="2">
        <v>3.0</v>
      </c>
      <c r="T273" s="2">
        <v>0.0</v>
      </c>
      <c r="U273" s="2">
        <v>3.0</v>
      </c>
    </row>
    <row r="274" ht="15.75" customHeight="1">
      <c r="A274" s="2" t="s">
        <v>974</v>
      </c>
      <c r="B274" s="2" t="s">
        <v>1059</v>
      </c>
      <c r="C274" s="2" t="s">
        <v>1060</v>
      </c>
      <c r="D274" s="2">
        <v>3.0</v>
      </c>
      <c r="E274" s="2">
        <v>-0.897</v>
      </c>
      <c r="F274" s="2" t="s">
        <v>40</v>
      </c>
      <c r="G274" s="2">
        <v>0.897</v>
      </c>
      <c r="H274" s="2" t="s">
        <v>104</v>
      </c>
      <c r="I274" s="2" t="s">
        <v>643</v>
      </c>
      <c r="J274" s="2" t="s">
        <v>105</v>
      </c>
      <c r="K274" s="2" t="s">
        <v>294</v>
      </c>
      <c r="L274" s="2" t="s">
        <v>294</v>
      </c>
      <c r="M274" s="2" t="s">
        <v>1061</v>
      </c>
      <c r="N274" s="2" t="s">
        <v>1062</v>
      </c>
      <c r="O274" s="2">
        <v>1.0</v>
      </c>
      <c r="Q274" s="2">
        <v>6.0</v>
      </c>
      <c r="R274" s="2" t="s">
        <v>38</v>
      </c>
      <c r="S274" s="2">
        <v>3.0</v>
      </c>
      <c r="T274" s="2">
        <v>0.0</v>
      </c>
      <c r="U274" s="2">
        <v>3.0</v>
      </c>
    </row>
    <row r="275" ht="15.75" customHeight="1">
      <c r="A275" s="2" t="s">
        <v>974</v>
      </c>
      <c r="B275" s="2" t="s">
        <v>1063</v>
      </c>
      <c r="C275" s="2" t="s">
        <v>1064</v>
      </c>
      <c r="D275" s="2">
        <v>2.0</v>
      </c>
      <c r="E275" s="2">
        <v>-0.8482</v>
      </c>
      <c r="F275" s="2" t="s">
        <v>40</v>
      </c>
      <c r="G275" s="2">
        <v>0.8482</v>
      </c>
      <c r="H275" s="2" t="s">
        <v>41</v>
      </c>
      <c r="I275" s="2" t="s">
        <v>1043</v>
      </c>
      <c r="J275" s="2" t="s">
        <v>67</v>
      </c>
      <c r="K275" s="2" t="s">
        <v>1044</v>
      </c>
      <c r="L275" s="2" t="s">
        <v>51</v>
      </c>
      <c r="M275" s="2" t="s">
        <v>1065</v>
      </c>
      <c r="N275" s="2" t="s">
        <v>1066</v>
      </c>
      <c r="O275" s="2">
        <v>1.0</v>
      </c>
      <c r="Q275" s="2">
        <v>5.0</v>
      </c>
      <c r="R275" s="2" t="s">
        <v>38</v>
      </c>
      <c r="S275" s="2">
        <v>2.0</v>
      </c>
      <c r="T275" s="2">
        <v>0.0</v>
      </c>
      <c r="U275" s="2">
        <v>3.0</v>
      </c>
    </row>
    <row r="276" ht="15.75" customHeight="1">
      <c r="A276" s="2" t="s">
        <v>974</v>
      </c>
      <c r="B276" s="2" t="s">
        <v>1067</v>
      </c>
      <c r="C276" s="2" t="s">
        <v>1068</v>
      </c>
      <c r="D276" s="2">
        <v>4.0</v>
      </c>
      <c r="E276" s="2">
        <v>-0.7547</v>
      </c>
      <c r="F276" s="2" t="s">
        <v>40</v>
      </c>
      <c r="G276" s="2">
        <v>0.7547</v>
      </c>
      <c r="H276" s="2" t="s">
        <v>41</v>
      </c>
      <c r="I276" s="2" t="s">
        <v>836</v>
      </c>
      <c r="J276" s="2" t="s">
        <v>67</v>
      </c>
      <c r="K276" s="2" t="s">
        <v>51</v>
      </c>
      <c r="L276" s="2" t="s">
        <v>51</v>
      </c>
      <c r="M276" s="2" t="s">
        <v>1069</v>
      </c>
      <c r="N276" s="2" t="s">
        <v>1070</v>
      </c>
      <c r="O276" s="2">
        <v>1.0</v>
      </c>
      <c r="Q276" s="2">
        <v>8.5</v>
      </c>
      <c r="R276" s="2" t="s">
        <v>71</v>
      </c>
      <c r="S276" s="2">
        <v>0.5</v>
      </c>
      <c r="T276" s="2">
        <v>0.0</v>
      </c>
      <c r="U276" s="2">
        <v>3.0</v>
      </c>
    </row>
    <row r="277" ht="15.75" customHeight="1">
      <c r="A277" s="2" t="s">
        <v>974</v>
      </c>
      <c r="B277" s="2" t="s">
        <v>1071</v>
      </c>
      <c r="C277" s="2" t="s">
        <v>1072</v>
      </c>
      <c r="D277" s="2">
        <v>1.0</v>
      </c>
      <c r="E277" s="2">
        <v>-0.7137</v>
      </c>
      <c r="F277" s="2" t="s">
        <v>40</v>
      </c>
      <c r="G277" s="2">
        <v>0.7137</v>
      </c>
      <c r="H277" s="2" t="s">
        <v>76</v>
      </c>
      <c r="I277" s="2" t="s">
        <v>26</v>
      </c>
      <c r="J277" s="2" t="s">
        <v>77</v>
      </c>
      <c r="K277" s="2" t="s">
        <v>328</v>
      </c>
      <c r="L277" s="2" t="s">
        <v>294</v>
      </c>
      <c r="M277" s="2" t="s">
        <v>1073</v>
      </c>
      <c r="N277" s="2" t="s">
        <v>1074</v>
      </c>
      <c r="O277" s="2">
        <v>0.3848</v>
      </c>
      <c r="Q277" s="2">
        <v>8.5</v>
      </c>
      <c r="R277" s="2" t="s">
        <v>38</v>
      </c>
      <c r="S277" s="2">
        <v>3.5</v>
      </c>
      <c r="T277" s="2">
        <v>0.0</v>
      </c>
      <c r="U277" s="2">
        <v>3.0</v>
      </c>
    </row>
    <row r="278" ht="15.75" customHeight="1">
      <c r="A278" s="2" t="s">
        <v>974</v>
      </c>
      <c r="B278" s="2" t="s">
        <v>1075</v>
      </c>
      <c r="C278" s="2" t="s">
        <v>1076</v>
      </c>
      <c r="D278" s="2">
        <v>4.0</v>
      </c>
      <c r="E278" s="2">
        <v>-0.8875</v>
      </c>
      <c r="F278" s="2" t="s">
        <v>40</v>
      </c>
      <c r="G278" s="2">
        <v>0.8875</v>
      </c>
      <c r="H278" s="2" t="s">
        <v>41</v>
      </c>
      <c r="I278" s="2" t="s">
        <v>284</v>
      </c>
      <c r="J278" s="2" t="s">
        <v>67</v>
      </c>
      <c r="K278" s="2" t="s">
        <v>1077</v>
      </c>
      <c r="L278" s="2" t="s">
        <v>1077</v>
      </c>
      <c r="M278" s="2" t="s">
        <v>1078</v>
      </c>
      <c r="N278" s="2" t="s">
        <v>1079</v>
      </c>
      <c r="O278" s="2">
        <v>1.0</v>
      </c>
      <c r="Q278" s="2">
        <v>6.5</v>
      </c>
      <c r="R278" s="2" t="s">
        <v>38</v>
      </c>
      <c r="S278" s="2">
        <v>4.5</v>
      </c>
      <c r="T278" s="2">
        <v>0.0</v>
      </c>
      <c r="U278" s="2">
        <v>3.0</v>
      </c>
    </row>
    <row r="279" ht="15.75" customHeight="1">
      <c r="A279" s="2" t="s">
        <v>974</v>
      </c>
      <c r="B279" s="2" t="s">
        <v>1080</v>
      </c>
      <c r="C279" s="2" t="s">
        <v>1081</v>
      </c>
      <c r="D279" s="2">
        <v>2.0</v>
      </c>
      <c r="E279" s="2">
        <v>-0.8997</v>
      </c>
      <c r="F279" s="2" t="s">
        <v>40</v>
      </c>
      <c r="G279" s="2">
        <v>0.8997</v>
      </c>
      <c r="H279" s="2" t="s">
        <v>41</v>
      </c>
      <c r="I279" s="2" t="s">
        <v>26</v>
      </c>
      <c r="J279" s="2" t="s">
        <v>67</v>
      </c>
      <c r="K279" s="2" t="s">
        <v>323</v>
      </c>
      <c r="L279" s="2" t="s">
        <v>323</v>
      </c>
      <c r="M279" s="2" t="s">
        <v>1082</v>
      </c>
      <c r="N279" s="2" t="s">
        <v>1083</v>
      </c>
      <c r="O279" s="2">
        <v>0.4754</v>
      </c>
      <c r="Q279" s="2">
        <v>8.5</v>
      </c>
      <c r="R279" s="2" t="s">
        <v>38</v>
      </c>
      <c r="S279" s="2">
        <v>2.5</v>
      </c>
      <c r="T279" s="2">
        <v>0.0</v>
      </c>
      <c r="U279" s="2">
        <v>3.0</v>
      </c>
    </row>
    <row r="280" ht="15.75" customHeight="1">
      <c r="A280" s="2" t="s">
        <v>974</v>
      </c>
      <c r="B280" s="2" t="s">
        <v>1084</v>
      </c>
      <c r="C280" s="2" t="s">
        <v>1085</v>
      </c>
      <c r="D280" s="2">
        <v>3.0</v>
      </c>
      <c r="E280" s="2">
        <v>-0.6579</v>
      </c>
      <c r="F280" s="2" t="s">
        <v>40</v>
      </c>
      <c r="G280" s="2">
        <v>0.6579</v>
      </c>
      <c r="H280" s="2" t="s">
        <v>104</v>
      </c>
      <c r="I280" s="2" t="s">
        <v>26</v>
      </c>
      <c r="J280" s="2" t="s">
        <v>105</v>
      </c>
      <c r="K280" s="2" t="s">
        <v>243</v>
      </c>
      <c r="L280" s="2" t="s">
        <v>55</v>
      </c>
      <c r="M280" s="2" t="s">
        <v>1086</v>
      </c>
      <c r="N280" s="2" t="s">
        <v>1087</v>
      </c>
      <c r="O280" s="2">
        <v>0.6282</v>
      </c>
      <c r="Q280" s="2">
        <v>6.5</v>
      </c>
      <c r="R280" s="2" t="s">
        <v>38</v>
      </c>
      <c r="S280" s="2">
        <v>6.5</v>
      </c>
      <c r="T280" s="2">
        <v>0.0</v>
      </c>
      <c r="U280" s="2">
        <v>3.0</v>
      </c>
    </row>
    <row r="281" ht="15.75" customHeight="1">
      <c r="A281" s="2" t="s">
        <v>974</v>
      </c>
      <c r="B281" s="2" t="s">
        <v>1088</v>
      </c>
      <c r="C281" s="2" t="s">
        <v>1089</v>
      </c>
      <c r="D281" s="2">
        <v>2.0</v>
      </c>
      <c r="E281" s="2">
        <v>-0.5758</v>
      </c>
      <c r="F281" s="2" t="s">
        <v>40</v>
      </c>
      <c r="G281" s="2">
        <v>0.5758</v>
      </c>
      <c r="H281" s="2" t="s">
        <v>41</v>
      </c>
      <c r="I281" s="2" t="s">
        <v>284</v>
      </c>
      <c r="J281" s="2" t="s">
        <v>67</v>
      </c>
      <c r="K281" s="2" t="s">
        <v>29</v>
      </c>
      <c r="L281" s="2" t="s">
        <v>29</v>
      </c>
      <c r="M281" s="2" t="s">
        <v>1090</v>
      </c>
      <c r="N281" s="2" t="s">
        <v>1091</v>
      </c>
      <c r="O281" s="2">
        <v>1.0</v>
      </c>
      <c r="Q281" s="2">
        <v>8.5</v>
      </c>
      <c r="R281" s="2" t="s">
        <v>32</v>
      </c>
      <c r="S281" s="2">
        <v>1.5</v>
      </c>
      <c r="T281" s="2">
        <v>0.0</v>
      </c>
      <c r="U281" s="2">
        <v>3.0</v>
      </c>
    </row>
    <row r="282" ht="15.75" customHeight="1">
      <c r="A282" s="2" t="s">
        <v>974</v>
      </c>
      <c r="B282" s="2" t="s">
        <v>1092</v>
      </c>
      <c r="C282" s="2" t="s">
        <v>1093</v>
      </c>
      <c r="D282" s="2">
        <v>4.0</v>
      </c>
      <c r="E282" s="2">
        <v>-0.9244</v>
      </c>
      <c r="F282" s="2" t="s">
        <v>40</v>
      </c>
      <c r="G282" s="2">
        <v>0.9244</v>
      </c>
      <c r="H282" s="2" t="s">
        <v>41</v>
      </c>
      <c r="I282" s="2" t="s">
        <v>167</v>
      </c>
      <c r="J282" s="2" t="s">
        <v>67</v>
      </c>
      <c r="K282" s="2" t="s">
        <v>1009</v>
      </c>
      <c r="L282" s="2" t="s">
        <v>116</v>
      </c>
      <c r="M282" s="2" t="s">
        <v>1094</v>
      </c>
      <c r="N282" s="2" t="s">
        <v>1095</v>
      </c>
      <c r="O282" s="2">
        <v>1.0</v>
      </c>
      <c r="Q282" s="2">
        <v>1.0</v>
      </c>
      <c r="R282" s="2" t="s">
        <v>71</v>
      </c>
      <c r="S282" s="2">
        <v>0.0</v>
      </c>
      <c r="T282" s="2">
        <v>0.0</v>
      </c>
      <c r="U282" s="2">
        <v>3.0</v>
      </c>
    </row>
    <row r="283" ht="15.75" customHeight="1">
      <c r="A283" s="2" t="s">
        <v>974</v>
      </c>
      <c r="B283" s="2" t="s">
        <v>1096</v>
      </c>
      <c r="C283" s="2" t="s">
        <v>1097</v>
      </c>
      <c r="D283" s="2">
        <v>4.0</v>
      </c>
      <c r="E283" s="2">
        <v>-0.8852</v>
      </c>
      <c r="F283" s="2" t="s">
        <v>40</v>
      </c>
      <c r="G283" s="2">
        <v>0.8852</v>
      </c>
      <c r="H283" s="2" t="s">
        <v>41</v>
      </c>
      <c r="I283" s="2" t="s">
        <v>26</v>
      </c>
      <c r="J283" s="2" t="s">
        <v>67</v>
      </c>
      <c r="K283" s="2" t="s">
        <v>1009</v>
      </c>
      <c r="L283" s="2" t="s">
        <v>116</v>
      </c>
      <c r="M283" s="2" t="s">
        <v>1098</v>
      </c>
      <c r="N283" s="2" t="s">
        <v>1099</v>
      </c>
      <c r="O283" s="2">
        <v>0.7408</v>
      </c>
      <c r="Q283" s="2">
        <v>1.0</v>
      </c>
      <c r="R283" s="2" t="s">
        <v>71</v>
      </c>
      <c r="S283" s="2">
        <v>0.0</v>
      </c>
      <c r="T283" s="2">
        <v>0.0</v>
      </c>
      <c r="U283" s="2">
        <v>3.0</v>
      </c>
    </row>
    <row r="284" ht="15.75" customHeight="1">
      <c r="A284" s="2" t="s">
        <v>974</v>
      </c>
      <c r="B284" s="2" t="s">
        <v>1100</v>
      </c>
      <c r="C284" s="2" t="s">
        <v>1101</v>
      </c>
      <c r="D284" s="2">
        <v>4.0</v>
      </c>
      <c r="E284" s="2">
        <v>-0.7869</v>
      </c>
      <c r="F284" s="2" t="s">
        <v>40</v>
      </c>
      <c r="G284" s="2">
        <v>0.7869</v>
      </c>
      <c r="H284" s="2" t="s">
        <v>41</v>
      </c>
      <c r="I284" s="2" t="s">
        <v>284</v>
      </c>
      <c r="J284" s="2" t="s">
        <v>67</v>
      </c>
      <c r="K284" s="2" t="s">
        <v>1102</v>
      </c>
      <c r="L284" s="2" t="s">
        <v>59</v>
      </c>
      <c r="M284" s="2" t="s">
        <v>1103</v>
      </c>
      <c r="N284" s="2" t="s">
        <v>1104</v>
      </c>
      <c r="O284" s="2">
        <v>1.0</v>
      </c>
      <c r="Q284" s="2">
        <v>2.0</v>
      </c>
      <c r="R284" s="2" t="s">
        <v>71</v>
      </c>
      <c r="S284" s="2">
        <v>0.0</v>
      </c>
      <c r="T284" s="2">
        <v>0.0</v>
      </c>
      <c r="U284" s="2">
        <v>3.0</v>
      </c>
    </row>
    <row r="285" ht="15.75" customHeight="1">
      <c r="A285" s="2" t="s">
        <v>974</v>
      </c>
      <c r="B285" s="2" t="s">
        <v>1105</v>
      </c>
      <c r="C285" s="2" t="s">
        <v>1106</v>
      </c>
      <c r="D285" s="2">
        <v>3.0</v>
      </c>
      <c r="E285" s="2">
        <v>-0.823</v>
      </c>
      <c r="F285" s="2" t="s">
        <v>40</v>
      </c>
      <c r="G285" s="2">
        <v>0.823</v>
      </c>
      <c r="H285" s="2" t="s">
        <v>104</v>
      </c>
      <c r="I285" s="2" t="s">
        <v>26</v>
      </c>
      <c r="J285" s="2" t="s">
        <v>105</v>
      </c>
      <c r="K285" s="2" t="s">
        <v>423</v>
      </c>
      <c r="L285" s="2" t="s">
        <v>294</v>
      </c>
      <c r="M285" s="2" t="s">
        <v>1107</v>
      </c>
      <c r="N285" s="2" t="s">
        <v>1108</v>
      </c>
      <c r="O285" s="2">
        <v>0.9153</v>
      </c>
      <c r="Q285" s="2">
        <v>4.5</v>
      </c>
      <c r="R285" s="2" t="s">
        <v>32</v>
      </c>
      <c r="S285" s="2">
        <v>2.5</v>
      </c>
      <c r="T285" s="2">
        <v>0.0</v>
      </c>
      <c r="U285" s="2">
        <v>3.0</v>
      </c>
    </row>
    <row r="286" ht="15.75" customHeight="1">
      <c r="A286" s="2" t="s">
        <v>974</v>
      </c>
      <c r="B286" s="2" t="s">
        <v>1109</v>
      </c>
      <c r="C286" s="2" t="s">
        <v>1110</v>
      </c>
      <c r="D286" s="2">
        <v>4.0</v>
      </c>
      <c r="E286" s="2">
        <v>-0.9683</v>
      </c>
      <c r="F286" s="2" t="s">
        <v>40</v>
      </c>
      <c r="G286" s="2">
        <v>0.9683</v>
      </c>
      <c r="H286" s="2" t="s">
        <v>41</v>
      </c>
      <c r="I286" s="2" t="s">
        <v>26</v>
      </c>
      <c r="J286" s="2" t="s">
        <v>67</v>
      </c>
      <c r="K286" s="2" t="s">
        <v>423</v>
      </c>
      <c r="L286" s="2" t="s">
        <v>294</v>
      </c>
      <c r="M286" s="2" t="s">
        <v>1111</v>
      </c>
      <c r="N286" s="2" t="s">
        <v>1112</v>
      </c>
      <c r="O286" s="2">
        <v>0.2984</v>
      </c>
      <c r="Q286" s="2">
        <v>6.5</v>
      </c>
      <c r="R286" s="2" t="s">
        <v>38</v>
      </c>
      <c r="S286" s="2">
        <v>3.5</v>
      </c>
      <c r="T286" s="2">
        <v>0.0</v>
      </c>
      <c r="U286" s="2">
        <v>3.0</v>
      </c>
    </row>
    <row r="287" ht="15.75" customHeight="1">
      <c r="A287" s="2" t="s">
        <v>974</v>
      </c>
      <c r="B287" s="2" t="s">
        <v>1113</v>
      </c>
      <c r="C287" s="2" t="s">
        <v>1114</v>
      </c>
      <c r="D287" s="2">
        <v>4.0</v>
      </c>
      <c r="E287" s="2">
        <v>-0.9297</v>
      </c>
      <c r="F287" s="2" t="s">
        <v>40</v>
      </c>
      <c r="G287" s="2">
        <v>0.9297</v>
      </c>
      <c r="H287" s="2" t="s">
        <v>47</v>
      </c>
      <c r="I287" s="2" t="s">
        <v>318</v>
      </c>
      <c r="J287" s="2" t="s">
        <v>49</v>
      </c>
      <c r="K287" s="2" t="s">
        <v>897</v>
      </c>
      <c r="L287" s="2" t="s">
        <v>59</v>
      </c>
      <c r="M287" s="2" t="s">
        <v>1115</v>
      </c>
      <c r="N287" s="2" t="s">
        <v>1116</v>
      </c>
      <c r="O287" s="2">
        <v>1.0</v>
      </c>
      <c r="Q287" s="2">
        <v>6.5</v>
      </c>
      <c r="R287" s="2" t="s">
        <v>71</v>
      </c>
      <c r="S287" s="2">
        <v>0.0</v>
      </c>
      <c r="T287" s="2">
        <v>0.0</v>
      </c>
      <c r="U287" s="2">
        <v>3.0</v>
      </c>
    </row>
    <row r="288" ht="15.75" customHeight="1">
      <c r="A288" s="2" t="s">
        <v>974</v>
      </c>
      <c r="B288" s="2" t="s">
        <v>1117</v>
      </c>
      <c r="C288" s="2" t="s">
        <v>1118</v>
      </c>
      <c r="D288" s="2">
        <v>2.0</v>
      </c>
      <c r="E288" s="2">
        <v>-0.817</v>
      </c>
      <c r="F288" s="2" t="s">
        <v>40</v>
      </c>
      <c r="G288" s="2">
        <v>0.817</v>
      </c>
      <c r="H288" s="2" t="s">
        <v>41</v>
      </c>
      <c r="I288" s="2" t="s">
        <v>167</v>
      </c>
      <c r="J288" s="2" t="s">
        <v>67</v>
      </c>
      <c r="K288" s="2" t="s">
        <v>1018</v>
      </c>
      <c r="L288" s="2" t="s">
        <v>1018</v>
      </c>
      <c r="M288" s="2" t="s">
        <v>1119</v>
      </c>
      <c r="N288" s="2" t="s">
        <v>1120</v>
      </c>
      <c r="O288" s="2">
        <v>1.0</v>
      </c>
      <c r="Q288" s="2">
        <v>6.5</v>
      </c>
      <c r="R288" s="2" t="s">
        <v>71</v>
      </c>
      <c r="S288" s="2">
        <v>0.0</v>
      </c>
      <c r="T288" s="2">
        <v>0.0</v>
      </c>
      <c r="U288" s="2">
        <v>3.0</v>
      </c>
    </row>
    <row r="289" ht="15.75" customHeight="1">
      <c r="A289" s="2" t="s">
        <v>974</v>
      </c>
      <c r="B289" s="2" t="s">
        <v>1121</v>
      </c>
      <c r="C289" s="2" t="s">
        <v>1122</v>
      </c>
      <c r="D289" s="2">
        <v>4.0</v>
      </c>
      <c r="E289" s="2">
        <v>-0.8968</v>
      </c>
      <c r="F289" s="2" t="s">
        <v>40</v>
      </c>
      <c r="G289" s="2">
        <v>0.8968</v>
      </c>
      <c r="H289" s="2" t="s">
        <v>41</v>
      </c>
      <c r="I289" s="2" t="s">
        <v>167</v>
      </c>
      <c r="J289" s="2" t="s">
        <v>67</v>
      </c>
      <c r="K289" s="2" t="s">
        <v>213</v>
      </c>
      <c r="L289" s="2" t="s">
        <v>213</v>
      </c>
      <c r="M289" s="2" t="s">
        <v>1123</v>
      </c>
      <c r="N289" s="2" t="s">
        <v>1124</v>
      </c>
      <c r="O289" s="2">
        <v>1.0</v>
      </c>
      <c r="Q289" s="2">
        <v>6.5</v>
      </c>
      <c r="R289" s="2" t="s">
        <v>38</v>
      </c>
      <c r="S289" s="2">
        <v>4.5</v>
      </c>
      <c r="T289" s="2">
        <v>0.0</v>
      </c>
      <c r="U289" s="2">
        <v>3.0</v>
      </c>
    </row>
    <row r="290" ht="15.75" customHeight="1">
      <c r="A290" s="2" t="s">
        <v>974</v>
      </c>
      <c r="B290" s="2" t="s">
        <v>1125</v>
      </c>
      <c r="C290" s="2" t="s">
        <v>1126</v>
      </c>
      <c r="D290" s="2">
        <v>2.0</v>
      </c>
      <c r="E290" s="2">
        <v>-0.7905</v>
      </c>
      <c r="F290" s="2" t="s">
        <v>40</v>
      </c>
      <c r="G290" s="2">
        <v>0.7905</v>
      </c>
      <c r="H290" s="2" t="s">
        <v>41</v>
      </c>
      <c r="I290" s="2" t="s">
        <v>167</v>
      </c>
      <c r="J290" s="2" t="s">
        <v>67</v>
      </c>
      <c r="K290" s="2" t="s">
        <v>893</v>
      </c>
      <c r="L290" s="2" t="s">
        <v>59</v>
      </c>
      <c r="M290" s="2" t="s">
        <v>1127</v>
      </c>
      <c r="N290" s="2" t="s">
        <v>1128</v>
      </c>
      <c r="O290" s="2">
        <v>1.0</v>
      </c>
      <c r="Q290" s="2">
        <v>8.5</v>
      </c>
      <c r="R290" s="2" t="s">
        <v>38</v>
      </c>
      <c r="S290" s="2">
        <v>6.5</v>
      </c>
      <c r="T290" s="2">
        <v>0.0</v>
      </c>
      <c r="U290" s="2">
        <v>3.0</v>
      </c>
    </row>
    <row r="291" ht="15.75" customHeight="1">
      <c r="A291" s="2" t="s">
        <v>974</v>
      </c>
      <c r="B291" s="2" t="s">
        <v>1129</v>
      </c>
      <c r="C291" s="2" t="s">
        <v>1130</v>
      </c>
      <c r="D291" s="2">
        <v>2.0</v>
      </c>
      <c r="E291" s="2">
        <v>-0.6581</v>
      </c>
      <c r="F291" s="2" t="s">
        <v>40</v>
      </c>
      <c r="G291" s="2">
        <v>0.6581</v>
      </c>
      <c r="H291" s="2" t="s">
        <v>41</v>
      </c>
      <c r="I291" s="2" t="s">
        <v>26</v>
      </c>
      <c r="J291" s="2" t="s">
        <v>67</v>
      </c>
      <c r="K291" s="2" t="s">
        <v>29</v>
      </c>
      <c r="L291" s="2" t="s">
        <v>29</v>
      </c>
      <c r="M291" s="2" t="s">
        <v>1131</v>
      </c>
      <c r="N291" s="2" t="s">
        <v>1132</v>
      </c>
      <c r="O291" s="2">
        <v>0.3542</v>
      </c>
      <c r="Q291" s="2">
        <v>8.0</v>
      </c>
      <c r="R291" s="2" t="s">
        <v>38</v>
      </c>
      <c r="S291" s="2">
        <v>2.0</v>
      </c>
      <c r="T291" s="2">
        <v>0.0</v>
      </c>
      <c r="U291" s="2">
        <v>3.0</v>
      </c>
    </row>
    <row r="292" ht="15.75" customHeight="1">
      <c r="A292" s="2" t="s">
        <v>974</v>
      </c>
      <c r="B292" s="2" t="s">
        <v>1133</v>
      </c>
      <c r="C292" s="2" t="s">
        <v>1134</v>
      </c>
      <c r="D292" s="2">
        <v>1.0</v>
      </c>
      <c r="E292" s="2">
        <v>0.0</v>
      </c>
      <c r="F292" s="2" t="s">
        <v>24</v>
      </c>
      <c r="G292" s="2">
        <v>0.5508</v>
      </c>
      <c r="H292" s="2" t="s">
        <v>76</v>
      </c>
      <c r="I292" s="2" t="s">
        <v>26</v>
      </c>
      <c r="J292" s="2" t="s">
        <v>77</v>
      </c>
      <c r="K292" s="2" t="s">
        <v>112</v>
      </c>
      <c r="L292" s="2" t="s">
        <v>112</v>
      </c>
      <c r="M292" s="2" t="s">
        <v>1135</v>
      </c>
      <c r="N292" s="2" t="s">
        <v>1136</v>
      </c>
      <c r="O292" s="2">
        <v>0.3476</v>
      </c>
      <c r="Q292" s="2">
        <v>8.5</v>
      </c>
      <c r="R292" s="2" t="s">
        <v>38</v>
      </c>
      <c r="S292" s="2">
        <v>2.5</v>
      </c>
      <c r="T292" s="2">
        <v>0.0</v>
      </c>
      <c r="U292" s="2">
        <v>3.0</v>
      </c>
    </row>
    <row r="293" ht="15.75" customHeight="1">
      <c r="A293" s="2" t="s">
        <v>974</v>
      </c>
      <c r="B293" s="2" t="s">
        <v>1137</v>
      </c>
      <c r="C293" s="2" t="s">
        <v>1138</v>
      </c>
      <c r="D293" s="2">
        <v>2.0</v>
      </c>
      <c r="E293" s="2">
        <v>-0.855</v>
      </c>
      <c r="F293" s="2" t="s">
        <v>40</v>
      </c>
      <c r="G293" s="2">
        <v>0.855</v>
      </c>
      <c r="H293" s="2" t="s">
        <v>41</v>
      </c>
      <c r="I293" s="2" t="s">
        <v>26</v>
      </c>
      <c r="J293" s="2" t="s">
        <v>67</v>
      </c>
      <c r="K293" s="2" t="s">
        <v>893</v>
      </c>
      <c r="L293" s="2" t="s">
        <v>59</v>
      </c>
      <c r="M293" s="2" t="s">
        <v>1139</v>
      </c>
      <c r="N293" s="2" t="s">
        <v>1140</v>
      </c>
      <c r="O293" s="2">
        <v>0.6826</v>
      </c>
      <c r="Q293" s="2">
        <v>8.5</v>
      </c>
      <c r="R293" s="2" t="s">
        <v>38</v>
      </c>
      <c r="S293" s="2">
        <v>5.5</v>
      </c>
      <c r="T293" s="2">
        <v>0.0</v>
      </c>
      <c r="U293" s="2">
        <v>3.0</v>
      </c>
    </row>
    <row r="294" ht="15.75" customHeight="1">
      <c r="A294" s="2" t="s">
        <v>974</v>
      </c>
      <c r="B294" s="2" t="s">
        <v>1141</v>
      </c>
      <c r="C294" s="2" t="s">
        <v>1142</v>
      </c>
      <c r="D294" s="2">
        <v>2.0</v>
      </c>
      <c r="E294" s="2">
        <v>-0.5559</v>
      </c>
      <c r="F294" s="2" t="s">
        <v>40</v>
      </c>
      <c r="G294" s="2">
        <v>0.5559</v>
      </c>
      <c r="H294" s="2" t="s">
        <v>41</v>
      </c>
      <c r="I294" s="2" t="s">
        <v>167</v>
      </c>
      <c r="J294" s="2" t="s">
        <v>67</v>
      </c>
      <c r="K294" s="2" t="s">
        <v>51</v>
      </c>
      <c r="L294" s="2" t="s">
        <v>51</v>
      </c>
      <c r="M294" s="2" t="s">
        <v>1143</v>
      </c>
      <c r="N294" s="2" t="s">
        <v>1144</v>
      </c>
      <c r="O294" s="2">
        <v>1.0</v>
      </c>
      <c r="Q294" s="2">
        <v>5.5</v>
      </c>
      <c r="R294" s="2" t="s">
        <v>71</v>
      </c>
      <c r="S294" s="2">
        <v>0.5</v>
      </c>
      <c r="T294" s="2">
        <v>0.0</v>
      </c>
      <c r="U294" s="2">
        <v>3.0</v>
      </c>
    </row>
    <row r="295" ht="15.75" customHeight="1">
      <c r="A295" s="2" t="s">
        <v>974</v>
      </c>
      <c r="B295" s="2" t="s">
        <v>1145</v>
      </c>
      <c r="C295" s="2" t="s">
        <v>1146</v>
      </c>
      <c r="D295" s="2">
        <v>2.0</v>
      </c>
      <c r="E295" s="2">
        <v>-0.6562</v>
      </c>
      <c r="F295" s="2" t="s">
        <v>40</v>
      </c>
      <c r="G295" s="2">
        <v>0.6562</v>
      </c>
      <c r="H295" s="2" t="s">
        <v>41</v>
      </c>
      <c r="I295" s="2" t="s">
        <v>26</v>
      </c>
      <c r="J295" s="2" t="s">
        <v>67</v>
      </c>
      <c r="K295" s="2" t="s">
        <v>1147</v>
      </c>
      <c r="L295" s="2" t="s">
        <v>59</v>
      </c>
      <c r="M295" s="2" t="s">
        <v>1148</v>
      </c>
      <c r="N295" s="2" t="s">
        <v>1149</v>
      </c>
      <c r="O295" s="2">
        <v>0.9759</v>
      </c>
      <c r="Q295" s="2">
        <v>8.5</v>
      </c>
      <c r="R295" s="2" t="s">
        <v>38</v>
      </c>
      <c r="S295" s="2">
        <v>6.5</v>
      </c>
      <c r="T295" s="2">
        <v>0.0</v>
      </c>
      <c r="U295" s="2">
        <v>3.0</v>
      </c>
    </row>
    <row r="296" ht="15.75" customHeight="1">
      <c r="A296" s="2" t="s">
        <v>974</v>
      </c>
      <c r="B296" s="2" t="s">
        <v>1150</v>
      </c>
      <c r="D296" s="2">
        <v>2.0</v>
      </c>
      <c r="E296" s="2">
        <v>-0.9613</v>
      </c>
      <c r="F296" s="2" t="s">
        <v>40</v>
      </c>
      <c r="G296" s="2">
        <v>0.9613</v>
      </c>
      <c r="H296" s="2" t="s">
        <v>41</v>
      </c>
      <c r="I296" s="2" t="s">
        <v>26</v>
      </c>
      <c r="J296" s="2" t="s">
        <v>42</v>
      </c>
      <c r="K296" s="2" t="s">
        <v>63</v>
      </c>
      <c r="L296" s="2" t="s">
        <v>63</v>
      </c>
      <c r="M296" s="2" t="s">
        <v>1151</v>
      </c>
      <c r="N296" s="2" t="s">
        <v>1152</v>
      </c>
      <c r="O296" s="2">
        <v>0.4599</v>
      </c>
      <c r="Q296" s="2">
        <v>2.0</v>
      </c>
      <c r="R296" s="2" t="s">
        <v>71</v>
      </c>
      <c r="S296" s="2">
        <v>2.0</v>
      </c>
      <c r="T296" s="2">
        <v>0.0</v>
      </c>
      <c r="U296" s="2">
        <v>3.0</v>
      </c>
    </row>
    <row r="297" ht="15.75" customHeight="1">
      <c r="A297" s="2" t="s">
        <v>974</v>
      </c>
      <c r="B297" s="2" t="s">
        <v>1153</v>
      </c>
      <c r="D297" s="2">
        <v>4.0</v>
      </c>
      <c r="E297" s="2">
        <v>-0.8138</v>
      </c>
      <c r="F297" s="2" t="s">
        <v>40</v>
      </c>
      <c r="G297" s="2">
        <v>0.8138</v>
      </c>
      <c r="H297" s="2" t="s">
        <v>41</v>
      </c>
      <c r="I297" s="2" t="s">
        <v>26</v>
      </c>
      <c r="J297" s="2" t="s">
        <v>67</v>
      </c>
      <c r="K297" s="2" t="s">
        <v>63</v>
      </c>
      <c r="L297" s="2" t="s">
        <v>63</v>
      </c>
      <c r="M297" s="2" t="s">
        <v>1154</v>
      </c>
      <c r="N297" s="2" t="s">
        <v>1155</v>
      </c>
      <c r="O297" s="2">
        <v>0.3774</v>
      </c>
      <c r="Q297" s="2">
        <v>8.5</v>
      </c>
      <c r="R297" s="2" t="s">
        <v>32</v>
      </c>
      <c r="S297" s="2">
        <v>1.5</v>
      </c>
      <c r="T297" s="2">
        <v>0.0</v>
      </c>
      <c r="U297" s="2">
        <v>3.0</v>
      </c>
    </row>
    <row r="298" ht="15.75" customHeight="1">
      <c r="A298" s="2" t="s">
        <v>974</v>
      </c>
      <c r="B298" s="2" t="s">
        <v>1156</v>
      </c>
      <c r="D298" s="2">
        <v>2.0</v>
      </c>
      <c r="E298" s="2">
        <v>-0.9766</v>
      </c>
      <c r="F298" s="2" t="s">
        <v>40</v>
      </c>
      <c r="G298" s="2">
        <v>0.9766</v>
      </c>
      <c r="H298" s="2" t="s">
        <v>41</v>
      </c>
      <c r="I298" s="2" t="s">
        <v>836</v>
      </c>
      <c r="J298" s="2" t="s">
        <v>67</v>
      </c>
      <c r="K298" s="2" t="s">
        <v>59</v>
      </c>
      <c r="L298" s="2" t="s">
        <v>59</v>
      </c>
      <c r="M298" s="2" t="s">
        <v>1157</v>
      </c>
      <c r="N298" s="2" t="s">
        <v>1158</v>
      </c>
      <c r="O298" s="2">
        <v>1.0</v>
      </c>
      <c r="Q298" s="2">
        <v>3.0</v>
      </c>
      <c r="R298" s="2" t="s">
        <v>71</v>
      </c>
      <c r="S298" s="2">
        <v>0.0</v>
      </c>
      <c r="T298" s="2">
        <v>0.0</v>
      </c>
      <c r="U298" s="2">
        <v>3.0</v>
      </c>
    </row>
    <row r="299" ht="15.75" customHeight="1">
      <c r="A299" s="2" t="s">
        <v>974</v>
      </c>
      <c r="B299" s="2" t="s">
        <v>1159</v>
      </c>
      <c r="D299" s="2">
        <v>3.0</v>
      </c>
      <c r="E299" s="2">
        <v>-0.738</v>
      </c>
      <c r="F299" s="2" t="s">
        <v>40</v>
      </c>
      <c r="G299" s="2">
        <v>0.738</v>
      </c>
      <c r="H299" s="2" t="s">
        <v>104</v>
      </c>
      <c r="I299" s="2" t="s">
        <v>26</v>
      </c>
      <c r="J299" s="2" t="s">
        <v>105</v>
      </c>
      <c r="K299" s="2" t="s">
        <v>59</v>
      </c>
      <c r="L299" s="2" t="s">
        <v>59</v>
      </c>
      <c r="M299" s="2" t="s">
        <v>1160</v>
      </c>
      <c r="N299" s="2" t="s">
        <v>1161</v>
      </c>
      <c r="O299" s="2">
        <v>0.274</v>
      </c>
      <c r="Q299" s="2">
        <v>6.0</v>
      </c>
      <c r="R299" s="2" t="s">
        <v>38</v>
      </c>
      <c r="S299" s="2">
        <v>5.0</v>
      </c>
      <c r="T299" s="2">
        <v>0.0</v>
      </c>
      <c r="U299" s="2">
        <v>3.0</v>
      </c>
    </row>
    <row r="300" ht="15.75" customHeight="1">
      <c r="A300" s="2" t="s">
        <v>974</v>
      </c>
      <c r="B300" s="2" t="s">
        <v>1162</v>
      </c>
      <c r="D300" s="2">
        <v>1.0</v>
      </c>
      <c r="E300" s="2">
        <v>-0.8651</v>
      </c>
      <c r="F300" s="2" t="s">
        <v>40</v>
      </c>
      <c r="G300" s="2">
        <v>0.8651</v>
      </c>
      <c r="H300" s="2" t="s">
        <v>76</v>
      </c>
      <c r="I300" s="2" t="s">
        <v>26</v>
      </c>
      <c r="J300" s="2" t="s">
        <v>77</v>
      </c>
      <c r="K300" s="2" t="s">
        <v>43</v>
      </c>
      <c r="L300" s="2" t="s">
        <v>43</v>
      </c>
      <c r="M300" s="2" t="s">
        <v>1163</v>
      </c>
      <c r="N300" s="2" t="s">
        <v>1164</v>
      </c>
      <c r="O300" s="2">
        <v>0.3558</v>
      </c>
      <c r="Q300" s="2">
        <v>2.0</v>
      </c>
      <c r="R300" s="2" t="s">
        <v>71</v>
      </c>
      <c r="S300" s="2">
        <v>1.0</v>
      </c>
      <c r="T300" s="2">
        <v>0.0</v>
      </c>
      <c r="U300" s="2">
        <v>3.0</v>
      </c>
    </row>
    <row r="301" ht="15.75" customHeight="1">
      <c r="A301" s="2" t="s">
        <v>974</v>
      </c>
      <c r="B301" s="2" t="s">
        <v>1165</v>
      </c>
      <c r="D301" s="2">
        <v>2.0</v>
      </c>
      <c r="E301" s="2">
        <v>-0.7783</v>
      </c>
      <c r="F301" s="2" t="s">
        <v>40</v>
      </c>
      <c r="G301" s="2">
        <v>0.7783</v>
      </c>
      <c r="H301" s="2" t="s">
        <v>41</v>
      </c>
      <c r="I301" s="2" t="s">
        <v>26</v>
      </c>
      <c r="J301" s="2" t="s">
        <v>67</v>
      </c>
      <c r="K301" s="2" t="s">
        <v>29</v>
      </c>
      <c r="L301" s="2" t="s">
        <v>29</v>
      </c>
      <c r="M301" s="2" t="s">
        <v>1166</v>
      </c>
      <c r="N301" s="2" t="s">
        <v>1167</v>
      </c>
      <c r="O301" s="2">
        <v>0.7658</v>
      </c>
      <c r="Q301" s="2">
        <v>2.5</v>
      </c>
      <c r="R301" s="2" t="s">
        <v>71</v>
      </c>
      <c r="S301" s="2">
        <v>0.5</v>
      </c>
      <c r="T301" s="2">
        <v>0.0</v>
      </c>
      <c r="U301" s="2">
        <v>3.0</v>
      </c>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3.13"/>
    <col customWidth="1" min="5" max="5" width="15.63"/>
    <col customWidth="1" min="6" max="6" width="12.63"/>
    <col customWidth="1" min="7" max="7" width="15.63"/>
    <col customWidth="1" min="10" max="10" width="23.0"/>
    <col customWidth="1" min="15" max="15" width="15.0"/>
    <col customWidth="1" min="20" max="20" width="15.25"/>
    <col customWidth="1" min="30" max="30" width="16.0"/>
    <col customWidth="1" min="34" max="34" width="16.5"/>
  </cols>
  <sheetData>
    <row r="1" ht="31.5" customHeight="1">
      <c r="A1" s="3" t="str">
        <f>IFERROR(__xludf.DUMMYFUNCTION("QUERY(DATA_RAW!A:U, ""SELECT * WHERE A IS NOT NULL"", 1)"),"source")</f>
        <v>source</v>
      </c>
      <c r="B1" s="3" t="str">
        <f>IFERROR(__xludf.DUMMYFUNCTION("""COMPUTED_VALUE"""),"title")</f>
        <v>title</v>
      </c>
      <c r="C1" s="4" t="str">
        <f>IFERROR(__xludf.DUMMYFUNCTION("""COMPUTED_VALUE"""),"date")</f>
        <v>date</v>
      </c>
      <c r="D1" s="5" t="str">
        <f>IFERROR(__xludf.DUMMYFUNCTION("""COMPUTED_VALUE"""),"severity_level")</f>
        <v>severity_level</v>
      </c>
      <c r="E1" s="6" t="str">
        <f>IFERROR(__xludf.DUMMYFUNCTION("""COMPUTED_VALUE"""),"sentiment_polarity")</f>
        <v>sentiment_polarity</v>
      </c>
      <c r="F1" s="3" t="str">
        <f>IFERROR(__xludf.DUMMYFUNCTION("""COMPUTED_VALUE"""),"sentiment_label")</f>
        <v>sentiment_label</v>
      </c>
      <c r="G1" s="6" t="str">
        <f>IFERROR(__xludf.DUMMYFUNCTION("""COMPUTED_VALUE"""),"sentiment_score")</f>
        <v>sentiment_score</v>
      </c>
      <c r="H1" s="3" t="str">
        <f>IFERROR(__xludf.DUMMYFUNCTION("""COMPUTED_VALUE"""),"topic")</f>
        <v>topic</v>
      </c>
      <c r="I1" s="3" t="str">
        <f>IFERROR(__xludf.DUMMYFUNCTION("""COMPUTED_VALUE"""),"keywords")</f>
        <v>keywords</v>
      </c>
      <c r="J1" s="3" t="str">
        <f>IFERROR(__xludf.DUMMYFUNCTION("""COMPUTED_VALUE"""),"recommendation_for_comms")</f>
        <v>recommendation_for_comms</v>
      </c>
      <c r="K1" s="3" t="str">
        <f>IFERROR(__xludf.DUMMYFUNCTION("""COMPUTED_VALUE"""),"city_detected")</f>
        <v>city_detected</v>
      </c>
      <c r="L1" s="3" t="str">
        <f>IFERROR(__xludf.DUMMYFUNCTION("""COMPUTED_VALUE"""),"state_detected")</f>
        <v>state_detected</v>
      </c>
      <c r="M1" s="3" t="str">
        <f>IFERROR(__xludf.DUMMYFUNCTION("""COMPUTED_VALUE"""),"url")</f>
        <v>url</v>
      </c>
      <c r="N1" s="3" t="str">
        <f>IFERROR(__xludf.DUMMYFUNCTION("""COMPUTED_VALUE"""),"text")</f>
        <v>text</v>
      </c>
      <c r="O1" s="6" t="str">
        <f>IFERROR(__xludf.DUMMYFUNCTION("""COMPUTED_VALUE"""),"topic_confidence")</f>
        <v>topic_confidence</v>
      </c>
      <c r="P1" s="3" t="str">
        <f>IFERROR(__xludf.DUMMYFUNCTION("""COMPUTED_VALUE"""),"apps_detected")</f>
        <v>apps_detected</v>
      </c>
      <c r="Q1" s="7" t="str">
        <f>IFERROR(__xludf.DUMMYFUNCTION("""COMPUTED_VALUE"""),"geo_score")</f>
        <v>geo_score</v>
      </c>
      <c r="R1" s="3" t="str">
        <f>IFERROR(__xludf.DUMMYFUNCTION("""COMPUTED_VALUE"""),"geo_confidence")</f>
        <v>geo_confidence</v>
      </c>
      <c r="S1" s="7" t="str">
        <f>IFERROR(__xludf.DUMMYFUNCTION("""COMPUTED_VALUE"""),"geo_gap")</f>
        <v>geo_gap</v>
      </c>
      <c r="T1" s="7" t="str">
        <f>IFERROR(__xludf.DUMMYFUNCTION("""COMPUTED_VALUE"""),"didi_focus_score")</f>
        <v>didi_focus_score</v>
      </c>
      <c r="U1" s="5" t="str">
        <f>IFERROR(__xludf.DUMMYFUNCTION("""COMPUTED_VALUE"""),"media_tier")</f>
        <v>media_tier</v>
      </c>
      <c r="V1" s="8" t="str">
        <f t="array" ref="V1:V801">IF(ROW(A:A)=1, "year", IF(Y:Y="", "", YEAR(Y:Y)))</f>
        <v>year</v>
      </c>
      <c r="W1" s="9" t="str">
        <f t="array" ref="W1:W801">IF(ROW(A:A)=1, "month", IF(C:C="", "", TEXT(C:C, "MMMM")))</f>
        <v>month</v>
      </c>
      <c r="X1" s="9" t="str">
        <f t="array" ref="X1:X801">IF(ROW(A:A)=1, "weekday", IF(C:C="", "", TEXT(C:C, "dddd")))</f>
        <v>weekday</v>
      </c>
      <c r="Y1" s="10" t="str">
        <f t="array" ref="Y1:Y801">IF(ROW(A:A)=1, "date_fixed", IF((C:C="Sin Fecha") + (C:C=""), , C:C))</f>
        <v>date_fixed</v>
      </c>
      <c r="Z1" s="8" t="str">
        <f t="array" ref="Z1:Z801">IF(ROW(A:A)=1, "is_didi", IF(ISNUMBER(SEARCH("DiDi", P:P)), 1, 0))</f>
        <v>is_didi</v>
      </c>
      <c r="AA1" s="8" t="str">
        <f t="array" ref="AA1:AA801">IF(ROW(A:A)=1, "is_uber", IF(ISNUMBER(SEARCH("Uber", P:P)), 1, 0))</f>
        <v>is_uber</v>
      </c>
      <c r="AB1" s="8" t="str">
        <f t="array" ref="AB1:AB801">IF(ROW(A:A)=1, "is_indrive", IF(ISNUMBER(SEARCH("InDrive", P:P)), 1, 0))</f>
        <v>is_indrive</v>
      </c>
      <c r="AC1" s="8" t="str">
        <f t="array" ref="AC1:AC801">IF(ROW(A:A)=1, "is_cabify", IF(ISNUMBER(SEARCH("Cabify", P:P)), 1, 0))</f>
        <v>is_cabify</v>
      </c>
      <c r="AD1" s="9" t="str">
        <f t="array" ref="AD1:AD801">IF(ROW(A:A)=1, "weighted_impact", E:E * T:T * U:U)</f>
        <v>weighted_impact</v>
      </c>
      <c r="AE1" s="9" t="str">
        <f t="array" ref="AE1:AE801">IF(ROW(A:A)=1, "is_critical", IF(D:D &gt;= 4, 1, 0))</f>
        <v>is_critical</v>
      </c>
      <c r="AF1" s="9" t="str">
        <f t="array" ref="AF1:AF801">IF(ROW(A:A)=1, "month_index", IF(Y:Y="", "", MONTH(Y:Y)))</f>
        <v>month_index</v>
      </c>
      <c r="AG1" s="9" t="str">
        <f t="array" ref="AG1:AG801">IF(ROW(A:A)=1, "location_full", IF(K:K="", "", K:K &amp; ", " &amp; L:L &amp; ", Mexico"))</f>
        <v>location_full</v>
      </c>
      <c r="AH1" s="9" t="str">
        <f t="array" ref="AH1:AH801">IF(ROW(A:A)=1, "competitor_presence", IF((AA:AA + AB:AB + AC:AC) &gt; 0, 1, 0))</f>
        <v>competitor_presence</v>
      </c>
      <c r="AI1" s="11"/>
      <c r="AJ1" s="11"/>
      <c r="AK1" s="11"/>
    </row>
    <row r="2" ht="15.75" customHeight="1">
      <c r="A2" s="2" t="str">
        <f>IFERROR(__xludf.DUMMYFUNCTION("""COMPUTED_VALUE"""),"El Universal")</f>
        <v>El Universal</v>
      </c>
      <c r="B2" s="12" t="str">
        <f>IFERROR(__xludf.DUMMYFUNCTION("""COMPUTED_VALUE"""),"Hallan cuerpos de seis personas ""levantadas"" en bares de Villaflores, Chiapas; operativo deja cuatro detenidos")</f>
        <v>Hallan cuerpos de seis personas "levantadas" en bares de Villaflores, Chiapas; operativo deja cuatro detenidos</v>
      </c>
      <c r="C2" s="13" t="str">
        <f>IFERROR(__xludf.DUMMYFUNCTION("""COMPUTED_VALUE"""),"2025-12-29")</f>
        <v>2025-12-29</v>
      </c>
      <c r="D2" s="14">
        <f>IFERROR(__xludf.DUMMYFUNCTION("""COMPUTED_VALUE"""),4.0)</f>
        <v>4</v>
      </c>
      <c r="E2" s="15">
        <f>IFERROR(__xludf.DUMMYFUNCTION("""COMPUTED_VALUE"""),0.0)</f>
        <v>0</v>
      </c>
      <c r="F2" s="2" t="str">
        <f>IFERROR(__xludf.DUMMYFUNCTION("""COMPUTED_VALUE"""),"Neutral")</f>
        <v>Neutral</v>
      </c>
      <c r="G2" s="15">
        <f>IFERROR(__xludf.DUMMYFUNCTION("""COMPUTED_VALUE"""),0.5816)</f>
        <v>0.5816</v>
      </c>
      <c r="H2" s="2" t="str">
        <f>IFERROR(__xludf.DUMMYFUNCTION("""COMPUTED_VALUE"""),"Operativo policial o detención")</f>
        <v>Operativo policial o detención</v>
      </c>
      <c r="I2" s="2" t="str">
        <f>IFERROR(__xludf.DUMMYFUNCTION("""COMPUTED_VALUE"""),"N/A")</f>
        <v>N/A</v>
      </c>
      <c r="J2" s="2" t="str">
        <f>IFERROR(__xludf.DUMMYFUNCTION("""COMPUTED_VALUE"""),"Monitoreo general.")</f>
        <v>Monitoreo general.</v>
      </c>
      <c r="K2" s="2" t="str">
        <f>IFERROR(__xludf.DUMMYFUNCTION("""COMPUTED_VALUE"""),"Tuxtla Gutiérrez")</f>
        <v>Tuxtla Gutiérrez</v>
      </c>
      <c r="L2" s="2" t="str">
        <f>IFERROR(__xludf.DUMMYFUNCTION("""COMPUTED_VALUE"""),"Chiapas")</f>
        <v>Chiapas</v>
      </c>
      <c r="M2" s="16" t="str">
        <f>IFERROR(__xludf.DUMMYFUNCTION("""COMPUTED_VALUE"""),"https://www.eluniversal.com.mx/estados/hallan-cuerpos-de-seis-personas-levantadas-en-bares-de-villaflores-chiapas-operativo-deja-cuatro-detenidos/")</f>
        <v>https://www.eluniversal.com.mx/estados/hallan-cuerpos-de-seis-personas-levantadas-en-bares-de-villaflores-chiapas-operativo-deja-cuatro-detenidos/</v>
      </c>
      <c r="N2" s="2" t="str">
        <f>IFERROR(__xludf.DUMMYFUNCTION("""COMPUTED_VALUE"""),"TUXTLA GUTIÉRREZ. CHIS.- Los cuerpos de los seis ""levantados"" en bares deVillaflores, fueronhalladoseste lunes, informó el fiscal general del estado, Jorge Luis Llaven Abarca. El fiscal informó que los cuerpos de los hombres fueron hallados en la comuni"&amp;"dad Santa Julia, municipio de Cintalapa, jurisdicción que limita con Oaxaca. Durante el operativo fuerondetenidos cuatro hombres, y aseguradas diversas armas de fuego, cargadores, ropa táctica y vehículos. Los cuerpos de las seis víctimas son trasladados "&amp;"al servicio médico forense para realizar las diligencias periciales correspondientes para suidentificación. Fueron localizados después de ""un intensooperativo"" de búsquedadesplegado en coordinación con la Secretaría de la Defensa Nacional y la Secretarí"&amp;"a de Seguridad del Pueblo, indicó el fiscal general. La madrugada del pasado miércoles,hombres armadosplagiaron a ocho personas durante la que quema de dos bares y de tres vehículos en la cabecera municipal de Villaflores.[Publicidad] La Fiscalía General "&amp;"de Chiapas informó el jueves sobre el hallazgo del cuerpo de Sergio Enrique Pereda Tamayo, y del rescate con vida de otra persona.[Publicidad] Ese día fueron detenidos también siete personas, presuntamente involucradas en los hechos violentos, y asegurada"&amp;"s dosarmascortas, un arma larga y ocho vehículos. Jorge Luis Llaven Abarca informó que se recibieron ocho denuncias en total depersonas desaparecidas, identificadas como Sergio Enrique Pereda Tamayo, quien fue localizado muerto a causa de un balazo en la "&amp;"pierna izquierda; José Armando Coutiño Ruíz; Luis Rubiel Constantino Rodríguez. Así como José Ángel Martínez Marina, Fernando Daniel García Pérez, Juan Ovani Camilo Girón, Mauricio Camilo Girón y Luis Fernando Fernández Ramírez . En el ataque fueron lesio"&amp;"nadas tres mujeres que trabajaban en los bares, identificadas como Nayeli, Citlaly y Yazmín, reportadas como estables en los hospitales donde son atendidas. Fuerzas de seguridad estatales refuerzan sus operativos en los límites de Chiapas con Oaxaca, como"&amp;" parte del despliegue para localizar a seispersonas ""levantadas""por hombres armados que la madrugada del miércoles quemaron dos bares y tres vehículos en la cabecera municipal de Villaflores. Oscar Alberto Aparicio Avendaño, secretario de Seguridad del "&amp;"Pueblo, informó que se reforzó la presencia operativa en aquella región con despliegue de grupos especiales, labores de inteligencia táctica y capacidades estratégicas, con el objetivo de fortalecer las tareas de localización, vigilancia y control territo"&amp;"rial. Las acciones, indicó el mando policíaco, se desarrollan de manera coordinada entre la Fiscalía General del Estado, la federal Secretaría de Seguridad y Protección Ciudadana, la Secretaría de la Defensa Nacional y la Guardia Nacional. Se suman además"&amp;", autoridades oaxaqueñas. Los trabajos de seguridad se centran principalmente en Cintalapa de Figueroa y zona de Los Chimalapas, ubicado en la línea divisoria de Chiapas y el vecino estado. Se tiene presencia institucional permanente y control operativo, "&amp;"enfatizó Aparicio Avendaño. El gobierno estatal mantiene su responsabilidad de garantizar el orden y la seguridad en esa región estratégica, agregó. El objetivo principal es localizar a las personas desaparecidas, y a cada momento proteger la vida de la p"&amp;"oblación y contribuir a la recuperación de la tranquilidad social. Esas acciones continuarán hasta cumplir con los objetivos establecidos, destacó el titular de Seguridad. Copyright © Todos los derechos reservados | EL UNIVERSAL, Compañía Periodística Nac"&amp;"ional. De no existir previa autorización, queda expresamente prohibida la Publicación, retransmisión, edición y cualquier otro uso de los contenidos Al navegar en este sitio aceptas las cookies que utilizamos para mejorar tu experiencia")</f>
        <v>TUXTLA GUTIÉRREZ. CHIS.- Los cuerpos de los seis "levantados" en bares deVillaflores, fueronhalladoseste lunes, informó el fiscal general del estado, Jorge Luis Llaven Abarca. El fiscal informó que los cuerpos de los hombres fueron hallados en la comunidad Santa Julia, municipio de Cintalapa, jurisdicción que limita con Oaxaca. Durante el operativo fuerondetenidos cuatro hombres, y aseguradas diversas armas de fuego, cargadores, ropa táctica y vehículos. Los cuerpos de las seis víctimas son trasladados al servicio médico forense para realizar las diligencias periciales correspondientes para suidentificación. Fueron localizados después de "un intensooperativo" de búsquedadesplegado en coordinación con la Secretaría de la Defensa Nacional y la Secretaría de Seguridad del Pueblo, indicó el fiscal general. La madrugada del pasado miércoles,hombres armadosplagiaron a ocho personas durante la que quema de dos bares y de tres vehículos en la cabecera municipal de Villaflores.[Publicidad] La Fiscalía General de Chiapas informó el jueves sobre el hallazgo del cuerpo de Sergio Enrique Pereda Tamayo, y del rescate con vida de otra persona.[Publicidad] Ese día fueron detenidos también siete personas, presuntamente involucradas en los hechos violentos, y aseguradas dosarmascortas, un arma larga y ocho vehículos. Jorge Luis Llaven Abarca informó que se recibieron ocho denuncias en total depersonas desaparecidas, identificadas como Sergio Enrique Pereda Tamayo, quien fue localizado muerto a causa de un balazo en la pierna izquierda; José Armando Coutiño Ruíz; Luis Rubiel Constantino Rodríguez. Así como José Ángel Martínez Marina, Fernando Daniel García Pérez, Juan Ovani Camilo Girón, Mauricio Camilo Girón y Luis Fernando Fernández Ramírez . En el ataque fueron lesionadas tres mujeres que trabajaban en los bares, identificadas como Nayeli, Citlaly y Yazmín, reportadas como estables en los hospitales donde son atendidas. Fuerzas de seguridad estatales refuerzan sus operativos en los límites de Chiapas con Oaxaca, como parte del despliegue para localizar a seispersonas "levantadas"por hombres armados que la madrugada del miércoles quemaron dos bares y tres vehículos en la cabecera municipal de Villaflores. Oscar Alberto Aparicio Avendaño, secretario de Seguridad del Pueblo, informó que se reforzó la presencia operativa en aquella región con despliegue de grupos especiales, labores de inteligencia táctica y capacidades estratégicas, con el objetivo de fortalecer las tareas de localización, vigilancia y control territorial. Las acciones, indicó el mando policíaco, se desarrollan de manera coordinada entre la Fiscalía General del Estado, la federal Secretaría de Seguridad y Protección Ciudadana, la Secretaría de la Defensa Nacional y la Guardia Nacional. Se suman además, autoridades oaxaqueñas. Los trabajos de seguridad se centran principalmente en Cintalapa de Figueroa y zona de Los Chimalapas, ubicado en la línea divisoria de Chiapas y el vecino estado. Se tiene presencia institucional permanente y control operativo, enfatizó Aparicio Avendaño. El gobierno estatal mantiene su responsabilidad de garantizar el orden y la seguridad en esa región estratégica, agregó. El objetivo principal es localizar a las personas desaparecidas, y a cada momento proteger la vida de la población y contribuir a la recuperación de la tranquilidad social. Esas acciones continuarán hasta cumplir con los objetivos establecidos, destacó el titular de Seguridad.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 s="15">
        <f>IFERROR(__xludf.DUMMYFUNCTION("""COMPUTED_VALUE"""),0.7949)</f>
        <v>0.7949</v>
      </c>
      <c r="P2" s="2"/>
      <c r="Q2" s="17">
        <f>IFERROR(__xludf.DUMMYFUNCTION("""COMPUTED_VALUE"""),8.0)</f>
        <v>8</v>
      </c>
      <c r="R2" s="2" t="str">
        <f>IFERROR(__xludf.DUMMYFUNCTION("""COMPUTED_VALUE"""),"Medium")</f>
        <v>Medium</v>
      </c>
      <c r="S2" s="17">
        <f>IFERROR(__xludf.DUMMYFUNCTION("""COMPUTED_VALUE"""),1.5)</f>
        <v>1.5</v>
      </c>
      <c r="T2" s="17">
        <f>IFERROR(__xludf.DUMMYFUNCTION("""COMPUTED_VALUE"""),0.0)</f>
        <v>0</v>
      </c>
      <c r="U2" s="14">
        <f>IFERROR(__xludf.DUMMYFUNCTION("""COMPUTED_VALUE"""),3.0)</f>
        <v>3</v>
      </c>
      <c r="V2" s="14">
        <v>2025.0</v>
      </c>
      <c r="W2" s="2" t="s">
        <v>1168</v>
      </c>
      <c r="X2" s="2" t="s">
        <v>1169</v>
      </c>
      <c r="Y2" s="13" t="s">
        <v>23</v>
      </c>
      <c r="Z2" s="14">
        <v>0.0</v>
      </c>
      <c r="AA2" s="14">
        <v>0.0</v>
      </c>
      <c r="AB2" s="14">
        <v>0.0</v>
      </c>
      <c r="AC2" s="14">
        <v>0.0</v>
      </c>
      <c r="AD2" s="2">
        <v>0.0</v>
      </c>
      <c r="AE2" s="2">
        <v>1.0</v>
      </c>
      <c r="AF2" s="2">
        <v>12.0</v>
      </c>
      <c r="AG2" s="2" t="s">
        <v>1170</v>
      </c>
      <c r="AH2" s="2">
        <v>0.0</v>
      </c>
    </row>
    <row r="3" ht="15.75" customHeight="1">
      <c r="A3" s="2" t="str">
        <f>IFERROR(__xludf.DUMMYFUNCTION("""COMPUTED_VALUE"""),"El Universal")</f>
        <v>El Universal</v>
      </c>
      <c r="B3" s="12" t="str">
        <f>IFERROR(__xludf.DUMMYFUNCTION("""COMPUTED_VALUE"""),"Investigan a Juez de Control por presunta agresión a su pareja en Cancún; solicitan su separación temporal del cargo")</f>
        <v>Investigan a Juez de Control por presunta agresión a su pareja en Cancún; solicitan su separación temporal del cargo</v>
      </c>
      <c r="C3" s="13" t="str">
        <f>IFERROR(__xludf.DUMMYFUNCTION("""COMPUTED_VALUE"""),"2025-12-29")</f>
        <v>2025-12-29</v>
      </c>
      <c r="D3" s="14">
        <f>IFERROR(__xludf.DUMMYFUNCTION("""COMPUTED_VALUE"""),4.0)</f>
        <v>4</v>
      </c>
      <c r="E3" s="15">
        <f>IFERROR(__xludf.DUMMYFUNCTION("""COMPUTED_VALUE"""),0.0)</f>
        <v>0</v>
      </c>
      <c r="F3" s="2" t="str">
        <f>IFERROR(__xludf.DUMMYFUNCTION("""COMPUTED_VALUE"""),"Neutral")</f>
        <v>Neutral</v>
      </c>
      <c r="G3" s="15">
        <f>IFERROR(__xludf.DUMMYFUNCTION("""COMPUTED_VALUE"""),0.4838)</f>
        <v>0.4838</v>
      </c>
      <c r="H3" s="2" t="str">
        <f>IFERROR(__xludf.DUMMYFUNCTION("""COMPUTED_VALUE"""),"Operativo policial o detención")</f>
        <v>Operativo policial o detención</v>
      </c>
      <c r="I3" s="2" t="str">
        <f>IFERROR(__xludf.DUMMYFUNCTION("""COMPUTED_VALUE"""),"N/A")</f>
        <v>N/A</v>
      </c>
      <c r="J3" s="2" t="str">
        <f>IFERROR(__xludf.DUMMYFUNCTION("""COMPUTED_VALUE"""),"Monitoreo general.")</f>
        <v>Monitoreo general.</v>
      </c>
      <c r="K3" s="2" t="str">
        <f>IFERROR(__xludf.DUMMYFUNCTION("""COMPUTED_VALUE"""),"Cancún")</f>
        <v>Cancún</v>
      </c>
      <c r="L3" s="2" t="str">
        <f>IFERROR(__xludf.DUMMYFUNCTION("""COMPUTED_VALUE"""),"Quintana Roo")</f>
        <v>Quintana Roo</v>
      </c>
      <c r="M3" s="16" t="str">
        <f>IFERROR(__xludf.DUMMYFUNCTION("""COMPUTED_VALUE"""),"https://www.eluniversal.com.mx/estados/investigan-a-juez-de-control-por-presunta-agresion-a-su-pareja-en-cancun-solicitan-su-separacion-temporal-del-cargo/")</f>
        <v>https://www.eluniversal.com.mx/estados/investigan-a-juez-de-control-por-presunta-agresion-a-su-pareja-en-cancun-solicitan-su-separacion-temporal-del-cargo/</v>
      </c>
      <c r="N3" s="2" t="str">
        <f>IFERROR(__xludf.DUMMYFUNCTION("""COMPUTED_VALUE"""),"El Poder Judicial de Quintana Roo inició una investigación administrativa contra el juez de Control en materia penal,Jonathan Yong Mendoza, y solicitó al Tribunal de Disciplina Judicial (TDJ), seasuspendido temporalmente de sus funcionescomo medida cautel"&amp;"ar, en tanto se esclarece lo ocurrido la noche del pasado 24 de diciembre, cuando presuntamenteagredió a su parejay portaba un arma de fuego, al encontrarse ambos en el fraccionamiento Palmaris, en la ciudad de Cancún. Los hechos quedaron plasmados en imá"&amp;"genes difundidas a través de redes sociales y motivaron quecolectivas feministasexigieran la destitución del juzgador. Dos días después, la agresión fuedenunciada de forma anónimaa través del sistema electrónico institucional del Poder Judicial estatal y "&amp;"fue sustentada con las imágenes correspondientes. Con base en dicha denuncia, el Órgano de Investigación de Responsabilidades Administrativas del Poder Judicial inició las diligencias correspondientes para el análisis del caso. Además, como parte del proc"&amp;"edimiento, solicitó al Tribunal de Disciplina Judicial –figura de reciente creación a partir de la reforma al Poder Judicial– la aplicación de una medida cautelar consistente en la suspensión temporal de funciones de Yong Mendoza, con el objetivo de prote"&amp;"ger el interés público ygarantizar que la investigaciónse desarrolle con responsabilidad, transparencia y apego a la ley. El Poder Judicial precisó que la medida solicitada no constituye una sanción definitiva, sino una acción preventiva mientras se recab"&amp;"an los elementos necesarios para determinar si existen responsabilidades administrativas conforme a la normatividad vigente y, en su caso, presentar la acusación correspondiente.[Publicidad] La institución subrayó que la conducta de quienes imparten justi"&amp;"cia “debe ser intachable, dentro y fuera de los tribunales, sin limitarse a horarios de trabajo y en coherencia con el compromiso permanente con la sociedad”.[Publicidad] Por separado, el colectivo Femenil Xtabay pidió públicamente al Poder Judicial y a l"&amp;"a gobernadora de Quintana Roo, “Mara” Lezama, que se aplique al juzgador la Ley 3 de 3, y que se inicie una investigación paradeterminar la responsabilidadadministrativa del funcionario que suspende los derechos para ocupar cargos. La demanda incluye un e"&amp;"xhorto a la mujer víctima del presunto ataque, para que interponga la denuncia correspondiente. Al respecto, vale aclarar que la aplicación de la Ley 3 de 3 –resultado de la homologación de reformas aprobadas por la Legislatura de Quintana Roo– depende de"&amp;" que se tenga una sentencia firme dictada sobre aquel funcionario que haya cometido algunaagresión sexualy acto de violencia o seadeudor alimentario. Lo anterior implica que no es posible aún aplicar dicha disposición al juzgador, pues apenas se inició la"&amp;" investigación del caso. Dicho Tribunal sesionará mañana y tendrá que determinar si separa o no del cargo –temporalmente– al funcionario, sin que ello implique una sentencia firme. Copyright © Todos los derechos reservados | EL UNIVERSAL, Compañía Periodí"&amp;"stica Nacional. De no existir previa autorización, queda expresamente prohibida la Publicación, retransmisión, edición y cualquier otro uso de los contenidos Al navegar en este sitio aceptas las cookies que utilizamos para mejorar tu experiencia")</f>
        <v>El Poder Judicial de Quintana Roo inició una investigación administrativa contra el juez de Control en materia penal,Jonathan Yong Mendoza, y solicitó al Tribunal de Disciplina Judicial (TDJ), seasuspendido temporalmente de sus funcionescomo medida cautelar, en tanto se esclarece lo ocurrido la noche del pasado 24 de diciembre, cuando presuntamenteagredió a su parejay portaba un arma de fuego, al encontrarse ambos en el fraccionamiento Palmaris, en la ciudad de Cancún. Los hechos quedaron plasmados en imágenes difundidas a través de redes sociales y motivaron quecolectivas feministasexigieran la destitución del juzgador. Dos días después, la agresión fuedenunciada de forma anónimaa través del sistema electrónico institucional del Poder Judicial estatal y fue sustentada con las imágenes correspondientes. Con base en dicha denuncia, el Órgano de Investigación de Responsabilidades Administrativas del Poder Judicial inició las diligencias correspondientes para el análisis del caso. Además, como parte del procedimiento, solicitó al Tribunal de Disciplina Judicial –figura de reciente creación a partir de la reforma al Poder Judicial– la aplicación de una medida cautelar consistente en la suspensión temporal de funciones de Yong Mendoza, con el objetivo de proteger el interés público ygarantizar que la investigaciónse desarrolle con responsabilidad, transparencia y apego a la ley. El Poder Judicial precisó que la medida solicitada no constituye una sanción definitiva, sino una acción preventiva mientras se recaban los elementos necesarios para determinar si existen responsabilidades administrativas conforme a la normatividad vigente y, en su caso, presentar la acusación correspondiente.[Publicidad] La institución subrayó que la conducta de quienes imparten justicia “debe ser intachable, dentro y fuera de los tribunales, sin limitarse a horarios de trabajo y en coherencia con el compromiso permanente con la sociedad”.[Publicidad] Por separado, el colectivo Femenil Xtabay pidió públicamente al Poder Judicial y a la gobernadora de Quintana Roo, “Mara” Lezama, que se aplique al juzgador la Ley 3 de 3, y que se inicie una investigación paradeterminar la responsabilidadadministrativa del funcionario que suspende los derechos para ocupar cargos. La demanda incluye un exhorto a la mujer víctima del presunto ataque, para que interponga la denuncia correspondiente. Al respecto, vale aclarar que la aplicación de la Ley 3 de 3 –resultado de la homologación de reformas aprobadas por la Legislatura de Quintana Roo– depende de que se tenga una sentencia firme dictada sobre aquel funcionario que haya cometido algunaagresión sexualy acto de violencia o seadeudor alimentario. Lo anterior implica que no es posible aún aplicar dicha disposición al juzgador, pues apenas se inició la investigación del caso. Dicho Tribunal sesionará mañana y tendrá que determinar si separa o no del cargo –temporalmente– al funcionario, sin que ello implique una sentencia firme.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 s="15">
        <f>IFERROR(__xludf.DUMMYFUNCTION("""COMPUTED_VALUE"""),0.7123)</f>
        <v>0.7123</v>
      </c>
      <c r="P3" s="2"/>
      <c r="Q3" s="17">
        <f>IFERROR(__xludf.DUMMYFUNCTION("""COMPUTED_VALUE"""),8.5)</f>
        <v>8.5</v>
      </c>
      <c r="R3" s="2" t="str">
        <f>IFERROR(__xludf.DUMMYFUNCTION("""COMPUTED_VALUE"""),"High")</f>
        <v>High</v>
      </c>
      <c r="S3" s="17">
        <f>IFERROR(__xludf.DUMMYFUNCTION("""COMPUTED_VALUE"""),3.5)</f>
        <v>3.5</v>
      </c>
      <c r="T3" s="17">
        <f>IFERROR(__xludf.DUMMYFUNCTION("""COMPUTED_VALUE"""),0.0)</f>
        <v>0</v>
      </c>
      <c r="U3" s="14">
        <f>IFERROR(__xludf.DUMMYFUNCTION("""COMPUTED_VALUE"""),3.0)</f>
        <v>3</v>
      </c>
      <c r="V3" s="14">
        <v>2025.0</v>
      </c>
      <c r="W3" s="2" t="s">
        <v>1168</v>
      </c>
      <c r="X3" s="2" t="s">
        <v>1169</v>
      </c>
      <c r="Y3" s="13" t="s">
        <v>23</v>
      </c>
      <c r="Z3" s="14">
        <v>0.0</v>
      </c>
      <c r="AA3" s="14">
        <v>0.0</v>
      </c>
      <c r="AB3" s="14">
        <v>0.0</v>
      </c>
      <c r="AC3" s="14">
        <v>0.0</v>
      </c>
      <c r="AD3" s="2">
        <v>0.0</v>
      </c>
      <c r="AE3" s="2">
        <v>1.0</v>
      </c>
      <c r="AF3" s="2">
        <v>12.0</v>
      </c>
      <c r="AG3" s="2" t="s">
        <v>1171</v>
      </c>
      <c r="AH3" s="2">
        <v>0.0</v>
      </c>
    </row>
    <row r="4" ht="15.75" customHeight="1">
      <c r="A4" s="2" t="str">
        <f>IFERROR(__xludf.DUMMYFUNCTION("""COMPUTED_VALUE"""),"El Universal")</f>
        <v>El Universal</v>
      </c>
      <c r="B4" s="12" t="str">
        <f>IFERROR(__xludf.DUMMYFUNCTION("""COMPUTED_VALUE"""),"Accidente del Tren Interoceánico deja a Doña Jovita sin dos hijas y un yerno; ""querían ir a conocer y pasear"", menciona")</f>
        <v>Accidente del Tren Interoceánico deja a Doña Jovita sin dos hijas y un yerno; "querían ir a conocer y pasear", menciona</v>
      </c>
      <c r="C4" s="13" t="str">
        <f>IFERROR(__xludf.DUMMYFUNCTION("""COMPUTED_VALUE"""),"2025-12-29")</f>
        <v>2025-12-29</v>
      </c>
      <c r="D4" s="14">
        <f>IFERROR(__xludf.DUMMYFUNCTION("""COMPUTED_VALUE"""),2.0)</f>
        <v>2</v>
      </c>
      <c r="E4" s="15">
        <f>IFERROR(__xludf.DUMMYFUNCTION("""COMPUTED_VALUE"""),-0.9626)</f>
        <v>-0.9626</v>
      </c>
      <c r="F4" s="2" t="str">
        <f>IFERROR(__xludf.DUMMYFUNCTION("""COMPUTED_VALUE"""),"Negativo")</f>
        <v>Negativo</v>
      </c>
      <c r="G4" s="15">
        <f>IFERROR(__xludf.DUMMYFUNCTION("""COMPUTED_VALUE"""),0.9626)</f>
        <v>0.9626</v>
      </c>
      <c r="H4" s="2" t="str">
        <f>IFERROR(__xludf.DUMMYFUNCTION("""COMPUTED_VALUE"""),"Accidente de tránsito o choque vial")</f>
        <v>Accidente de tránsito o choque vial</v>
      </c>
      <c r="I4" s="2" t="str">
        <f>IFERROR(__xludf.DUMMYFUNCTION("""COMPUTED_VALUE"""),"N/A")</f>
        <v>N/A</v>
      </c>
      <c r="J4" s="2" t="str">
        <f>IFERROR(__xludf.DUMMYFUNCTION("""COMPUTED_VALUE"""),"Seguridad Vial: Monitoreo de zona.")</f>
        <v>Seguridad Vial: Monitoreo de zona.</v>
      </c>
      <c r="K4" s="2" t="str">
        <f>IFERROR(__xludf.DUMMYFUNCTION("""COMPUTED_VALUE"""),"Sinaloa")</f>
        <v>Sinaloa</v>
      </c>
      <c r="L4" s="2" t="str">
        <f>IFERROR(__xludf.DUMMYFUNCTION("""COMPUTED_VALUE"""),"Sinaloa")</f>
        <v>Sinaloa</v>
      </c>
      <c r="M4" s="16" t="str">
        <f>IFERROR(__xludf.DUMMYFUNCTION("""COMPUTED_VALUE"""),"https://www.eluniversal.com.mx/estados/accidente-del-tren-interoceanico-deja-a-dona-jovita-sin-dos-hijas-y-un-yerno-querian-ir-a-conocer-y-pasear-menciona/")</f>
        <v>https://www.eluniversal.com.mx/estados/accidente-del-tren-interoceanico-deja-a-dona-jovita-sin-dos-hijas-y-un-yerno-querian-ir-a-conocer-y-pasear-menciona/</v>
      </c>
      <c r="N4" s="2" t="str">
        <f>IFERROR(__xludf.DUMMYFUNCTION("""COMPUTED_VALUE"""),"Doña Jovitaestá destrozada emocionalmente y muchos a su alrededor no se explican de dónde saca fuerzas para mantenerse en pie. Entre pequeñas frases y con voz entrecortada, cuenta la tragedia y muestra la imagen de susdos hijas y su yerno, quienesmurieron"&amp;"en el accidente delTren Interoceánicoocurrido el fin de semana en Oaxaca. “Querían ir a conocer y pasear…”, dice desde una humilde vivienda de la ciudad petrolera de Minatitlán, en el sur deVeracruz, uno de los grandes bastiones electorales del morenismo."&amp;" La mujer de la tercera edad, enfrenta el drama rememorando la alegría que los ocho integrantes de su familia tenían porviajar hacía Oaxacay cómo -cuando ya habían cumplido su sueño-, la tragedia le arrebató a sus hijas Patricia y Honoria Medina Pérez y a"&amp;" su yerno Rogelio Luna. Los integrantes de su familia, quienes vivieron en carne propia elaccidente, pensaron que nada más se había salido el tren de las vías y cuando mucho volteado. “Pero este tren se fueochenta metros hacia el vacío”, lamenta dolida Do"&amp;"ña Jovita Pérez Martínez, quien con el infortunio encima recibió a reporteros de esa región.[Publicidad] Patricia trabajaba en elAyuntamiento de Coatzacoalcosy Honoria y su esposo Rogelio vivían en Mexicali y habían llegado a vacacionar a esta tierra petr"&amp;"olera, con la ilusión de conocer el tren emblema de la Cuarta Transformación.[Publicidad] “Me decían que fuéramos a mí. Me invitaban también, nada más que a la mera hora dije: a qué voy a ir, no puedo caminar”, recuerda y en su memoria evoca cuando se fue"&amp;"ron medio enojados con ella porque decidió no unirse a la aventura familiar. -Vayan ustedes yo aquí los espero-, fue la frase con la que los despidió. “Como que se molestaron porque yo no fui”, dice a la distancia, sentada en una mesa, conteniendo las lág"&amp;"rimas y el dolor de madre. Se le ve cansada. Y aun así cuenta que fue en las redes sociales como se enteraron del accidente. “Por el face”, precisa. “Como a las once nos enteramos porque mi yerno le mando mensaje a mi nieto de que eltren se había descarri"&amp;"lado”. Y desde un tobogán de emociones, con información escasa y contradictoria, hasta que les confirmaron la muerte de tres integrantes de su familia. Luego empezar a recibir a losheridos. Una de ellas su nieta. “Llegó muy golpeada de la cabeza, de la ma"&amp;"no, de la rodilla, de distintas partes…”, cuenta con el rostro compungido. Difícil procesar todo, pero fuerzas no le faltan para pedir al gobierno que se hagan responsables: “que se hicieran responsables de lo que se perdió, aunque la familia nunca volver"&amp;"ía, cuando menos que se haganresponsablesde lo económico porque somos pobres”. Con el tiempo se enteró de la verdadera tragedia: 13 personas fallecidas en el descarrilamiento y 109 más en hospitales. “Quien va a querer viajar en ese tren con todo lo que p"&amp;"asó, ya vio que hasta niños se murieron y señores grandes”. Copyright © Todos los derechos reservados | EL UNIVERSAL, Compañía Periodística Nacional. De no existir previa autorización, queda expresamente prohibida la Publicación, retransmisión, edición y "&amp;"cualquier otro uso de los contenidos Al navegar en este sitio aceptas las cookies que utilizamos para mejorar tu experiencia")</f>
        <v>Doña Jovitaestá destrozada emocionalmente y muchos a su alrededor no se explican de dónde saca fuerzas para mantenerse en pie. Entre pequeñas frases y con voz entrecortada, cuenta la tragedia y muestra la imagen de susdos hijas y su yerno, quienesmurieronen el accidente delTren Interoceánicoocurrido el fin de semana en Oaxaca. “Querían ir a conocer y pasear…”, dice desde una humilde vivienda de la ciudad petrolera de Minatitlán, en el sur deVeracruz, uno de los grandes bastiones electorales del morenismo. La mujer de la tercera edad, enfrenta el drama rememorando la alegría que los ocho integrantes de su familia tenían porviajar hacía Oaxacay cómo -cuando ya habían cumplido su sueño-, la tragedia le arrebató a sus hijas Patricia y Honoria Medina Pérez y a su yerno Rogelio Luna. Los integrantes de su familia, quienes vivieron en carne propia elaccidente, pensaron que nada más se había salido el tren de las vías y cuando mucho volteado. “Pero este tren se fueochenta metros hacia el vacío”, lamenta dolida Doña Jovita Pérez Martínez, quien con el infortunio encima recibió a reporteros de esa región.[Publicidad] Patricia trabajaba en elAyuntamiento de Coatzacoalcosy Honoria y su esposo Rogelio vivían en Mexicali y habían llegado a vacacionar a esta tierra petrolera, con la ilusión de conocer el tren emblema de la Cuarta Transformación.[Publicidad] “Me decían que fuéramos a mí. Me invitaban también, nada más que a la mera hora dije: a qué voy a ir, no puedo caminar”, recuerda y en su memoria evoca cuando se fueron medio enojados con ella porque decidió no unirse a la aventura familiar. -Vayan ustedes yo aquí los espero-, fue la frase con la que los despidió. “Como que se molestaron porque yo no fui”, dice a la distancia, sentada en una mesa, conteniendo las lágrimas y el dolor de madre. Se le ve cansada. Y aun así cuenta que fue en las redes sociales como se enteraron del accidente. “Por el face”, precisa. “Como a las once nos enteramos porque mi yerno le mando mensaje a mi nieto de que eltren se había descarrilado”. Y desde un tobogán de emociones, con información escasa y contradictoria, hasta que les confirmaron la muerte de tres integrantes de su familia. Luego empezar a recibir a losheridos. Una de ellas su nieta. “Llegó muy golpeada de la cabeza, de la mano, de la rodilla, de distintas partes…”, cuenta con el rostro compungido. Difícil procesar todo, pero fuerzas no le faltan para pedir al gobierno que se hagan responsables: “que se hicieran responsables de lo que se perdió, aunque la familia nunca volvería, cuando menos que se haganresponsablesde lo económico porque somos pobres”. Con el tiempo se enteró de la verdadera tragedia: 13 personas fallecidas en el descarrilamiento y 109 más en hospitales. “Quien va a querer viajar en ese tren con todo lo que pasó, ya vio que hasta niños se murieron y señores grandes”.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 s="15">
        <f>IFERROR(__xludf.DUMMYFUNCTION("""COMPUTED_VALUE"""),0.663)</f>
        <v>0.663</v>
      </c>
      <c r="P4" s="2"/>
      <c r="Q4" s="17">
        <f>IFERROR(__xludf.DUMMYFUNCTION("""COMPUTED_VALUE"""),3.0)</f>
        <v>3</v>
      </c>
      <c r="R4" s="2" t="str">
        <f>IFERROR(__xludf.DUMMYFUNCTION("""COMPUTED_VALUE"""),"Medium")</f>
        <v>Medium</v>
      </c>
      <c r="S4" s="17">
        <f>IFERROR(__xludf.DUMMYFUNCTION("""COMPUTED_VALUE"""),1.0)</f>
        <v>1</v>
      </c>
      <c r="T4" s="17">
        <f>IFERROR(__xludf.DUMMYFUNCTION("""COMPUTED_VALUE"""),0.0)</f>
        <v>0</v>
      </c>
      <c r="U4" s="14">
        <f>IFERROR(__xludf.DUMMYFUNCTION("""COMPUTED_VALUE"""),3.0)</f>
        <v>3</v>
      </c>
      <c r="V4" s="14">
        <v>2025.0</v>
      </c>
      <c r="W4" s="2" t="s">
        <v>1168</v>
      </c>
      <c r="X4" s="2" t="s">
        <v>1169</v>
      </c>
      <c r="Y4" s="13" t="s">
        <v>23</v>
      </c>
      <c r="Z4" s="14">
        <v>0.0</v>
      </c>
      <c r="AA4" s="14">
        <v>0.0</v>
      </c>
      <c r="AB4" s="14">
        <v>0.0</v>
      </c>
      <c r="AC4" s="14">
        <v>0.0</v>
      </c>
      <c r="AD4" s="2">
        <v>0.0</v>
      </c>
      <c r="AE4" s="2">
        <v>0.0</v>
      </c>
      <c r="AF4" s="2">
        <v>12.0</v>
      </c>
      <c r="AG4" s="2" t="s">
        <v>1172</v>
      </c>
      <c r="AH4" s="2">
        <v>0.0</v>
      </c>
    </row>
    <row r="5" ht="15.75" customHeight="1">
      <c r="A5" s="2" t="str">
        <f>IFERROR(__xludf.DUMMYFUNCTION("""COMPUTED_VALUE"""),"El Universal")</f>
        <v>El Universal</v>
      </c>
      <c r="B5" s="12" t="str">
        <f>IFERROR(__xludf.DUMMYFUNCTION("""COMPUTED_VALUE"""),"Así quedó el Lamborghini tras el tiroteo en Zapopan; peritos recogen decenas de casquillos")</f>
        <v>Así quedó el Lamborghini tras el tiroteo en Zapopan; peritos recogen decenas de casquillos</v>
      </c>
      <c r="C5" s="13" t="str">
        <f>IFERROR(__xludf.DUMMYFUNCTION("""COMPUTED_VALUE"""),"2025-12-29")</f>
        <v>2025-12-29</v>
      </c>
      <c r="D5" s="14">
        <f>IFERROR(__xludf.DUMMYFUNCTION("""COMPUTED_VALUE"""),4.0)</f>
        <v>4</v>
      </c>
      <c r="E5" s="15">
        <f>IFERROR(__xludf.DUMMYFUNCTION("""COMPUTED_VALUE"""),-0.4913)</f>
        <v>-0.4913</v>
      </c>
      <c r="F5" s="2" t="str">
        <f>IFERROR(__xludf.DUMMYFUNCTION("""COMPUTED_VALUE"""),"Negativo")</f>
        <v>Negativo</v>
      </c>
      <c r="G5" s="15">
        <f>IFERROR(__xludf.DUMMYFUNCTION("""COMPUTED_VALUE"""),0.4913)</f>
        <v>0.4913</v>
      </c>
      <c r="H5" s="2" t="str">
        <f>IFERROR(__xludf.DUMMYFUNCTION("""COMPUTED_VALUE"""),"Delito violento, robo o asalto")</f>
        <v>Delito violento, robo o asalto</v>
      </c>
      <c r="I5" s="2" t="str">
        <f>IFERROR(__xludf.DUMMYFUNCTION("""COMPUTED_VALUE"""),"balacera")</f>
        <v>balacera</v>
      </c>
      <c r="J5" s="2" t="str">
        <f>IFERROR(__xludf.DUMMYFUNCTION("""COMPUTED_VALUE"""),"Prevención Nocturna: Alerta de zona de riesgo.")</f>
        <v>Prevención Nocturna: Alerta de zona de riesgo.</v>
      </c>
      <c r="K5" s="2" t="str">
        <f>IFERROR(__xludf.DUMMYFUNCTION("""COMPUTED_VALUE"""),"Zapopan")</f>
        <v>Zapopan</v>
      </c>
      <c r="L5" s="2" t="str">
        <f>IFERROR(__xludf.DUMMYFUNCTION("""COMPUTED_VALUE"""),"Jalisco")</f>
        <v>Jalisco</v>
      </c>
      <c r="M5" s="16" t="str">
        <f>IFERROR(__xludf.DUMMYFUNCTION("""COMPUTED_VALUE"""),"https://www.eluniversal.com.mx/estados/asi-quedo-el-lamborghini-tras-el-tiroteo-en-zapopan-peritos-recogen-decenas-de-casquillos/")</f>
        <v>https://www.eluniversal.com.mx/estados/asi-quedo-el-lamborghini-tras-el-tiroteo-en-zapopan-peritos-recogen-decenas-de-casquillos/</v>
      </c>
      <c r="N5" s="2" t="str">
        <f>IFERROR(__xludf.DUMMYFUNCTION("""COMPUTED_VALUE"""),"Este lunes se reportó un ataque armado entre civiles armados que duró más de 10 minutos enZapopan, Jalisco. Una de las víctimas de los hechos fue elconductor de un Lamborghini, el cual fue interceptado por camionetas con hombres que le dispararon en repet"&amp;"idas ocasiones, a lo que escoltas del conductor respondieron al ataque. Tras los hechos, la Fiscalía de Jalisco informó que de manera preliminarfallecieron tres personas, entre las que se encuentran el conductor de vehículo del lujo, identificado comoAlbe"&amp;"rto Prieto Valencia, un comerciante del Mercado de Abastos de Guadalajara, su hija y uno de sus escoltas. Los hechos ocurrieron cerca de las 10:20 horas de este lunes, sobre la avenida Topacio, y luego de la balacera, en la zona quedaron una de las camion"&amp;"etas de los agresores, elvehículo de lujoy la camioneta de los escoltas. En imágenes del momento, se observa la zona acordonada por elementos de seguridad, además del Lamborghini con diversos disparos, y elementos del equipo de peritos recabando informaci"&amp;"ón de los sucesos. Copyright © Todos los derechos reservados | EL UNIVERSAL, Compañía Periodística Nacional. De no existir previa autorización, queda expresamente prohibida la Publicación, retransmisión, edición y cualquier otro uso de los contenidos Al n"&amp;"avegar en este sitio aceptas las cookies que utilizamos para mejorar tu experiencia")</f>
        <v>Este lunes se reportó un ataque armado entre civiles armados que duró más de 10 minutos enZapopan, Jalisco. Una de las víctimas de los hechos fue elconductor de un Lamborghini, el cual fue interceptado por camionetas con hombres que le dispararon en repetidas ocasiones, a lo que escoltas del conductor respondieron al ataque. Tras los hechos, la Fiscalía de Jalisco informó que de manera preliminarfallecieron tres personas, entre las que se encuentran el conductor de vehículo del lujo, identificado comoAlberto Prieto Valencia, un comerciante del Mercado de Abastos de Guadalajara, su hija y uno de sus escoltas. Los hechos ocurrieron cerca de las 10:20 horas de este lunes, sobre la avenida Topacio, y luego de la balacera, en la zona quedaron una de las camionetas de los agresores, elvehículo de lujoy la camioneta de los escoltas. En imágenes del momento, se observa la zona acordonada por elementos de seguridad, además del Lamborghini con diversos disparos, y elementos del equipo de peritos recabando información de los sucesos.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 s="15">
        <f>IFERROR(__xludf.DUMMYFUNCTION("""COMPUTED_VALUE"""),1.0)</f>
        <v>1</v>
      </c>
      <c r="P5" s="2"/>
      <c r="Q5" s="17">
        <f>IFERROR(__xludf.DUMMYFUNCTION("""COMPUTED_VALUE"""),8.5)</f>
        <v>8.5</v>
      </c>
      <c r="R5" s="2" t="str">
        <f>IFERROR(__xludf.DUMMYFUNCTION("""COMPUTED_VALUE"""),"High")</f>
        <v>High</v>
      </c>
      <c r="S5" s="17">
        <f>IFERROR(__xludf.DUMMYFUNCTION("""COMPUTED_VALUE"""),3.5)</f>
        <v>3.5</v>
      </c>
      <c r="T5" s="17">
        <f>IFERROR(__xludf.DUMMYFUNCTION("""COMPUTED_VALUE"""),0.0)</f>
        <v>0</v>
      </c>
      <c r="U5" s="14">
        <f>IFERROR(__xludf.DUMMYFUNCTION("""COMPUTED_VALUE"""),3.0)</f>
        <v>3</v>
      </c>
      <c r="V5" s="14">
        <v>2025.0</v>
      </c>
      <c r="W5" s="2" t="s">
        <v>1168</v>
      </c>
      <c r="X5" s="2" t="s">
        <v>1169</v>
      </c>
      <c r="Y5" s="13" t="s">
        <v>23</v>
      </c>
      <c r="Z5" s="14">
        <v>0.0</v>
      </c>
      <c r="AA5" s="14">
        <v>0.0</v>
      </c>
      <c r="AB5" s="14">
        <v>0.0</v>
      </c>
      <c r="AC5" s="14">
        <v>0.0</v>
      </c>
      <c r="AD5" s="2">
        <v>0.0</v>
      </c>
      <c r="AE5" s="2">
        <v>1.0</v>
      </c>
      <c r="AF5" s="2">
        <v>12.0</v>
      </c>
      <c r="AG5" s="2" t="s">
        <v>1173</v>
      </c>
      <c r="AH5" s="2">
        <v>0.0</v>
      </c>
    </row>
    <row r="6" ht="15.75" customHeight="1">
      <c r="A6" s="2" t="str">
        <f>IFERROR(__xludf.DUMMYFUNCTION("""COMPUTED_VALUE"""),"El Universal")</f>
        <v>El Universal</v>
      </c>
      <c r="B6" s="12" t="str">
        <f>IFERROR(__xludf.DUMMYFUNCTION("""COMPUTED_VALUE"""),"Grecia Quiroz confirma detención de otro implicado en asesinato de Carlos Manzo; participó en grupo de WhatsApp donde se coordinó el ataque")</f>
        <v>Grecia Quiroz confirma detención de otro implicado en asesinato de Carlos Manzo; participó en grupo de WhatsApp donde se coordinó el ataque</v>
      </c>
      <c r="C6" s="13" t="str">
        <f>IFERROR(__xludf.DUMMYFUNCTION("""COMPUTED_VALUE"""),"2025-12-29")</f>
        <v>2025-12-29</v>
      </c>
      <c r="D6" s="14">
        <f>IFERROR(__xludf.DUMMYFUNCTION("""COMPUTED_VALUE"""),2.0)</f>
        <v>2</v>
      </c>
      <c r="E6" s="15">
        <f>IFERROR(__xludf.DUMMYFUNCTION("""COMPUTED_VALUE"""),-0.5341)</f>
        <v>-0.5341</v>
      </c>
      <c r="F6" s="2" t="str">
        <f>IFERROR(__xludf.DUMMYFUNCTION("""COMPUTED_VALUE"""),"Negativo")</f>
        <v>Negativo</v>
      </c>
      <c r="G6" s="15">
        <f>IFERROR(__xludf.DUMMYFUNCTION("""COMPUTED_VALUE"""),0.5341)</f>
        <v>0.5341</v>
      </c>
      <c r="H6" s="2" t="str">
        <f>IFERROR(__xludf.DUMMYFUNCTION("""COMPUTED_VALUE"""),"Operativo policial o detención")</f>
        <v>Operativo policial o detención</v>
      </c>
      <c r="I6" s="2" t="str">
        <f>IFERROR(__xludf.DUMMYFUNCTION("""COMPUTED_VALUE"""),"N/A")</f>
        <v>N/A</v>
      </c>
      <c r="J6" s="2" t="str">
        <f>IFERROR(__xludf.DUMMYFUNCTION("""COMPUTED_VALUE"""),"Monitoreo general.")</f>
        <v>Monitoreo general.</v>
      </c>
      <c r="K6" s="2" t="str">
        <f>IFERROR(__xludf.DUMMYFUNCTION("""COMPUTED_VALUE"""),"Michoacán")</f>
        <v>Michoacán</v>
      </c>
      <c r="L6" s="2" t="str">
        <f>IFERROR(__xludf.DUMMYFUNCTION("""COMPUTED_VALUE"""),"Michoacán")</f>
        <v>Michoacán</v>
      </c>
      <c r="M6" s="16" t="str">
        <f>IFERROR(__xludf.DUMMYFUNCTION("""COMPUTED_VALUE"""),"https://www.eluniversal.com.mx/estados/grecia-quiroz-confirma-detencion-de-otro-implicado-en-asesinato-de-carlos-manzo-participo-en-grupo-de-whatsapp-donde-se-coordino-el-ataque/")</f>
        <v>https://www.eluniversal.com.mx/estados/grecia-quiroz-confirma-detencion-de-otro-implicado-en-asesinato-de-carlos-manzo-participo-en-grupo-de-whatsapp-donde-se-coordino-el-ataque/</v>
      </c>
      <c r="N6" s="2" t="str">
        <f>IFERROR(__xludf.DUMMYFUNCTION("""COMPUTED_VALUE"""),"Uruapan.- La alcaldesa de Uruapan,Grecia Quiroz, informó que otra persona implicada en elasesinatode su esposo,Carlos Manzo, fue detenida. “Lo único que me han reportado es que detuvieron a una persona más que estuvo implicada dentro del grupo de WhatsApp"&amp;". “Yo no he tenido, hasta este momento, unacercamiento con el fiscal, y espero en los próximos días tener una conversación con él”, expresó la alcaldesa en declaraciones a medios locales. No precisó cuándo ocurrió la detención ni el papel que jugó esta pe"&amp;"rsona en elasesinato del alcalde de Uruapan, ocurrido la noche del 1 de noviembre en la plaza principal del municipio. La Fiscalía de Michoacán ha explicado que el crimen contra el alcalde fue coordinado a través de ungrupo de WhatsAppen el cual participa"&amp;"ban dos jóvenes identificados como Fernando Josué “N” y Ramiro “N”, quienes realizaron labores de seguimiento y logística y fueron encontrados sin vida el 10 de noviembre. También participaba Jorge Armando “N”, aliasEl Licenciado, quien ejercía funciones "&amp;"de liderazgo y fue detenido el pasado 20 de noviembre, actualmente se encuentra en un penal federal. Por este caso también están detenidos siete agentes municipales que se desempeñaban como escoltas de Carlos Manzo.[Publicidad] Copyright © Todos los derec"&amp;"hos reservados | EL UNIVERSAL, Compañía Periodística Nacional. De no existir previa autorización, queda expresamente prohibida la Publicación, retransmisión, edición y cualquier otro uso de los contenidos Al navegar en este sitio aceptas las cookies que u"&amp;"tilizamos para mejorar tu experiencia")</f>
        <v>Uruapan.- La alcaldesa de Uruapan,Grecia Quiroz, informó que otra persona implicada en elasesinatode su esposo,Carlos Manzo, fue detenida. “Lo único que me han reportado es que detuvieron a una persona más que estuvo implicada dentro del grupo de WhatsApp. “Yo no he tenido, hasta este momento, unacercamiento con el fiscal, y espero en los próximos días tener una conversación con él”, expresó la alcaldesa en declaraciones a medios locales. No precisó cuándo ocurrió la detención ni el papel que jugó esta persona en elasesinato del alcalde de Uruapan, ocurrido la noche del 1 de noviembre en la plaza principal del municipio. La Fiscalía de Michoacán ha explicado que el crimen contra el alcalde fue coordinado a través de ungrupo de WhatsAppen el cual participaban dos jóvenes identificados como Fernando Josué “N” y Ramiro “N”, quienes realizaron labores de seguimiento y logística y fueron encontrados sin vida el 10 de noviembre. También participaba Jorge Armando “N”, aliasEl Licenciado, quien ejercía funciones de liderazgo y fue detenido el pasado 20 de noviembre, actualmente se encuentra en un penal federal. Por este caso también están detenidos siete agentes municipales que se desempeñaban como escoltas de Carlos Manzo.[Publicidad]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6" s="15">
        <f>IFERROR(__xludf.DUMMYFUNCTION("""COMPUTED_VALUE"""),0.6981)</f>
        <v>0.6981</v>
      </c>
      <c r="P6" s="2"/>
      <c r="Q6" s="17">
        <f>IFERROR(__xludf.DUMMYFUNCTION("""COMPUTED_VALUE"""),3.0)</f>
        <v>3</v>
      </c>
      <c r="R6" s="2" t="str">
        <f>IFERROR(__xludf.DUMMYFUNCTION("""COMPUTED_VALUE"""),"Medium")</f>
        <v>Medium</v>
      </c>
      <c r="S6" s="17">
        <f>IFERROR(__xludf.DUMMYFUNCTION("""COMPUTED_VALUE"""),3.0)</f>
        <v>3</v>
      </c>
      <c r="T6" s="17">
        <f>IFERROR(__xludf.DUMMYFUNCTION("""COMPUTED_VALUE"""),0.0)</f>
        <v>0</v>
      </c>
      <c r="U6" s="14">
        <f>IFERROR(__xludf.DUMMYFUNCTION("""COMPUTED_VALUE"""),3.0)</f>
        <v>3</v>
      </c>
      <c r="V6" s="14">
        <v>2025.0</v>
      </c>
      <c r="W6" s="2" t="s">
        <v>1168</v>
      </c>
      <c r="X6" s="2" t="s">
        <v>1169</v>
      </c>
      <c r="Y6" s="13" t="s">
        <v>23</v>
      </c>
      <c r="Z6" s="14">
        <v>0.0</v>
      </c>
      <c r="AA6" s="14">
        <v>0.0</v>
      </c>
      <c r="AB6" s="14">
        <v>0.0</v>
      </c>
      <c r="AC6" s="14">
        <v>0.0</v>
      </c>
      <c r="AD6" s="2">
        <v>0.0</v>
      </c>
      <c r="AE6" s="2">
        <v>0.0</v>
      </c>
      <c r="AF6" s="2">
        <v>12.0</v>
      </c>
      <c r="AG6" s="2" t="s">
        <v>1174</v>
      </c>
      <c r="AH6" s="2">
        <v>0.0</v>
      </c>
    </row>
    <row r="7" ht="15.75" customHeight="1">
      <c r="A7" s="2" t="str">
        <f>IFERROR(__xludf.DUMMYFUNCTION("""COMPUTED_VALUE"""),"El Universal")</f>
        <v>El Universal</v>
      </c>
      <c r="B7" s="12" t="str">
        <f>IFERROR(__xludf.DUMMYFUNCTION("""COMPUTED_VALUE"""),"Muere Juan Pedro Franco, el hombre más obeso del mundo; infección renal complicó su salud")</f>
        <v>Muere Juan Pedro Franco, el hombre más obeso del mundo; infección renal complicó su salud</v>
      </c>
      <c r="C7" s="13" t="str">
        <f>IFERROR(__xludf.DUMMYFUNCTION("""COMPUTED_VALUE"""),"2025-12-29")</f>
        <v>2025-12-29</v>
      </c>
      <c r="D7" s="14">
        <f>IFERROR(__xludf.DUMMYFUNCTION("""COMPUTED_VALUE"""),2.0)</f>
        <v>2</v>
      </c>
      <c r="E7" s="15">
        <f>IFERROR(__xludf.DUMMYFUNCTION("""COMPUTED_VALUE"""),-0.7776)</f>
        <v>-0.7776</v>
      </c>
      <c r="F7" s="2" t="str">
        <f>IFERROR(__xludf.DUMMYFUNCTION("""COMPUTED_VALUE"""),"Negativo")</f>
        <v>Negativo</v>
      </c>
      <c r="G7" s="15">
        <f>IFERROR(__xludf.DUMMYFUNCTION("""COMPUTED_VALUE"""),0.7776)</f>
        <v>0.7776</v>
      </c>
      <c r="H7" s="2" t="str">
        <f>IFERROR(__xludf.DUMMYFUNCTION("""COMPUTED_VALUE"""),"Operativo policial o detención")</f>
        <v>Operativo policial o detención</v>
      </c>
      <c r="I7" s="2" t="str">
        <f>IFERROR(__xludf.DUMMYFUNCTION("""COMPUTED_VALUE"""),"N/A")</f>
        <v>N/A</v>
      </c>
      <c r="J7" s="2" t="str">
        <f>IFERROR(__xludf.DUMMYFUNCTION("""COMPUTED_VALUE"""),"Monitoreo general.")</f>
        <v>Monitoreo general.</v>
      </c>
      <c r="K7" s="2" t="str">
        <f>IFERROR(__xludf.DUMMYFUNCTION("""COMPUTED_VALUE"""),"Ciudad de México")</f>
        <v>Ciudad de México</v>
      </c>
      <c r="L7" s="2" t="str">
        <f>IFERROR(__xludf.DUMMYFUNCTION("""COMPUTED_VALUE"""),"Ciudad de México")</f>
        <v>Ciudad de México</v>
      </c>
      <c r="M7" s="16" t="str">
        <f>IFERROR(__xludf.DUMMYFUNCTION("""COMPUTED_VALUE"""),"https://www.eluniversal.com.mx/estados/muere-juan-pedro-franco-el-hombre-mas-obeso-del-mundo-infeccion-renal-complico-su-salud/")</f>
        <v>https://www.eluniversal.com.mx/estados/muere-juan-pedro-franco-el-hombre-mas-obeso-del-mundo-infeccion-renal-complico-su-salud/</v>
      </c>
      <c r="N7" s="2" t="str">
        <f>IFERROR(__xludf.DUMMYFUNCTION("""COMPUTED_VALUE"""),"Ciudad de México.- El mexicanoJuan Pedro Franco, conocido por haber sido elhombre más obeso del mundo, murió este lunes en el central estado deAguascalientes, de donde era originario, a los 41 años de edad, debido a una infección renal. En un comunicado,J"&amp;"osé Antonio Castañeda, el doctor que lo atendía, informó sobre el deceso del hombre que en 2017 obtuvo elrécord Guinnesspor ser el ser humano con más peso del mundo en ese entonces, alpesar casi 600 kilosen la báscula. “En los últimos días, su estado de s"&amp;"alud se vio comprometido a causa de una infección renal que evolucionó con complicaciones sistémicas, lo que derivó en su fallecimiento mientras se encontraba hospitalizado”, señaló el especialista. En 2017, el joven de entonces 32 años pesaba cerca de 59"&amp;"5 kilos cuando se puso en manos deCastañeda, quien le sometió a una dieta mediterránea que hace énfasis en las verduras y en las frutas para luego hacerle dos operaciones: una de manga gástrica y otra debypassgástrico. Tras ello, Franco logró una disminuc"&amp;"ión de 49% de su peso inicial. En 2020, incluso logró superar uncontagio de Covid-19, un evento que representaba un alto riesgo dada su condición de salud previa y que reflejó el impacto de lamejoríaalcanzada en los años anteriores y el haber concluido de"&amp;" manera exitosa su proceso bariátrico.[Publicidad] Castañeda recordó que el caso deJuan Pedrofue un proceso médico “complejo y desafiante”, el cual ayudó a visibilizar la obesidad como una enfermedad “que requiere empatía, ciencia y trabajo coordinado, má"&amp;"s allá del estigma que aún la rodea”.[Publicidad] El galeno expresó sus “más sinceras condolencias” a la familia y seres queridos deFrancoy reconoció la huella que dejó la historia deJuan Pedrogracias a su “perseverancia, resiliencia y honestidad para com"&amp;"partir su vida, lo cual generó empatía en muchas personas y motivó a otros a enfrentar sus propios retos de salud”. Copyright © Todos los derechos reservados | EL UNIVERSAL, Compañía Periodística Nacional. De no existir previa autorización, queda expresam"&amp;"ente prohibida la Publicación, retransmisión, edición y cualquier otro uso de los contenidos Al navegar en este sitio aceptas las cookies que utilizamos para mejorar tu experiencia")</f>
        <v>Ciudad de México.- El mexicanoJuan Pedro Franco, conocido por haber sido elhombre más obeso del mundo, murió este lunes en el central estado deAguascalientes, de donde era originario, a los 41 años de edad, debido a una infección renal. En un comunicado,José Antonio Castañeda, el doctor que lo atendía, informó sobre el deceso del hombre que en 2017 obtuvo elrécord Guinnesspor ser el ser humano con más peso del mundo en ese entonces, alpesar casi 600 kilosen la báscula. “En los últimos días, su estado de salud se vio comprometido a causa de una infección renal que evolucionó con complicaciones sistémicas, lo que derivó en su fallecimiento mientras se encontraba hospitalizado”, señaló el especialista. En 2017, el joven de entonces 32 años pesaba cerca de 595 kilos cuando se puso en manos deCastañeda, quien le sometió a una dieta mediterránea que hace énfasis en las verduras y en las frutas para luego hacerle dos operaciones: una de manga gástrica y otra debypassgástrico. Tras ello, Franco logró una disminución de 49% de su peso inicial. En 2020, incluso logró superar uncontagio de Covid-19, un evento que representaba un alto riesgo dada su condición de salud previa y que reflejó el impacto de lamejoríaalcanzada en los años anteriores y el haber concluido de manera exitosa su proceso bariátrico.[Publicidad] Castañeda recordó que el caso deJuan Pedrofue un proceso médico “complejo y desafiante”, el cual ayudó a visibilizar la obesidad como una enfermedad “que requiere empatía, ciencia y trabajo coordinado, más allá del estigma que aún la rodea”.[Publicidad] El galeno expresó sus “más sinceras condolencias” a la familia y seres queridos deFrancoy reconoció la huella que dejó la historia deJuan Pedrogracias a su “perseverancia, resiliencia y honestidad para compartir su vida, lo cual generó empatía en muchas personas y motivó a otros a enfrentar sus propios retos de salud”.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7" s="15">
        <f>IFERROR(__xludf.DUMMYFUNCTION("""COMPUTED_VALUE"""),0.2805)</f>
        <v>0.2805</v>
      </c>
      <c r="P7" s="2"/>
      <c r="Q7" s="17">
        <f>IFERROR(__xludf.DUMMYFUNCTION("""COMPUTED_VALUE"""),5.0)</f>
        <v>5</v>
      </c>
      <c r="R7" s="2" t="str">
        <f>IFERROR(__xludf.DUMMYFUNCTION("""COMPUTED_VALUE"""),"High")</f>
        <v>High</v>
      </c>
      <c r="S7" s="17">
        <f>IFERROR(__xludf.DUMMYFUNCTION("""COMPUTED_VALUE"""),3.0)</f>
        <v>3</v>
      </c>
      <c r="T7" s="17">
        <f>IFERROR(__xludf.DUMMYFUNCTION("""COMPUTED_VALUE"""),0.0)</f>
        <v>0</v>
      </c>
      <c r="U7" s="14">
        <f>IFERROR(__xludf.DUMMYFUNCTION("""COMPUTED_VALUE"""),3.0)</f>
        <v>3</v>
      </c>
      <c r="V7" s="14">
        <v>2025.0</v>
      </c>
      <c r="W7" s="2" t="s">
        <v>1168</v>
      </c>
      <c r="X7" s="2" t="s">
        <v>1169</v>
      </c>
      <c r="Y7" s="13" t="s">
        <v>23</v>
      </c>
      <c r="Z7" s="14">
        <v>0.0</v>
      </c>
      <c r="AA7" s="14">
        <v>0.0</v>
      </c>
      <c r="AB7" s="14">
        <v>0.0</v>
      </c>
      <c r="AC7" s="14">
        <v>0.0</v>
      </c>
      <c r="AD7" s="2">
        <v>0.0</v>
      </c>
      <c r="AE7" s="2">
        <v>0.0</v>
      </c>
      <c r="AF7" s="2">
        <v>12.0</v>
      </c>
      <c r="AG7" s="2" t="s">
        <v>1175</v>
      </c>
      <c r="AH7" s="2">
        <v>0.0</v>
      </c>
    </row>
    <row r="8" ht="15.75" customHeight="1">
      <c r="A8" s="2" t="str">
        <f>IFERROR(__xludf.DUMMYFUNCTION("""COMPUTED_VALUE"""),"El Universal")</f>
        <v>El Universal</v>
      </c>
      <c r="B8" s="12" t="str">
        <f>IFERROR(__xludf.DUMMYFUNCTION("""COMPUTED_VALUE"""),"Inicia entrega de cuerpos tras tragedia del Tren Interoceánico; familia recibe restos de niña de 9 años")</f>
        <v>Inicia entrega de cuerpos tras tragedia del Tren Interoceánico; familia recibe restos de niña de 9 años</v>
      </c>
      <c r="C8" s="13" t="str">
        <f>IFERROR(__xludf.DUMMYFUNCTION("""COMPUTED_VALUE"""),"2025-12-29")</f>
        <v>2025-12-29</v>
      </c>
      <c r="D8" s="14">
        <f>IFERROR(__xludf.DUMMYFUNCTION("""COMPUTED_VALUE"""),2.0)</f>
        <v>2</v>
      </c>
      <c r="E8" s="15">
        <f>IFERROR(__xludf.DUMMYFUNCTION("""COMPUTED_VALUE"""),-0.5046)</f>
        <v>-0.5046</v>
      </c>
      <c r="F8" s="2" t="str">
        <f>IFERROR(__xludf.DUMMYFUNCTION("""COMPUTED_VALUE"""),"Negativo")</f>
        <v>Negativo</v>
      </c>
      <c r="G8" s="15">
        <f>IFERROR(__xludf.DUMMYFUNCTION("""COMPUTED_VALUE"""),0.5046)</f>
        <v>0.5046</v>
      </c>
      <c r="H8" s="2" t="str">
        <f>IFERROR(__xludf.DUMMYFUNCTION("""COMPUTED_VALUE"""),"Operativo policial o detención")</f>
        <v>Operativo policial o detención</v>
      </c>
      <c r="I8" s="2" t="str">
        <f>IFERROR(__xludf.DUMMYFUNCTION("""COMPUTED_VALUE"""),"N/A")</f>
        <v>N/A</v>
      </c>
      <c r="J8" s="2" t="str">
        <f>IFERROR(__xludf.DUMMYFUNCTION("""COMPUTED_VALUE"""),"Monitoreo general.")</f>
        <v>Monitoreo general.</v>
      </c>
      <c r="K8" s="2" t="str">
        <f>IFERROR(__xludf.DUMMYFUNCTION("""COMPUTED_VALUE"""),"Oaxaca")</f>
        <v>Oaxaca</v>
      </c>
      <c r="L8" s="2" t="str">
        <f>IFERROR(__xludf.DUMMYFUNCTION("""COMPUTED_VALUE"""),"Oaxaca")</f>
        <v>Oaxaca</v>
      </c>
      <c r="M8" s="16" t="str">
        <f>IFERROR(__xludf.DUMMYFUNCTION("""COMPUTED_VALUE"""),"https://www.eluniversal.com.mx/estados/inicia-entrega-de-cuerpos-tras-accidente-del-tren-interoceanico-menor-de-nueve-anos-ya-fue-devuelta-a-su-familia/")</f>
        <v>https://www.eluniversal.com.mx/estados/inicia-entrega-de-cuerpos-tras-accidente-del-tren-interoceanico-menor-de-nueve-anos-ya-fue-devuelta-a-su-familia/</v>
      </c>
      <c r="N8" s="2" t="str">
        <f>IFERROR(__xludf.DUMMYFUNCTION("""COMPUTED_VALUE"""),"El secretario de Gobierno de Oaxaca, Jesús Romero López, informó que el retraso en laentrega de los cuerposde las personas que fallecieron en el descarrilamiento delTren Interoceánicoa sus familiares se debe a que deben seguirse un protocolo necesario par"&amp;"a las investigaciones. Hasta ahora, dijo, ya se entregó elcuerpo de la niña de nueve añosde edad y que era originaria de Comitancillo, población de la región del Istmo de Tehuantepec. ""En el caso de los cuerpos, yo quisiera ser muy puntual. Hay un protoc"&amp;"olo de ley. Nosotros qué más quisiéramos que pudiera que las familias estén con sus seres queridos; pero hay planteamientos de orden jurídico, de investigaciones que requieren también un protocolo por parte de laFiscalía General de la República, quien tra"&amp;"sladó peritos, y de la Fiscalía del Estado, quien realizó los levantamientos"". Romero López adelantó que en las próximas horas se estaránentregando otros cuerposa sus familiares y algunos de ellos a Mexicali, Baja California, y a los estados de Veracruz,"&amp;" Guanajuato y Zacatecas. ""Vamos a avanzar y con el protocolo considero que, si está lista la funeraria... Se ha acompañado por parte del gobierno del estado también con los gastos funerarios y en cuidar a las familias sobrevivientes, apoyarlas y darles t"&amp;"odo el respaldo que requieren en este momento tan triste para el pueblo"", dijo. El funcionario también mencionó que laspersonas lesionadasfueron trasladadas a más de 11 hospitales del estado.[Publicidad] Copyright © Todos los derechos reservados | EL UNI"&amp;"VERSAL, Compañía Periodística Nacional. De no existir previa autorización, queda expresamente prohibida la Publicación, retransmisión, edición y cualquier otro uso de los contenidos Al navegar en este sitio aceptas las cookies que utilizamos para mejorar "&amp;"tu experiencia")</f>
        <v>El secretario de Gobierno de Oaxaca, Jesús Romero López, informó que el retraso en laentrega de los cuerposde las personas que fallecieron en el descarrilamiento delTren Interoceánicoa sus familiares se debe a que deben seguirse un protocolo necesario para las investigaciones. Hasta ahora, dijo, ya se entregó elcuerpo de la niña de nueve añosde edad y que era originaria de Comitancillo, población de la región del Istmo de Tehuantepec. "En el caso de los cuerpos, yo quisiera ser muy puntual. Hay un protocolo de ley. Nosotros qué más quisiéramos que pudiera que las familias estén con sus seres queridos; pero hay planteamientos de orden jurídico, de investigaciones que requieren también un protocolo por parte de laFiscalía General de la República, quien trasladó peritos, y de la Fiscalía del Estado, quien realizó los levantamientos". Romero López adelantó que en las próximas horas se estaránentregando otros cuerposa sus familiares y algunos de ellos a Mexicali, Baja California, y a los estados de Veracruz, Guanajuato y Zacatecas. "Vamos a avanzar y con el protocolo considero que, si está lista la funeraria... Se ha acompañado por parte del gobierno del estado también con los gastos funerarios y en cuidar a las familias sobrevivientes, apoyarlas y darles todo el respaldo que requieren en este momento tan triste para el pueblo", dijo. El funcionario también mencionó que laspersonas lesionadasfueron trasladadas a más de 11 hospitales del estado.[Publicidad]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8" s="15">
        <f>IFERROR(__xludf.DUMMYFUNCTION("""COMPUTED_VALUE"""),0.1782)</f>
        <v>0.1782</v>
      </c>
      <c r="P8" s="2"/>
      <c r="Q8" s="17">
        <f>IFERROR(__xludf.DUMMYFUNCTION("""COMPUTED_VALUE"""),4.0)</f>
        <v>4</v>
      </c>
      <c r="R8" s="2" t="str">
        <f>IFERROR(__xludf.DUMMYFUNCTION("""COMPUTED_VALUE"""),"Medium")</f>
        <v>Medium</v>
      </c>
      <c r="S8" s="17">
        <f>IFERROR(__xludf.DUMMYFUNCTION("""COMPUTED_VALUE"""),1.0)</f>
        <v>1</v>
      </c>
      <c r="T8" s="17">
        <f>IFERROR(__xludf.DUMMYFUNCTION("""COMPUTED_VALUE"""),0.0)</f>
        <v>0</v>
      </c>
      <c r="U8" s="14">
        <f>IFERROR(__xludf.DUMMYFUNCTION("""COMPUTED_VALUE"""),3.0)</f>
        <v>3</v>
      </c>
      <c r="V8" s="14">
        <v>2025.0</v>
      </c>
      <c r="W8" s="2" t="s">
        <v>1168</v>
      </c>
      <c r="X8" s="2" t="s">
        <v>1169</v>
      </c>
      <c r="Y8" s="13" t="s">
        <v>23</v>
      </c>
      <c r="Z8" s="14">
        <v>0.0</v>
      </c>
      <c r="AA8" s="14">
        <v>0.0</v>
      </c>
      <c r="AB8" s="14">
        <v>0.0</v>
      </c>
      <c r="AC8" s="14">
        <v>0.0</v>
      </c>
      <c r="AD8" s="2">
        <v>0.0</v>
      </c>
      <c r="AE8" s="2">
        <v>0.0</v>
      </c>
      <c r="AF8" s="2">
        <v>12.0</v>
      </c>
      <c r="AG8" s="2" t="s">
        <v>1176</v>
      </c>
      <c r="AH8" s="2">
        <v>0.0</v>
      </c>
    </row>
    <row r="9" ht="15.75" customHeight="1">
      <c r="A9" s="2" t="str">
        <f>IFERROR(__xludf.DUMMYFUNCTION("""COMPUTED_VALUE"""),"El Universal")</f>
        <v>El Universal</v>
      </c>
      <c r="B9" s="12" t="str">
        <f>IFERROR(__xludf.DUMMYFUNCTION("""COMPUTED_VALUE"""),"Familia misionera de Chihuahua, entre los heridos por descarrilamiento del Tren Interoceánico; el hijo continúa hospitalizado")</f>
        <v>Familia misionera de Chihuahua, entre los heridos por descarrilamiento del Tren Interoceánico; el hijo continúa hospitalizado</v>
      </c>
      <c r="C9" s="13" t="str">
        <f>IFERROR(__xludf.DUMMYFUNCTION("""COMPUTED_VALUE"""),"2025-12-29")</f>
        <v>2025-12-29</v>
      </c>
      <c r="D9" s="14">
        <f>IFERROR(__xludf.DUMMYFUNCTION("""COMPUTED_VALUE"""),2.0)</f>
        <v>2</v>
      </c>
      <c r="E9" s="15">
        <f>IFERROR(__xludf.DUMMYFUNCTION("""COMPUTED_VALUE"""),0.0)</f>
        <v>0</v>
      </c>
      <c r="F9" s="2" t="str">
        <f>IFERROR(__xludf.DUMMYFUNCTION("""COMPUTED_VALUE"""),"Neutral")</f>
        <v>Neutral</v>
      </c>
      <c r="G9" s="15">
        <f>IFERROR(__xludf.DUMMYFUNCTION("""COMPUTED_VALUE"""),0.5082)</f>
        <v>0.5082</v>
      </c>
      <c r="H9" s="2" t="str">
        <f>IFERROR(__xludf.DUMMYFUNCTION("""COMPUTED_VALUE"""),"Accidente de tránsito o choque vial")</f>
        <v>Accidente de tránsito o choque vial</v>
      </c>
      <c r="I9" s="2" t="str">
        <f>IFERROR(__xludf.DUMMYFUNCTION("""COMPUTED_VALUE"""),"N/A")</f>
        <v>N/A</v>
      </c>
      <c r="J9" s="2" t="str">
        <f>IFERROR(__xludf.DUMMYFUNCTION("""COMPUTED_VALUE"""),"Soporte DRV: Seguros/Guía post-siniestro.")</f>
        <v>Soporte DRV: Seguros/Guía post-siniestro.</v>
      </c>
      <c r="K9" s="2" t="str">
        <f>IFERROR(__xludf.DUMMYFUNCTION("""COMPUTED_VALUE"""),"Chihuahua")</f>
        <v>Chihuahua</v>
      </c>
      <c r="L9" s="2" t="str">
        <f>IFERROR(__xludf.DUMMYFUNCTION("""COMPUTED_VALUE"""),"Chihuahua")</f>
        <v>Chihuahua</v>
      </c>
      <c r="M9" s="16" t="str">
        <f>IFERROR(__xludf.DUMMYFUNCTION("""COMPUTED_VALUE"""),"https://www.eluniversal.com.mx/estados/familia-misionera-de-chihuahua-entre-los-heridos-por-descarrilamiento-del-tren-interoceanico-el-hijo-continua-hospitalizado/")</f>
        <v>https://www.eluniversal.com.mx/estados/familia-misionera-de-chihuahua-entre-los-heridos-por-descarrilamiento-del-tren-interoceanico-el-hijo-continua-hospitalizado/</v>
      </c>
      <c r="N9" s="2" t="str">
        <f>IFERROR(__xludf.DUMMYFUNCTION("""COMPUTED_VALUE"""),"Ciudad Juárez.- Una familia misionera de Ciudad Juárez, Chihuahua, conformada pordos adultos y un menor, resultaron lesionados en el accidente ocurrido el domingo pasado en elTren Interoceánicoen Oaxaca. Fue por medio de las redes sociales que activistas "&amp;"y misioneros de esta frontera, dieron a conocer, que el pasado 20 de diciembre losmisionerosidentificados como Flor del Carmen Temich Sinta, su esposo Juan Manuel Iglesias López y uno de sus 2 hijos, Alexis Iglesias Temich salieron de Juárez a las comunid"&amp;"ades rurales de Salinas Cruz, Oaxaca para llevar, regalos, dulces y comida a familias humildes de esa zona del país. El domingo que ocurrió el accidente del descarrilamiento del tren que dejó a13 personas sin vida, la familia juarense resultó lesionada y "&amp;"hasta ayer aún aparecían en las listas oficiales de afectados publicada por la Secretaría de Gobernación (Segob). En Ciudad Juárez, el pastor Carlos Mayorga, dio a conocer, que los misioneros Flor y su esposo Juan, habían sidodados de altadurante las últi"&amp;"mas horas, mientras que su hijo, quien también es misionero continuaba en el hospital militar de la capital de Oaxaca. Según detalló, el menor fue trasladado en helicóptero junto a su madre para hacerle estudios en la cabeza, ya que presentólesiones exter"&amp;"nas. La familia juarense se reportaba como fuera de peligro, sin embargo, se proporcionó una cuenta bancaria paraapoyar económicamentea los afectados que se dirigían a Veracruz, para pasar el fin de año con su familia.[Publicidad] El presidente municipal "&amp;"de Ciudad Juárez, Cruz Pérez Cuéllar, comentó en conferencia de prensa durante el lunes, que por parte del Gobierno local se estaría buscando a la familia misionera, para apoyarles en lo que fuera necesario.[Publicidad] Pérez Cuéllar afirmó que se buscará"&amp;" hacer contacto con elGobierno de México, para buscar apoyar a la familia afectada. Hasta al cierre de esta nota, no se tenía mayor información sobre el estado de salud de la familia juarense afectada. Copyright © Todos los derechos reservados | EL UNIVER"&amp;"SAL, Compañía Periodística Nacional. De no existir previa autorización, queda expresamente prohibida la Publicación, retransmisión, edición y cualquier otro uso de los contenidos Al navegar en este sitio aceptas las cookies que utilizamos para mejorar tu "&amp;"experiencia")</f>
        <v>Ciudad Juárez.- Una familia misionera de Ciudad Juárez, Chihuahua, conformada pordos adultos y un menor, resultaron lesionados en el accidente ocurrido el domingo pasado en elTren Interoceánicoen Oaxaca. Fue por medio de las redes sociales que activistas y misioneros de esta frontera, dieron a conocer, que el pasado 20 de diciembre losmisionerosidentificados como Flor del Carmen Temich Sinta, su esposo Juan Manuel Iglesias López y uno de sus 2 hijos, Alexis Iglesias Temich salieron de Juárez a las comunidades rurales de Salinas Cruz, Oaxaca para llevar, regalos, dulces y comida a familias humildes de esa zona del país. El domingo que ocurrió el accidente del descarrilamiento del tren que dejó a13 personas sin vida, la familia juarense resultó lesionada y hasta ayer aún aparecían en las listas oficiales de afectados publicada por la Secretaría de Gobernación (Segob). En Ciudad Juárez, el pastor Carlos Mayorga, dio a conocer, que los misioneros Flor y su esposo Juan, habían sidodados de altadurante las últimas horas, mientras que su hijo, quien también es misionero continuaba en el hospital militar de la capital de Oaxaca. Según detalló, el menor fue trasladado en helicóptero junto a su madre para hacerle estudios en la cabeza, ya que presentólesiones externas. La familia juarense se reportaba como fuera de peligro, sin embargo, se proporcionó una cuenta bancaria paraapoyar económicamentea los afectados que se dirigían a Veracruz, para pasar el fin de año con su familia.[Publicidad] El presidente municipal de Ciudad Juárez, Cruz Pérez Cuéllar, comentó en conferencia de prensa durante el lunes, que por parte del Gobierno local se estaría buscando a la familia misionera, para apoyarles en lo que fuera necesario.[Publicidad] Pérez Cuéllar afirmó que se buscará hacer contacto con elGobierno de México, para buscar apoyar a la familia afectada. Hasta al cierre de esta nota, no se tenía mayor información sobre el estado de salud de la familia juarense afectada.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9" s="15">
        <f>IFERROR(__xludf.DUMMYFUNCTION("""COMPUTED_VALUE"""),0.502)</f>
        <v>0.502</v>
      </c>
      <c r="P9" s="2"/>
      <c r="Q9" s="17">
        <f>IFERROR(__xludf.DUMMYFUNCTION("""COMPUTED_VALUE"""),8.5)</f>
        <v>8.5</v>
      </c>
      <c r="R9" s="2" t="str">
        <f>IFERROR(__xludf.DUMMYFUNCTION("""COMPUTED_VALUE"""),"Low")</f>
        <v>Low</v>
      </c>
      <c r="S9" s="17">
        <f>IFERROR(__xludf.DUMMYFUNCTION("""COMPUTED_VALUE"""),0.5)</f>
        <v>0.5</v>
      </c>
      <c r="T9" s="17">
        <f>IFERROR(__xludf.DUMMYFUNCTION("""COMPUTED_VALUE"""),0.0)</f>
        <v>0</v>
      </c>
      <c r="U9" s="14">
        <f>IFERROR(__xludf.DUMMYFUNCTION("""COMPUTED_VALUE"""),3.0)</f>
        <v>3</v>
      </c>
      <c r="V9" s="14">
        <v>2025.0</v>
      </c>
      <c r="W9" s="2" t="s">
        <v>1168</v>
      </c>
      <c r="X9" s="2" t="s">
        <v>1169</v>
      </c>
      <c r="Y9" s="13" t="s">
        <v>23</v>
      </c>
      <c r="Z9" s="14">
        <v>0.0</v>
      </c>
      <c r="AA9" s="14">
        <v>0.0</v>
      </c>
      <c r="AB9" s="14">
        <v>0.0</v>
      </c>
      <c r="AC9" s="14">
        <v>0.0</v>
      </c>
      <c r="AD9" s="2">
        <v>0.0</v>
      </c>
      <c r="AE9" s="2">
        <v>0.0</v>
      </c>
      <c r="AF9" s="2">
        <v>12.0</v>
      </c>
      <c r="AG9" s="2" t="s">
        <v>1177</v>
      </c>
      <c r="AH9" s="2">
        <v>0.0</v>
      </c>
    </row>
    <row r="10" ht="15.75" customHeight="1">
      <c r="A10" s="2" t="str">
        <f>IFERROR(__xludf.DUMMYFUNCTION("""COMPUTED_VALUE"""),"El Universal")</f>
        <v>El Universal</v>
      </c>
      <c r="B10" s="12" t="str">
        <f>IFERROR(__xludf.DUMMYFUNCTION("""COMPUTED_VALUE"""),"Identifican al conductor de Lamborghini muerto tras tiroteo en Zapopan; era comerciante del Mercado de Abastos de Guadalajara")</f>
        <v>Identifican al conductor de Lamborghini muerto tras tiroteo en Zapopan; era comerciante del Mercado de Abastos de Guadalajara</v>
      </c>
      <c r="C10" s="13" t="str">
        <f>IFERROR(__xludf.DUMMYFUNCTION("""COMPUTED_VALUE"""),"2025-12-29")</f>
        <v>2025-12-29</v>
      </c>
      <c r="D10" s="14">
        <f>IFERROR(__xludf.DUMMYFUNCTION("""COMPUTED_VALUE"""),4.0)</f>
        <v>4</v>
      </c>
      <c r="E10" s="15">
        <f>IFERROR(__xludf.DUMMYFUNCTION("""COMPUTED_VALUE"""),0.0)</f>
        <v>0</v>
      </c>
      <c r="F10" s="2" t="str">
        <f>IFERROR(__xludf.DUMMYFUNCTION("""COMPUTED_VALUE"""),"Neutral")</f>
        <v>Neutral</v>
      </c>
      <c r="G10" s="15">
        <f>IFERROR(__xludf.DUMMYFUNCTION("""COMPUTED_VALUE"""),0.485)</f>
        <v>0.485</v>
      </c>
      <c r="H10" s="2" t="str">
        <f>IFERROR(__xludf.DUMMYFUNCTION("""COMPUTED_VALUE"""),"Operativo policial o detención")</f>
        <v>Operativo policial o detención</v>
      </c>
      <c r="I10" s="2" t="str">
        <f>IFERROR(__xludf.DUMMYFUNCTION("""COMPUTED_VALUE"""),"N/A")</f>
        <v>N/A</v>
      </c>
      <c r="J10" s="2" t="str">
        <f>IFERROR(__xludf.DUMMYFUNCTION("""COMPUTED_VALUE"""),"Monitoreo general.")</f>
        <v>Monitoreo general.</v>
      </c>
      <c r="K10" s="2" t="str">
        <f>IFERROR(__xludf.DUMMYFUNCTION("""COMPUTED_VALUE"""),"Zapopan")</f>
        <v>Zapopan</v>
      </c>
      <c r="L10" s="2" t="str">
        <f>IFERROR(__xludf.DUMMYFUNCTION("""COMPUTED_VALUE"""),"Jalisco")</f>
        <v>Jalisco</v>
      </c>
      <c r="M10" s="16" t="str">
        <f>IFERROR(__xludf.DUMMYFUNCTION("""COMPUTED_VALUE"""),"https://www.eluniversal.com.mx/estados/identifican-al-conductor-de-lamborghini-muerto-tras-tiroteo-en-zapopan-era-comerciante-del-mercado-de-abastos-de-guadalajara/")</f>
        <v>https://www.eluniversal.com.mx/estados/identifican-al-conductor-de-lamborghini-muerto-tras-tiroteo-en-zapopan-era-comerciante-del-mercado-de-abastos-de-guadalajara/</v>
      </c>
      <c r="N10" s="2" t="str">
        <f>IFERROR(__xludf.DUMMYFUNCTION("""COMPUTED_VALUE"""),"La Fiscalía de Jalisco confirmó que ya sontres personas fallecidastras eltiroteode esta mañana en Zapopan; se forma preliminar se ha informado que las víctimas son uncomerciante del Mercado de Abastos de Guadalajara, su hija menor de edad y uno de los esc"&amp;"oltas que los resguardaba. Además, se informó que los otros cuatro heridos también son escoltas del comerciante y uno de ellos se encuentra encondición grave; aunque las autoridades siguen verificando la identidad de las víctimas, de forma extraoficial se"&amp;" ha dicho que el conductor del vehículo eraAlberto Prieto Valencia, un empresario dedicado a la comercialización de semillas, cereales y abarrotes, y con participación en empresas de trasporte de carga. Mientras la Fiscalía de Jalisco se encuentra realiza"&amp;"ndo las investigaciones en el sitio donde ocurrieron los hechos, los responsables del ataque han filtrado un par de videos que circulan en redes sociales en los que se puede ver queintervinieron al menos 10 personascon armas largas que viajaban en cinco v"&amp;"ehículos. En uno de los videos se observa que al menos cinco sujetos disparan contra el Lamborghini anaranjado desde la calle Brillante, en tanto que otro grupo lo ataca de frente sobre la avenida Topacio; de pronto alguien grita una clave (“85”) y todos "&amp;"suben a los vehículos paraescapar. En el otro video la persona que graba con un teléfono celular está sobre la avenida Topacio y registra el paso de las dos camionetas en que viajaban los escoltas tras elvehículo del empresario, que al llegar a la esquina"&amp;" de la calle Brillante es atacado de frente y por el flanco izquierdo; al verse superados los escoltas intentan escapar en reversa para resguardarse. Las autoridades no han brindado mayor información sobre lo ocurrido ni alguna posible línea de investigac"&amp;"ión.[Publicidad] Copyright © Todos los derechos reservados | EL UNIVERSAL, Compañía Periodística Nacional. De no existir previa autorización, queda expresamente prohibida la Publicación, retransmisión, edición y cualquier otro uso de los contenidos Al nav"&amp;"egar en este sitio aceptas las cookies que utilizamos para mejorar tu experiencia")</f>
        <v>La Fiscalía de Jalisco confirmó que ya sontres personas fallecidastras eltiroteode esta mañana en Zapopan; se forma preliminar se ha informado que las víctimas son uncomerciante del Mercado de Abastos de Guadalajara, su hija menor de edad y uno de los escoltas que los resguardaba. Además, se informó que los otros cuatro heridos también son escoltas del comerciante y uno de ellos se encuentra encondición grave; aunque las autoridades siguen verificando la identidad de las víctimas, de forma extraoficial se ha dicho que el conductor del vehículo eraAlberto Prieto Valencia, un empresario dedicado a la comercialización de semillas, cereales y abarrotes, y con participación en empresas de trasporte de carga. Mientras la Fiscalía de Jalisco se encuentra realizando las investigaciones en el sitio donde ocurrieron los hechos, los responsables del ataque han filtrado un par de videos que circulan en redes sociales en los que se puede ver queintervinieron al menos 10 personascon armas largas que viajaban en cinco vehículos. En uno de los videos se observa que al menos cinco sujetos disparan contra el Lamborghini anaranjado desde la calle Brillante, en tanto que otro grupo lo ataca de frente sobre la avenida Topacio; de pronto alguien grita una clave (“85”) y todos suben a los vehículos paraescapar. En el otro video la persona que graba con un teléfono celular está sobre la avenida Topacio y registra el paso de las dos camionetas en que viajaban los escoltas tras elvehículo del empresario, que al llegar a la esquina de la calle Brillante es atacado de frente y por el flanco izquierdo; al verse superados los escoltas intentan escapar en reversa para resguardarse. Las autoridades no han brindado mayor información sobre lo ocurrido ni alguna posible línea de investigación.[Publicidad]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0" s="15">
        <f>IFERROR(__xludf.DUMMYFUNCTION("""COMPUTED_VALUE"""),0.3233)</f>
        <v>0.3233</v>
      </c>
      <c r="P10" s="2"/>
      <c r="Q10" s="17">
        <f>IFERROR(__xludf.DUMMYFUNCTION("""COMPUTED_VALUE"""),8.5)</f>
        <v>8.5</v>
      </c>
      <c r="R10" s="2" t="str">
        <f>IFERROR(__xludf.DUMMYFUNCTION("""COMPUTED_VALUE"""),"Low")</f>
        <v>Low</v>
      </c>
      <c r="S10" s="17">
        <f>IFERROR(__xludf.DUMMYFUNCTION("""COMPUTED_VALUE"""),0.0)</f>
        <v>0</v>
      </c>
      <c r="T10" s="17">
        <f>IFERROR(__xludf.DUMMYFUNCTION("""COMPUTED_VALUE"""),0.0)</f>
        <v>0</v>
      </c>
      <c r="U10" s="14">
        <f>IFERROR(__xludf.DUMMYFUNCTION("""COMPUTED_VALUE"""),3.0)</f>
        <v>3</v>
      </c>
      <c r="V10" s="14">
        <v>2025.0</v>
      </c>
      <c r="W10" s="2" t="s">
        <v>1168</v>
      </c>
      <c r="X10" s="2" t="s">
        <v>1169</v>
      </c>
      <c r="Y10" s="13" t="s">
        <v>23</v>
      </c>
      <c r="Z10" s="14">
        <v>0.0</v>
      </c>
      <c r="AA10" s="14">
        <v>0.0</v>
      </c>
      <c r="AB10" s="14">
        <v>0.0</v>
      </c>
      <c r="AC10" s="14">
        <v>0.0</v>
      </c>
      <c r="AD10" s="2">
        <v>0.0</v>
      </c>
      <c r="AE10" s="2">
        <v>1.0</v>
      </c>
      <c r="AF10" s="2">
        <v>12.0</v>
      </c>
      <c r="AG10" s="2" t="s">
        <v>1173</v>
      </c>
      <c r="AH10" s="2">
        <v>0.0</v>
      </c>
    </row>
    <row r="11" ht="15.75" customHeight="1">
      <c r="A11" s="2" t="str">
        <f>IFERROR(__xludf.DUMMYFUNCTION("""COMPUTED_VALUE"""),"El Universal")</f>
        <v>El Universal</v>
      </c>
      <c r="B11" s="12" t="str">
        <f>IFERROR(__xludf.DUMMYFUNCTION("""COMPUTED_VALUE"""),"Autoridades de Sinaloa pide reportar detonaciones al aire en fin de año; lanza campaña “Celebra sin Disparar”")</f>
        <v>Autoridades de Sinaloa pide reportar detonaciones al aire en fin de año; lanza campaña “Celebra sin Disparar”</v>
      </c>
      <c r="C11" s="13" t="str">
        <f>IFERROR(__xludf.DUMMYFUNCTION("""COMPUTED_VALUE"""),"2025-12-29")</f>
        <v>2025-12-29</v>
      </c>
      <c r="D11" s="14">
        <f>IFERROR(__xludf.DUMMYFUNCTION("""COMPUTED_VALUE"""),1.0)</f>
        <v>1</v>
      </c>
      <c r="E11" s="15">
        <f>IFERROR(__xludf.DUMMYFUNCTION("""COMPUTED_VALUE"""),0.0)</f>
        <v>0</v>
      </c>
      <c r="F11" s="2" t="str">
        <f>IFERROR(__xludf.DUMMYFUNCTION("""COMPUTED_VALUE"""),"Neutral")</f>
        <v>Neutral</v>
      </c>
      <c r="G11" s="15">
        <f>IFERROR(__xludf.DUMMYFUNCTION("""COMPUTED_VALUE"""),0.5044)</f>
        <v>0.5044</v>
      </c>
      <c r="H11" s="2" t="str">
        <f>IFERROR(__xludf.DUMMYFUNCTION("""COMPUTED_VALUE"""),"Otros temas generales")</f>
        <v>Otros temas generales</v>
      </c>
      <c r="I11" s="2" t="str">
        <f>IFERROR(__xludf.DUMMYFUNCTION("""COMPUTED_VALUE"""),"N/A")</f>
        <v>N/A</v>
      </c>
      <c r="J11" s="2" t="str">
        <f>IFERROR(__xludf.DUMMYFUNCTION("""COMPUTED_VALUE"""),"Descartar / Baja prioridad.")</f>
        <v>Descartar / Baja prioridad.</v>
      </c>
      <c r="K11" s="2" t="str">
        <f>IFERROR(__xludf.DUMMYFUNCTION("""COMPUTED_VALUE"""),"Sinaloa")</f>
        <v>Sinaloa</v>
      </c>
      <c r="L11" s="2" t="str">
        <f>IFERROR(__xludf.DUMMYFUNCTION("""COMPUTED_VALUE"""),"Sinaloa")</f>
        <v>Sinaloa</v>
      </c>
      <c r="M11" s="16" t="str">
        <f>IFERROR(__xludf.DUMMYFUNCTION("""COMPUTED_VALUE"""),"https://www.eluniversal.com.mx/estados/autoridades-de-sinaloa-piden-denunciar-disparos-al-aire-en-ano-nuevo-piden-sumarse-a-la-campana-celebra-sin-disparar/")</f>
        <v>https://www.eluniversal.com.mx/estados/autoridades-de-sinaloa-piden-denunciar-disparos-al-aire-en-ano-nuevo-piden-sumarse-a-la-campana-celebra-sin-disparar/</v>
      </c>
      <c r="N11" s="2" t="str">
        <f>IFERROR(__xludf.DUMMYFUNCTION("""COMPUTED_VALUE"""),"Culiacán, Sin.- La Secretaría de Seguridad Pública del Estado instó a los ciudadanos evitar la vieja tradición de festejar el fin de Año y el inicio del Nuevo Año condetonaciones de armasde fuego al aire, por lo que puso a disposición las líneas de emerge"&amp;"ncia para que se realicendenuncias anónimassobre esta práctica y la autoridad pueda actuar de inmediato. A través de un breve comunicado hizo un llamado a laconcienciaciudadana sobre el riesgo que implica el uso de las armas de fuego, en estos festejos po"&amp;"r lo que las diversas autoridades van actuar contra los queviolenten la leycon este tipo de festejos. Convocó a la población a sumarse a la campaña “Celebra sin Disparar”, por lo que puso en marcha a través de redes sociales sobre los riegos que implican "&amp;"continuar con esta práctica que en muchos casos dejan daños irreparables en las familias. Se menciona que la portación de armas de fuego y su empleo, constituyen un delito del fueron federal, por lo que se atenderán todas las llamadas anónimas que realice"&amp;" la población para atender denuncias sobre detonaciones de armas de fuego durante los festejos de Fin de Año y el Inicio del Nuevo. Como parte deloperativo Guadalupe-Reyes, se tiene un despliegue de elementos del ejército, la Guardia Nacional, personal Na"&amp;"val, de las Policías federal, estatal y municipal en todo el estado para intervenir con rapidez. Copyright © Todos los derechos reservados | EL UNIVERSAL, Compañía Periodística Nacional. De no existir previa autorización, queda expresamente prohibida la P"&amp;"ublicación, retransmisión, edición y cualquier otro uso de los contenidos Al navegar en este sitio aceptas las cookies que utilizamos para mejorar tu experiencia")</f>
        <v>Culiacán, Sin.- La Secretaría de Seguridad Pública del Estado instó a los ciudadanos evitar la vieja tradición de festejar el fin de Año y el inicio del Nuevo Año condetonaciones de armasde fuego al aire, por lo que puso a disposición las líneas de emergencia para que se realicendenuncias anónimassobre esta práctica y la autoridad pueda actuar de inmediato. A través de un breve comunicado hizo un llamado a laconcienciaciudadana sobre el riesgo que implica el uso de las armas de fuego, en estos festejos por lo que las diversas autoridades van actuar contra los queviolenten la leycon este tipo de festejos. Convocó a la población a sumarse a la campaña “Celebra sin Disparar”, por lo que puso en marcha a través de redes sociales sobre los riegos que implican continuar con esta práctica que en muchos casos dejan daños irreparables en las familias. Se menciona que la portación de armas de fuego y su empleo, constituyen un delito del fueron federal, por lo que se atenderán todas las llamadas anónimas que realice la población para atender denuncias sobre detonaciones de armas de fuego durante los festejos de Fin de Año y el Inicio del Nuevo. Como parte deloperativo Guadalupe-Reyes, se tiene un despliegue de elementos del ejército, la Guardia Nacional, personal Naval, de las Policías federal, estatal y municipal en todo el estado para intervenir con rapidez.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1" s="15">
        <f>IFERROR(__xludf.DUMMYFUNCTION("""COMPUTED_VALUE"""),0.3608)</f>
        <v>0.3608</v>
      </c>
      <c r="P11" s="2"/>
      <c r="Q11" s="17">
        <f>IFERROR(__xludf.DUMMYFUNCTION("""COMPUTED_VALUE"""),8.5)</f>
        <v>8.5</v>
      </c>
      <c r="R11" s="2" t="str">
        <f>IFERROR(__xludf.DUMMYFUNCTION("""COMPUTED_VALUE"""),"Low")</f>
        <v>Low</v>
      </c>
      <c r="S11" s="17">
        <f>IFERROR(__xludf.DUMMYFUNCTION("""COMPUTED_VALUE"""),0.5)</f>
        <v>0.5</v>
      </c>
      <c r="T11" s="17">
        <f>IFERROR(__xludf.DUMMYFUNCTION("""COMPUTED_VALUE"""),0.0)</f>
        <v>0</v>
      </c>
      <c r="U11" s="14">
        <f>IFERROR(__xludf.DUMMYFUNCTION("""COMPUTED_VALUE"""),3.0)</f>
        <v>3</v>
      </c>
      <c r="V11" s="14">
        <v>2025.0</v>
      </c>
      <c r="W11" s="2" t="s">
        <v>1168</v>
      </c>
      <c r="X11" s="2" t="s">
        <v>1169</v>
      </c>
      <c r="Y11" s="13" t="s">
        <v>23</v>
      </c>
      <c r="Z11" s="14">
        <v>0.0</v>
      </c>
      <c r="AA11" s="14">
        <v>0.0</v>
      </c>
      <c r="AB11" s="14">
        <v>0.0</v>
      </c>
      <c r="AC11" s="14">
        <v>0.0</v>
      </c>
      <c r="AD11" s="2">
        <v>0.0</v>
      </c>
      <c r="AE11" s="2">
        <v>0.0</v>
      </c>
      <c r="AF11" s="2">
        <v>12.0</v>
      </c>
      <c r="AG11" s="2" t="s">
        <v>1172</v>
      </c>
      <c r="AH11" s="2">
        <v>0.0</v>
      </c>
    </row>
    <row r="12" ht="15.75" customHeight="1">
      <c r="A12" s="2" t="str">
        <f>IFERROR(__xludf.DUMMYFUNCTION("""COMPUTED_VALUE"""),"El Universal")</f>
        <v>El Universal</v>
      </c>
      <c r="B12" s="12" t="str">
        <f>IFERROR(__xludf.DUMMYFUNCTION("""COMPUTED_VALUE"""),"Explotan dos camionetas en San Agustín Tlaxiaca, Hidalgo; eran presuntamente usadas para el robo de combustible")</f>
        <v>Explotan dos camionetas en San Agustín Tlaxiaca, Hidalgo; eran presuntamente usadas para el robo de combustible</v>
      </c>
      <c r="C12" s="13" t="str">
        <f>IFERROR(__xludf.DUMMYFUNCTION("""COMPUTED_VALUE"""),"2025-12-29")</f>
        <v>2025-12-29</v>
      </c>
      <c r="D12" s="14">
        <f>IFERROR(__xludf.DUMMYFUNCTION("""COMPUTED_VALUE"""),2.0)</f>
        <v>2</v>
      </c>
      <c r="E12" s="15">
        <f>IFERROR(__xludf.DUMMYFUNCTION("""COMPUTED_VALUE"""),-0.6758)</f>
        <v>-0.6758</v>
      </c>
      <c r="F12" s="2" t="str">
        <f>IFERROR(__xludf.DUMMYFUNCTION("""COMPUTED_VALUE"""),"Negativo")</f>
        <v>Negativo</v>
      </c>
      <c r="G12" s="15">
        <f>IFERROR(__xludf.DUMMYFUNCTION("""COMPUTED_VALUE"""),0.6758)</f>
        <v>0.6758</v>
      </c>
      <c r="H12" s="2" t="str">
        <f>IFERROR(__xludf.DUMMYFUNCTION("""COMPUTED_VALUE"""),"Operativo policial o detención")</f>
        <v>Operativo policial o detención</v>
      </c>
      <c r="I12" s="2" t="str">
        <f>IFERROR(__xludf.DUMMYFUNCTION("""COMPUTED_VALUE"""),"N/A")</f>
        <v>N/A</v>
      </c>
      <c r="J12" s="2" t="str">
        <f>IFERROR(__xludf.DUMMYFUNCTION("""COMPUTED_VALUE"""),"Monitoreo general.")</f>
        <v>Monitoreo general.</v>
      </c>
      <c r="K12" s="2" t="str">
        <f>IFERROR(__xludf.DUMMYFUNCTION("""COMPUTED_VALUE"""),"Hidalgo")</f>
        <v>Hidalgo</v>
      </c>
      <c r="L12" s="2" t="str">
        <f>IFERROR(__xludf.DUMMYFUNCTION("""COMPUTED_VALUE"""),"Hidalgo")</f>
        <v>Hidalgo</v>
      </c>
      <c r="M12" s="16" t="str">
        <f>IFERROR(__xludf.DUMMYFUNCTION("""COMPUTED_VALUE"""),"https://www.eluniversal.com.mx/estados/explotan-dos-camionetas-en-san-agustin-tlaxiaca-hidalgo-eran-presuntamente-usadas-para-el-robo-de-combustible/")</f>
        <v>https://www.eluniversal.com.mx/estados/explotan-dos-camionetas-en-san-agustin-tlaxiaca-hidalgo-eran-presuntamente-usadas-para-el-robo-de-combustible/</v>
      </c>
      <c r="N12" s="2" t="str">
        <f>IFERROR(__xludf.DUMMYFUNCTION("""COMPUTED_VALUE"""),"Pachuca.- Al menos dos camionetas, presuntamente utilizadas para elrobo de combustible, explotaron la mañana de este día en el municipio de San Agustín Tlaxiaca, en el estado de Hidalgo, junto alpoliducto Tuxpan–Tula, a la altura del kilómetro 262. De acu"&amp;"erdo con reportes policiales, vecinos de la zona alertaron a las autoridades tras escuchar un fuerte estruendo y observar llamas, por lo que solicitaron el apoyo de Protección Civil y corporaciones de seguridad. Al acudir al sitio, los cuerpos de emergenc"&amp;"ia localizaron dos unidades completamentecalcinadas. Se indicó que la explosión ocurrió en las inmediaciones deinfraestructura energética; sin embargo, tras una inspección en la zona se descartaron daños a las instalaciones. No obstante, el área fue asegu"&amp;"rada por las autoridades como medida preventiva. Asimismo, se informó que junto a las unidades fue localizada una toma clandestina, la cual ya había sido sellada con anterioridad. Elementos de Protección Civil y Bomberos procedieron a acordonar la zona pa"&amp;"radescartar riesgosa la población. Cabe señalar que el municipio de San Agustín Tlaxiaca se encuentra dentro del ranking de los 100 municipios con mayor número detomas clandestinas, de acuerdo con datos del Observatorio Ciudadano, Igavim. En lo que va del"&amp;" año, en esta demarcación se han detectado80 tomas clandestinas.[Publicidad] A nivel estatal, Hidalgo acumuló mil 918 tomas clandestinas de enero a septiembre, lo que representa un incremento del 0.37 por ciento en comparación con el mismo periodo del año"&amp;" anterior. Copyright © Todos los derechos reservados | EL UNIVERSAL, Compañía Periodística Nacional. De no existir previa autorización, queda expresamente prohibida la Publicación, retransmisión, edición y cualquier otro uso de los contenidos Al navegar e"&amp;"n este sitio aceptas las cookies que utilizamos para mejorar tu experiencia")</f>
        <v>Pachuca.- Al menos dos camionetas, presuntamente utilizadas para elrobo de combustible, explotaron la mañana de este día en el municipio de San Agustín Tlaxiaca, en el estado de Hidalgo, junto alpoliducto Tuxpan–Tula, a la altura del kilómetro 262. De acuerdo con reportes policiales, vecinos de la zona alertaron a las autoridades tras escuchar un fuerte estruendo y observar llamas, por lo que solicitaron el apoyo de Protección Civil y corporaciones de seguridad. Al acudir al sitio, los cuerpos de emergencia localizaron dos unidades completamentecalcinadas. Se indicó que la explosión ocurrió en las inmediaciones deinfraestructura energética; sin embargo, tras una inspección en la zona se descartaron daños a las instalaciones. No obstante, el área fue asegurada por las autoridades como medida preventiva. Asimismo, se informó que junto a las unidades fue localizada una toma clandestina, la cual ya había sido sellada con anterioridad. Elementos de Protección Civil y Bomberos procedieron a acordonar la zona paradescartar riesgosa la población. Cabe señalar que el municipio de San Agustín Tlaxiaca se encuentra dentro del ranking de los 100 municipios con mayor número detomas clandestinas, de acuerdo con datos del Observatorio Ciudadano, Igavim. En lo que va del año, en esta demarcación se han detectado80 tomas clandestinas.[Publicidad] A nivel estatal, Hidalgo acumuló mil 918 tomas clandestinas de enero a septiembre, lo que representa un incremento del 0.37 por ciento en comparación con el mismo periodo del año anterior.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2" s="15">
        <f>IFERROR(__xludf.DUMMYFUNCTION("""COMPUTED_VALUE"""),0.2693)</f>
        <v>0.2693</v>
      </c>
      <c r="P12" s="2"/>
      <c r="Q12" s="17">
        <f>IFERROR(__xludf.DUMMYFUNCTION("""COMPUTED_VALUE"""),8.5)</f>
        <v>8.5</v>
      </c>
      <c r="R12" s="2" t="str">
        <f>IFERROR(__xludf.DUMMYFUNCTION("""COMPUTED_VALUE"""),"Low")</f>
        <v>Low</v>
      </c>
      <c r="S12" s="17">
        <f>IFERROR(__xludf.DUMMYFUNCTION("""COMPUTED_VALUE"""),0.5)</f>
        <v>0.5</v>
      </c>
      <c r="T12" s="17">
        <f>IFERROR(__xludf.DUMMYFUNCTION("""COMPUTED_VALUE"""),0.0)</f>
        <v>0</v>
      </c>
      <c r="U12" s="14">
        <f>IFERROR(__xludf.DUMMYFUNCTION("""COMPUTED_VALUE"""),3.0)</f>
        <v>3</v>
      </c>
      <c r="V12" s="14">
        <v>2025.0</v>
      </c>
      <c r="W12" s="2" t="s">
        <v>1168</v>
      </c>
      <c r="X12" s="2" t="s">
        <v>1169</v>
      </c>
      <c r="Y12" s="13" t="s">
        <v>23</v>
      </c>
      <c r="Z12" s="14">
        <v>0.0</v>
      </c>
      <c r="AA12" s="14">
        <v>0.0</v>
      </c>
      <c r="AB12" s="14">
        <v>0.0</v>
      </c>
      <c r="AC12" s="14">
        <v>0.0</v>
      </c>
      <c r="AD12" s="2">
        <v>0.0</v>
      </c>
      <c r="AE12" s="2">
        <v>0.0</v>
      </c>
      <c r="AF12" s="2">
        <v>12.0</v>
      </c>
      <c r="AG12" s="2" t="s">
        <v>1178</v>
      </c>
      <c r="AH12" s="2">
        <v>0.0</v>
      </c>
    </row>
    <row r="13" ht="15.75" customHeight="1">
      <c r="A13" s="2" t="str">
        <f>IFERROR(__xludf.DUMMYFUNCTION("""COMPUTED_VALUE"""),"El Universal")</f>
        <v>El Universal</v>
      </c>
      <c r="B13" s="12" t="str">
        <f>IFERROR(__xludf.DUMMYFUNCTION("""COMPUTED_VALUE"""),"Arrancones en la carretera Mérida-Progreso provocan accidente; hay un motociclista con heridas graves")</f>
        <v>Arrancones en la carretera Mérida-Progreso provocan accidente; hay un motociclista con heridas graves</v>
      </c>
      <c r="C13" s="13" t="str">
        <f>IFERROR(__xludf.DUMMYFUNCTION("""COMPUTED_VALUE"""),"2025-12-29")</f>
        <v>2025-12-29</v>
      </c>
      <c r="D13" s="14">
        <f>IFERROR(__xludf.DUMMYFUNCTION("""COMPUTED_VALUE"""),2.0)</f>
        <v>2</v>
      </c>
      <c r="E13" s="15">
        <f>IFERROR(__xludf.DUMMYFUNCTION("""COMPUTED_VALUE"""),-0.6355)</f>
        <v>-0.6355</v>
      </c>
      <c r="F13" s="2" t="str">
        <f>IFERROR(__xludf.DUMMYFUNCTION("""COMPUTED_VALUE"""),"Negativo")</f>
        <v>Negativo</v>
      </c>
      <c r="G13" s="15">
        <f>IFERROR(__xludf.DUMMYFUNCTION("""COMPUTED_VALUE"""),0.6355)</f>
        <v>0.6355</v>
      </c>
      <c r="H13" s="2" t="str">
        <f>IFERROR(__xludf.DUMMYFUNCTION("""COMPUTED_VALUE"""),"Accidente de tránsito o choque vial")</f>
        <v>Accidente de tránsito o choque vial</v>
      </c>
      <c r="I13" s="2" t="str">
        <f>IFERROR(__xludf.DUMMYFUNCTION("""COMPUTED_VALUE"""),"N/A")</f>
        <v>N/A</v>
      </c>
      <c r="J13" s="2" t="str">
        <f>IFERROR(__xludf.DUMMYFUNCTION("""COMPUTED_VALUE"""),"Soporte DRV: Seguros/Guía post-siniestro.")</f>
        <v>Soporte DRV: Seguros/Guía post-siniestro.</v>
      </c>
      <c r="K13" s="2" t="str">
        <f>IFERROR(__xludf.DUMMYFUNCTION("""COMPUTED_VALUE"""),"Mérida")</f>
        <v>Mérida</v>
      </c>
      <c r="L13" s="2" t="str">
        <f>IFERROR(__xludf.DUMMYFUNCTION("""COMPUTED_VALUE"""),"Yucatán")</f>
        <v>Yucatán</v>
      </c>
      <c r="M13" s="16" t="str">
        <f>IFERROR(__xludf.DUMMYFUNCTION("""COMPUTED_VALUE"""),"https://www.eluniversal.com.mx/estados/arrancones-en-la-carretera-merida-progreso-provocan-accidente-hay-un-motociclista-con-heridas-graves/")</f>
        <v>https://www.eluniversal.com.mx/estados/arrancones-en-la-carretera-merida-progreso-provocan-accidente-hay-un-motociclista-con-heridas-graves/</v>
      </c>
      <c r="N13" s="2" t="str">
        <f>IFERROR(__xludf.DUMMYFUNCTION("""COMPUTED_VALUE"""),"Progreso, Yucatán.- Sobre lacarretera Mérida-Progreso, a pocos metros de la entrada a la comisaría de Flamboyanes, se registró un fuerteaccidente, luego de que dos motociclistas realizaban “arrancones” lo que habría derivado en una colisión con un automóv"&amp;"il. El percance ocurrió cerca de la medianoche de ayer domingo, cuando un vehículo Chevrolet terminóimpactando contra una de las motocicletas. Tras el golpe, el automóvil perdió el control del volante y salió de la carpeta asfáltica para terminar volcando"&amp;" entre la maleza, mientras que la motocicleta quedó prácticamentedestrozada. El motociclista involucrado resultó con múltipleslesionesy, de acuerdo con testigos, el otro joven que participaba en los “arrancones” huyó del lugar abandonando a su compañero. "&amp;"Conductores y vecinos auxiliaron al motociclista herido y al conductor del automóvil. Minutos más tarde arribaron paramédicos de la Secretaría de Seguridad Pública, quienes trasladaron a los dos lesionados alhospital. Copyright © Todos los derechos reserv"&amp;"ados | EL UNIVERSAL, Compañía Periodística Nacional. De no existir previa autorización, queda expresamente prohibida la Publicación, retransmisión, edición y cualquier otro uso de los contenidos Al navegar en este sitio aceptas las cookies que utilizamos "&amp;"para mejorar tu experiencia")</f>
        <v>Progreso, Yucatán.- Sobre lacarretera Mérida-Progreso, a pocos metros de la entrada a la comisaría de Flamboyanes, se registró un fuerteaccidente, luego de que dos motociclistas realizaban “arrancones” lo que habría derivado en una colisión con un automóvil. El percance ocurrió cerca de la medianoche de ayer domingo, cuando un vehículo Chevrolet terminóimpactando contra una de las motocicletas. Tras el golpe, el automóvil perdió el control del volante y salió de la carpeta asfáltica para terminar volcando entre la maleza, mientras que la motocicleta quedó prácticamentedestrozada. El motociclista involucrado resultó con múltipleslesionesy, de acuerdo con testigos, el otro joven que participaba en los “arrancones” huyó del lugar abandonando a su compañero. Conductores y vecinos auxiliaron al motociclista herido y al conductor del automóvil. Minutos más tarde arribaron paramédicos de la Secretaría de Seguridad Pública, quienes trasladaron a los dos lesionados alhospital.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3" s="15">
        <f>IFERROR(__xludf.DUMMYFUNCTION("""COMPUTED_VALUE"""),0.8851)</f>
        <v>0.8851</v>
      </c>
      <c r="P13" s="2"/>
      <c r="Q13" s="17">
        <f>IFERROR(__xludf.DUMMYFUNCTION("""COMPUTED_VALUE"""),8.5)</f>
        <v>8.5</v>
      </c>
      <c r="R13" s="2" t="str">
        <f>IFERROR(__xludf.DUMMYFUNCTION("""COMPUTED_VALUE"""),"High")</f>
        <v>High</v>
      </c>
      <c r="S13" s="17">
        <f>IFERROR(__xludf.DUMMYFUNCTION("""COMPUTED_VALUE"""),3.5)</f>
        <v>3.5</v>
      </c>
      <c r="T13" s="17">
        <f>IFERROR(__xludf.DUMMYFUNCTION("""COMPUTED_VALUE"""),0.0)</f>
        <v>0</v>
      </c>
      <c r="U13" s="14">
        <f>IFERROR(__xludf.DUMMYFUNCTION("""COMPUTED_VALUE"""),3.0)</f>
        <v>3</v>
      </c>
      <c r="V13" s="14">
        <v>2025.0</v>
      </c>
      <c r="W13" s="2" t="s">
        <v>1168</v>
      </c>
      <c r="X13" s="2" t="s">
        <v>1169</v>
      </c>
      <c r="Y13" s="13" t="s">
        <v>23</v>
      </c>
      <c r="Z13" s="14">
        <v>0.0</v>
      </c>
      <c r="AA13" s="14">
        <v>0.0</v>
      </c>
      <c r="AB13" s="14">
        <v>0.0</v>
      </c>
      <c r="AC13" s="14">
        <v>0.0</v>
      </c>
      <c r="AD13" s="2">
        <v>0.0</v>
      </c>
      <c r="AE13" s="2">
        <v>0.0</v>
      </c>
      <c r="AF13" s="2">
        <v>12.0</v>
      </c>
      <c r="AG13" s="2" t="s">
        <v>1179</v>
      </c>
      <c r="AH13" s="2">
        <v>0.0</v>
      </c>
    </row>
    <row r="14" ht="15.75" customHeight="1">
      <c r="A14" s="2" t="str">
        <f>IFERROR(__xludf.DUMMYFUNCTION("""COMPUTED_VALUE"""),"El Universal")</f>
        <v>El Universal</v>
      </c>
      <c r="B14" s="12" t="str">
        <f>IFERROR(__xludf.DUMMYFUNCTION("""COMPUTED_VALUE"""),"Ataques armados en Culiacán dejan dos muertos; hay cinco heridos, entre ellos una mujer y su hijo")</f>
        <v>Ataques armados en Culiacán dejan dos muertos; hay cinco heridos, entre ellos una mujer y su hijo</v>
      </c>
      <c r="C14" s="13" t="str">
        <f>IFERROR(__xludf.DUMMYFUNCTION("""COMPUTED_VALUE"""),"2025-12-29")</f>
        <v>2025-12-29</v>
      </c>
      <c r="D14" s="14">
        <f>IFERROR(__xludf.DUMMYFUNCTION("""COMPUTED_VALUE"""),4.0)</f>
        <v>4</v>
      </c>
      <c r="E14" s="15">
        <f>IFERROR(__xludf.DUMMYFUNCTION("""COMPUTED_VALUE"""),-0.4859)</f>
        <v>-0.4859</v>
      </c>
      <c r="F14" s="2" t="str">
        <f>IFERROR(__xludf.DUMMYFUNCTION("""COMPUTED_VALUE"""),"Negativo")</f>
        <v>Negativo</v>
      </c>
      <c r="G14" s="15">
        <f>IFERROR(__xludf.DUMMYFUNCTION("""COMPUTED_VALUE"""),0.4859)</f>
        <v>0.4859</v>
      </c>
      <c r="H14" s="2" t="str">
        <f>IFERROR(__xludf.DUMMYFUNCTION("""COMPUTED_VALUE"""),"Operativo policial o detención")</f>
        <v>Operativo policial o detención</v>
      </c>
      <c r="I14" s="2" t="str">
        <f>IFERROR(__xludf.DUMMYFUNCTION("""COMPUTED_VALUE"""),"N/A")</f>
        <v>N/A</v>
      </c>
      <c r="J14" s="2" t="str">
        <f>IFERROR(__xludf.DUMMYFUNCTION("""COMPUTED_VALUE"""),"Monitoreo general.")</f>
        <v>Monitoreo general.</v>
      </c>
      <c r="K14" s="2" t="str">
        <f>IFERROR(__xludf.DUMMYFUNCTION("""COMPUTED_VALUE"""),"Culiacán")</f>
        <v>Culiacán</v>
      </c>
      <c r="L14" s="2" t="str">
        <f>IFERROR(__xludf.DUMMYFUNCTION("""COMPUTED_VALUE"""),"Sinaloa")</f>
        <v>Sinaloa</v>
      </c>
      <c r="M14" s="16" t="str">
        <f>IFERROR(__xludf.DUMMYFUNCTION("""COMPUTED_VALUE"""),"https://www.eluniversal.com.mx/estados/ataques-armados-en-culiacan-dejan-dos-muertos-hay-cinco-heridos-entre-ellos-una-mujer-y-su-hijo/")</f>
        <v>https://www.eluniversal.com.mx/estados/ataques-armados-en-culiacan-dejan-dos-muertos-hay-cinco-heridos-entre-ellos-una-mujer-y-su-hijo/</v>
      </c>
      <c r="N14" s="2" t="str">
        <f>IFERROR(__xludf.DUMMYFUNCTION("""COMPUTED_VALUE"""),"Culiacán, Sin.- En ataques distintos registrados en colonias ubicadas en la parte sur-poniente de la capital del estado, dos hombres identificados comoAntonio Felipe “N” y Joelresultaronmuertos, mientras otras cinco personas, entre ellas una mujer y su hi"&amp;"jo resultaron conheridasde bala por lo que fueron trasladados a hospitales. Las autoridades de seguridad, en forma inicial fueron notificadas de fuertesdetonaciones de armasde fuego por la avenida Ernesto Damy, a un costado del antiguo mercado de abastos,"&amp;" de la colonia Pemex. En ese sector, se encontró los cuerpos de dos personas del sexo masculino conimpactos de balaen el cuerpo y la cabeza, una calle adelante los socorristas de la Cruz Roja, brindaron Asistencia a una mujer de nombre paulina y a un jove"&amp;"n, presuntamente su hijo, los cuales presentaban impactos de bala, por lo que fueron trasladados a un hospital. Las autoridades fueron notificadas que tres vecinos de la colonia Libertad que colinda con la de Pemex, habían sido trasladados heridos a un ho"&amp;"spital, lo que hace presumir que estos hechos están relacionados, por lo que la Fiscalía General del Estado inició las primerasindagaciones. Personal del ejército, la Guardia Nacional y de la Policía Estatal Preventiva que fueron desplazados a ambos secto"&amp;"res para iniciar labúsqueda de los presuntos agresores, no lograron localizarlos, por lo que se amplió el perímetro. Copyright © Todos los derechos reservados | EL UNIVERSAL, Compañía Periodística Nacional. De no existir previa autorización, queda expresa"&amp;"mente prohibida la Publicación, retransmisión, edición y cualquier otro uso de los contenidos Al navegar en este sitio aceptas las cookies que utilizamos para mejorar tu experiencia")</f>
        <v>Culiacán, Sin.- En ataques distintos registrados en colonias ubicadas en la parte sur-poniente de la capital del estado, dos hombres identificados comoAntonio Felipe “N” y Joelresultaronmuertos, mientras otras cinco personas, entre ellas una mujer y su hijo resultaron conheridasde bala por lo que fueron trasladados a hospitales. Las autoridades de seguridad, en forma inicial fueron notificadas de fuertesdetonaciones de armasde fuego por la avenida Ernesto Damy, a un costado del antiguo mercado de abastos, de la colonia Pemex. En ese sector, se encontró los cuerpos de dos personas del sexo masculino conimpactos de balaen el cuerpo y la cabeza, una calle adelante los socorristas de la Cruz Roja, brindaron Asistencia a una mujer de nombre paulina y a un joven, presuntamente su hijo, los cuales presentaban impactos de bala, por lo que fueron trasladados a un hospital. Las autoridades fueron notificadas que tres vecinos de la colonia Libertad que colinda con la de Pemex, habían sido trasladados heridos a un hospital, lo que hace presumir que estos hechos están relacionados, por lo que la Fiscalía General del Estado inició las primerasindagaciones. Personal del ejército, la Guardia Nacional y de la Policía Estatal Preventiva que fueron desplazados a ambos sectores para iniciar labúsqueda de los presuntos agresores, no lograron localizarlos, por lo que se amplió el perímetro.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4" s="15">
        <f>IFERROR(__xludf.DUMMYFUNCTION("""COMPUTED_VALUE"""),0.3933)</f>
        <v>0.3933</v>
      </c>
      <c r="P14" s="2"/>
      <c r="Q14" s="17">
        <f>IFERROR(__xludf.DUMMYFUNCTION("""COMPUTED_VALUE"""),8.5)</f>
        <v>8.5</v>
      </c>
      <c r="R14" s="2" t="str">
        <f>IFERROR(__xludf.DUMMYFUNCTION("""COMPUTED_VALUE"""),"High")</f>
        <v>High</v>
      </c>
      <c r="S14" s="17">
        <f>IFERROR(__xludf.DUMMYFUNCTION("""COMPUTED_VALUE"""),6.5)</f>
        <v>6.5</v>
      </c>
      <c r="T14" s="17">
        <f>IFERROR(__xludf.DUMMYFUNCTION("""COMPUTED_VALUE"""),0.0)</f>
        <v>0</v>
      </c>
      <c r="U14" s="14">
        <f>IFERROR(__xludf.DUMMYFUNCTION("""COMPUTED_VALUE"""),3.0)</f>
        <v>3</v>
      </c>
      <c r="V14" s="14">
        <v>2025.0</v>
      </c>
      <c r="W14" s="2" t="s">
        <v>1168</v>
      </c>
      <c r="X14" s="2" t="s">
        <v>1169</v>
      </c>
      <c r="Y14" s="13" t="s">
        <v>23</v>
      </c>
      <c r="Z14" s="14">
        <v>0.0</v>
      </c>
      <c r="AA14" s="14">
        <v>0.0</v>
      </c>
      <c r="AB14" s="14">
        <v>0.0</v>
      </c>
      <c r="AC14" s="14">
        <v>0.0</v>
      </c>
      <c r="AD14" s="2">
        <v>0.0</v>
      </c>
      <c r="AE14" s="2">
        <v>1.0</v>
      </c>
      <c r="AF14" s="2">
        <v>12.0</v>
      </c>
      <c r="AG14" s="2" t="s">
        <v>1180</v>
      </c>
      <c r="AH14" s="2">
        <v>0.0</v>
      </c>
    </row>
    <row r="15" ht="15.75" customHeight="1">
      <c r="A15" s="2" t="str">
        <f>IFERROR(__xludf.DUMMYFUNCTION("""COMPUTED_VALUE"""),"El Universal")</f>
        <v>El Universal</v>
      </c>
      <c r="B15" s="12" t="str">
        <f>IFERROR(__xludf.DUMMYFUNCTION("""COMPUTED_VALUE"""),"Desmantelan tienda de sustancias ilícitas en Maxcanú, Yucatán; reportan diversos detenidos")</f>
        <v>Desmantelan tienda de sustancias ilícitas en Maxcanú, Yucatán; reportan diversos detenidos</v>
      </c>
      <c r="C15" s="13" t="str">
        <f>IFERROR(__xludf.DUMMYFUNCTION("""COMPUTED_VALUE"""),"2025-12-29")</f>
        <v>2025-12-29</v>
      </c>
      <c r="D15" s="14">
        <f>IFERROR(__xludf.DUMMYFUNCTION("""COMPUTED_VALUE"""),2.0)</f>
        <v>2</v>
      </c>
      <c r="E15" s="15">
        <f>IFERROR(__xludf.DUMMYFUNCTION("""COMPUTED_VALUE"""),0.0)</f>
        <v>0</v>
      </c>
      <c r="F15" s="2" t="str">
        <f>IFERROR(__xludf.DUMMYFUNCTION("""COMPUTED_VALUE"""),"Neutral")</f>
        <v>Neutral</v>
      </c>
      <c r="G15" s="15">
        <f>IFERROR(__xludf.DUMMYFUNCTION("""COMPUTED_VALUE"""),0.6007)</f>
        <v>0.6007</v>
      </c>
      <c r="H15" s="2" t="str">
        <f>IFERROR(__xludf.DUMMYFUNCTION("""COMPUTED_VALUE"""),"Operativo policial o detención")</f>
        <v>Operativo policial o detención</v>
      </c>
      <c r="I15" s="2" t="str">
        <f>IFERROR(__xludf.DUMMYFUNCTION("""COMPUTED_VALUE"""),"N/A")</f>
        <v>N/A</v>
      </c>
      <c r="J15" s="2" t="str">
        <f>IFERROR(__xludf.DUMMYFUNCTION("""COMPUTED_VALUE"""),"Monitoreo general.")</f>
        <v>Monitoreo general.</v>
      </c>
      <c r="K15" s="2" t="str">
        <f>IFERROR(__xludf.DUMMYFUNCTION("""COMPUTED_VALUE"""),"Yucatán")</f>
        <v>Yucatán</v>
      </c>
      <c r="L15" s="2" t="str">
        <f>IFERROR(__xludf.DUMMYFUNCTION("""COMPUTED_VALUE"""),"Yucatán")</f>
        <v>Yucatán</v>
      </c>
      <c r="M15" s="16" t="str">
        <f>IFERROR(__xludf.DUMMYFUNCTION("""COMPUTED_VALUE"""),"https://www.eluniversal.com.mx/estados/desmantelan-tienda-de-sustancias-ilicitas-en-maxcanu-yucatan-reportan-diversos-detenidos/")</f>
        <v>https://www.eluniversal.com.mx/estados/desmantelan-tienda-de-sustancias-ilicitas-en-maxcanu-yucatan-reportan-diversos-detenidos/</v>
      </c>
      <c r="N15" s="2" t="str">
        <f>IFERROR(__xludf.DUMMYFUNCTION("""COMPUTED_VALUE"""),"Maxcanú, Yucatán.- Elementos de fuerzas federales y estatales cumplieron unaorden de cateoen un predio de la colonia San Román, en el municipio de Maxcanú, donde sedetuvo a varios sujetos. Agentes de la Fiscalía General de la República (FGR), con apoyo de"&amp;" uniformados de la Secretaría de la Defensa Nacional (Defensa), Secretaría de la Marina (Marina), llegaron al citado predio ubicado en la calle 20 entre 13 y 11. Los elementos sitiaron un inmueble que funciona como “tiendita” donde, según vecinos, habíamo"&amp;"vimientos inusualesde personas a toda hora. Al ingresar al domicilio, los agentes sorprendieron no sólo a los presuntos distribuidores, sino también a varios individuos que adquiríansustancias ilícitas, los cuales fueron detenidos para evitar intentos de "&amp;"fuga a través de los patios colindantes. Durante la inspección del inmueble, las autoridades aseguraron diversasdosis de sustanciascon características propias de enervantes, listas para su comercialización, así como objetos utilizados para el pesaje y emp"&amp;"aquetado. En el lugar también fueron detenidos clientes que se encontraban en flagrancia. El predio fue finalmente sellado con cintas de seguridad y quedó bajoresguardofederal.[Publicidad] Copyright © Todos los derechos reservados | EL UNIVERSAL, Compañía"&amp;" Periodística Nacional. De no existir previa autorización, queda expresamente prohibida la Publicación, retransmisión, edición y cualquier otro uso de los contenidos Al navegar en este sitio aceptas las cookies que utilizamos para mejorar tu experiencia")</f>
        <v>Maxcanú, Yucatán.- Elementos de fuerzas federales y estatales cumplieron unaorden de cateoen un predio de la colonia San Román, en el municipio de Maxcanú, donde sedetuvo a varios sujetos. Agentes de la Fiscalía General de la República (FGR), con apoyo de uniformados de la Secretaría de la Defensa Nacional (Defensa), Secretaría de la Marina (Marina), llegaron al citado predio ubicado en la calle 20 entre 13 y 11. Los elementos sitiaron un inmueble que funciona como “tiendita” donde, según vecinos, habíamovimientos inusualesde personas a toda hora. Al ingresar al domicilio, los agentes sorprendieron no sólo a los presuntos distribuidores, sino también a varios individuos que adquiríansustancias ilícitas, los cuales fueron detenidos para evitar intentos de fuga a través de los patios colindantes. Durante la inspección del inmueble, las autoridades aseguraron diversasdosis de sustanciascon características propias de enervantes, listas para su comercialización, así como objetos utilizados para el pesaje y empaquetado. En el lugar también fueron detenidos clientes que se encontraban en flagrancia. El predio fue finalmente sellado con cintas de seguridad y quedó bajoresguardofederal.[Publicidad]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5" s="15">
        <f>IFERROR(__xludf.DUMMYFUNCTION("""COMPUTED_VALUE"""),0.9465)</f>
        <v>0.9465</v>
      </c>
      <c r="P15" s="2"/>
      <c r="Q15" s="17">
        <f>IFERROR(__xludf.DUMMYFUNCTION("""COMPUTED_VALUE"""),8.5)</f>
        <v>8.5</v>
      </c>
      <c r="R15" s="2" t="str">
        <f>IFERROR(__xludf.DUMMYFUNCTION("""COMPUTED_VALUE"""),"High")</f>
        <v>High</v>
      </c>
      <c r="S15" s="17">
        <f>IFERROR(__xludf.DUMMYFUNCTION("""COMPUTED_VALUE"""),2.5)</f>
        <v>2.5</v>
      </c>
      <c r="T15" s="17">
        <f>IFERROR(__xludf.DUMMYFUNCTION("""COMPUTED_VALUE"""),0.0)</f>
        <v>0</v>
      </c>
      <c r="U15" s="14">
        <f>IFERROR(__xludf.DUMMYFUNCTION("""COMPUTED_VALUE"""),3.0)</f>
        <v>3</v>
      </c>
      <c r="V15" s="14">
        <v>2025.0</v>
      </c>
      <c r="W15" s="2" t="s">
        <v>1168</v>
      </c>
      <c r="X15" s="2" t="s">
        <v>1169</v>
      </c>
      <c r="Y15" s="13" t="s">
        <v>23</v>
      </c>
      <c r="Z15" s="14">
        <v>0.0</v>
      </c>
      <c r="AA15" s="14">
        <v>0.0</v>
      </c>
      <c r="AB15" s="14">
        <v>0.0</v>
      </c>
      <c r="AC15" s="14">
        <v>0.0</v>
      </c>
      <c r="AD15" s="2">
        <v>0.0</v>
      </c>
      <c r="AE15" s="2">
        <v>0.0</v>
      </c>
      <c r="AF15" s="2">
        <v>12.0</v>
      </c>
      <c r="AG15" s="2" t="s">
        <v>1181</v>
      </c>
      <c r="AH15" s="2">
        <v>0.0</v>
      </c>
    </row>
    <row r="16" ht="15.75" customHeight="1">
      <c r="A16" s="2" t="str">
        <f>IFERROR(__xludf.DUMMYFUNCTION("""COMPUTED_VALUE"""),"El Universal")</f>
        <v>El Universal</v>
      </c>
      <c r="B16" s="12" t="str">
        <f>IFERROR(__xludf.DUMMYFUNCTION("""COMPUTED_VALUE"""),"Se descarrila vagón de tren Ferromex en Sonora; reportan pérdidas materiales")</f>
        <v>Se descarrila vagón de tren Ferromex en Sonora; reportan pérdidas materiales</v>
      </c>
      <c r="C16" s="13" t="str">
        <f>IFERROR(__xludf.DUMMYFUNCTION("""COMPUTED_VALUE"""),"2025-12-29")</f>
        <v>2025-12-29</v>
      </c>
      <c r="D16" s="14">
        <f>IFERROR(__xludf.DUMMYFUNCTION("""COMPUTED_VALUE"""),1.0)</f>
        <v>1</v>
      </c>
      <c r="E16" s="15">
        <f>IFERROR(__xludf.DUMMYFUNCTION("""COMPUTED_VALUE"""),-0.8026)</f>
        <v>-0.8026</v>
      </c>
      <c r="F16" s="2" t="str">
        <f>IFERROR(__xludf.DUMMYFUNCTION("""COMPUTED_VALUE"""),"Negativo")</f>
        <v>Negativo</v>
      </c>
      <c r="G16" s="15">
        <f>IFERROR(__xludf.DUMMYFUNCTION("""COMPUTED_VALUE"""),0.8026)</f>
        <v>0.8026</v>
      </c>
      <c r="H16" s="2" t="str">
        <f>IFERROR(__xludf.DUMMYFUNCTION("""COMPUTED_VALUE"""),"Otros temas generales")</f>
        <v>Otros temas generales</v>
      </c>
      <c r="I16" s="2" t="str">
        <f>IFERROR(__xludf.DUMMYFUNCTION("""COMPUTED_VALUE"""),"N/A")</f>
        <v>N/A</v>
      </c>
      <c r="J16" s="2" t="str">
        <f>IFERROR(__xludf.DUMMYFUNCTION("""COMPUTED_VALUE"""),"Descartar / Baja prioridad.")</f>
        <v>Descartar / Baja prioridad.</v>
      </c>
      <c r="K16" s="2" t="str">
        <f>IFERROR(__xludf.DUMMYFUNCTION("""COMPUTED_VALUE"""),"Sonora")</f>
        <v>Sonora</v>
      </c>
      <c r="L16" s="2" t="str">
        <f>IFERROR(__xludf.DUMMYFUNCTION("""COMPUTED_VALUE"""),"Sonora")</f>
        <v>Sonora</v>
      </c>
      <c r="M16" s="16" t="str">
        <f>IFERROR(__xludf.DUMMYFUNCTION("""COMPUTED_VALUE"""),"https://www.eluniversal.com.mx/estados/se-descarrila-vagon-de-tren-ferromex-en-sonora-reportan-perdidas-materiales/")</f>
        <v>https://www.eluniversal.com.mx/estados/se-descarrila-vagon-de-tren-ferromex-en-sonora-reportan-perdidas-materiales/</v>
      </c>
      <c r="N16" s="2" t="str">
        <f>IFERROR(__xludf.DUMMYFUNCTION("""COMPUTED_VALUE"""),"Nogales, Sonora.- Momentos de tensión se vivieron la noche del domingo, luego de que unvagón de ferrocarrilde la empresaFerromex, se desprendiera de la locomotora principal y recorriera sin control varios kilómetros a través de la ciudad, hasta descarrila"&amp;"rse a escasos metros de la línea fronteriza con Estados Unidos. Sin personal a bordo ni frenos activos la unidad se desprendió durante el armado rutinario en los patios de maniobras de Ferromex. De acuerdo con los primeros reportes, el incidente ocurrió a"&amp;"lrededor de las 23.15 horas, cuando el vagón salió de los patios ubicados en Lomas de Nogales y avanzó de sur a norte por lamancha urbana. La unidad recorrió cuatro kilómetros, según estimaciones oficiales, generando alarma entre ciudadanos y autoridades "&amp;"aldesplazarse sin operadorni supervisión. El vagón finalmente se detuvo en las inmediaciones de la garita Dennis DeConcini, cerca de la conexión ferroviaria internacional. A unos 100 metros del punto fronterizo, trabajadores ferroviarios activaron un prot"&amp;"ocolo de seguridad que incluyó la construcción de un terraplén y el uso de un desviador, mecanismo diseñado para provocar un descarrilamiento controlado y evitar que el vagón ingresara a territorio estadounidense.[Publicidad] Autoridades confirmaron que e"&amp;"ldescarrilamiento fue controladoy que no se registraron personas lesionadas.[Publicidad] Los daños se limitaron apérdidas materialesde consideración en la infraestructura ferroviaria y zonas aledañas al punto del impacto. El vagón circuló a alta velocidad"&amp;" hasta llegar al punto de descarrilamiento, donde finalmente se detuvo a escasos metros del portón metálico que divide a ambas ciudades fronterizas. Bomberos y cuerpos de emergencia acudieron al sitio para atender la situación, sin que se reportaranincide"&amp;"ncias mayores. Del lado estadounidense, se informó que un tren con destino a México pudo salir sin contratiempos, ya que las vías se encontraban libres, evitando así un incidente de mayores proporciones. Hasta el momento, Ferromex realiza lasinvestigacion"&amp;"escorrespondientes para determinar las causas del desprendimiento del vagón, mientras que ciudadanos han manifestado su preocupación y esperan que la empresa refuerce las medidas de seguridad para prevenir hechos similares en el futuro. De acuerdo a la Co"&amp;"ordinación Municipal de Protección Civil y de la Comisaría de Seguridad Pública de la frontera de Nogales, se activó unoperativo especialpara prevenir riesgos de accidente, luego de que el vagón del ferrocarril se desplazara sin control por las vías ubica"&amp;"das en el centro de la ciudad, hasta descarrilar a unos metros de la Línea Internacional con Estados Unidos. El furgón cargado con aproximadamente120 toneladas de chícharodeshidratado se desplazó de manera autónoma y sin control desde los patios de maniob"&amp;"ras y talleres de la empresa Ferrocarriles de México (Ferromex), avanzando por las vías con dirección al norte. Ante esta situación, de manera inmediata se implementó el operativo para elcierre preventivode los cruceros ferroviarios, desde la calle Plutar"&amp;"co Elías Calles hasta Ruiz Cortines, lo que permitió evitar accidentes y que ninguna persona resultara lesionada. Elementos de la empresa ferroviaria, en coordinación con corporaciones de seguridad pública y protección civil, mantuvieron un trabajo conjun"&amp;"to durante todo el trayecto del vagón, el cual circuló aalta velocidadhasta llegar al punto de descarrilamiento. Gracias a la intervención oportuna del personal de la Unidad Municipal de Protección Civil y de la Jefatura de Policía y Tránsito Municipal, l"&amp;"a situación fue controlada sin mayores consecuencias, evidenciando la efectividad de los procesos de capacitación y profesionalización del personal operativo. Asimismo, ingenieros y técnicos de Ferromex, en conjunto con la Fiscalía General de la República"&amp;" (FGR), iniciaron las investigaciones correspondientes para determinar las causas que originaron el desplazamiento del vagón sin control. Este día dieron inicio los trabajos para el retiro del vagón descarrilado, el cual quedó detenido justo antes de alca"&amp;"nzar los límites con Estados Unidos. Copyright © Todos los derechos reservados | EL UNIVERSAL, Compañía Periodística Nacional. De no existir previa autorización, queda expresamente prohibida la Publicación, retransmisión, edición y cualquier otro uso de l"&amp;"os contenidos Al navegar en este sitio aceptas las cookies que utilizamos para mejorar tu experiencia")</f>
        <v>Nogales, Sonora.- Momentos de tensión se vivieron la noche del domingo, luego de que unvagón de ferrocarrilde la empresaFerromex, se desprendiera de la locomotora principal y recorriera sin control varios kilómetros a través de la ciudad, hasta descarrilarse a escasos metros de la línea fronteriza con Estados Unidos. Sin personal a bordo ni frenos activos la unidad se desprendió durante el armado rutinario en los patios de maniobras de Ferromex. De acuerdo con los primeros reportes, el incidente ocurrió alrededor de las 23.15 horas, cuando el vagón salió de los patios ubicados en Lomas de Nogales y avanzó de sur a norte por lamancha urbana. La unidad recorrió cuatro kilómetros, según estimaciones oficiales, generando alarma entre ciudadanos y autoridades aldesplazarse sin operadorni supervisión. El vagón finalmente se detuvo en las inmediaciones de la garita Dennis DeConcini, cerca de la conexión ferroviaria internacional. A unos 100 metros del punto fronterizo, trabajadores ferroviarios activaron un protocolo de seguridad que incluyó la construcción de un terraplén y el uso de un desviador, mecanismo diseñado para provocar un descarrilamiento controlado y evitar que el vagón ingresara a territorio estadounidense.[Publicidad] Autoridades confirmaron que eldescarrilamiento fue controladoy que no se registraron personas lesionadas.[Publicidad] Los daños se limitaron apérdidas materialesde consideración en la infraestructura ferroviaria y zonas aledañas al punto del impacto. El vagón circuló a alta velocidad hasta llegar al punto de descarrilamiento, donde finalmente se detuvo a escasos metros del portón metálico que divide a ambas ciudades fronterizas. Bomberos y cuerpos de emergencia acudieron al sitio para atender la situación, sin que se reportaranincidencias mayores. Del lado estadounidense, se informó que un tren con destino a México pudo salir sin contratiempos, ya que las vías se encontraban libres, evitando así un incidente de mayores proporciones. Hasta el momento, Ferromex realiza lasinvestigacionescorrespondientes para determinar las causas del desprendimiento del vagón, mientras que ciudadanos han manifestado su preocupación y esperan que la empresa refuerce las medidas de seguridad para prevenir hechos similares en el futuro. De acuerdo a la Coordinación Municipal de Protección Civil y de la Comisaría de Seguridad Pública de la frontera de Nogales, se activó unoperativo especialpara prevenir riesgos de accidente, luego de que el vagón del ferrocarril se desplazara sin control por las vías ubicadas en el centro de la ciudad, hasta descarrilar a unos metros de la Línea Internacional con Estados Unidos. El furgón cargado con aproximadamente120 toneladas de chícharodeshidratado se desplazó de manera autónoma y sin control desde los patios de maniobras y talleres de la empresa Ferrocarriles de México (Ferromex), avanzando por las vías con dirección al norte. Ante esta situación, de manera inmediata se implementó el operativo para elcierre preventivode los cruceros ferroviarios, desde la calle Plutarco Elías Calles hasta Ruiz Cortines, lo que permitió evitar accidentes y que ninguna persona resultara lesionada. Elementos de la empresa ferroviaria, en coordinación con corporaciones de seguridad pública y protección civil, mantuvieron un trabajo conjunto durante todo el trayecto del vagón, el cual circuló aalta velocidadhasta llegar al punto de descarrilamiento. Gracias a la intervención oportuna del personal de la Unidad Municipal de Protección Civil y de la Jefatura de Policía y Tránsito Municipal, la situación fue controlada sin mayores consecuencias, evidenciando la efectividad de los procesos de capacitación y profesionalización del personal operativo. Asimismo, ingenieros y técnicos de Ferromex, en conjunto con la Fiscalía General de la República (FGR), iniciaron las investigaciones correspondientes para determinar las causas que originaron el desplazamiento del vagón sin control. Este día dieron inicio los trabajos para el retiro del vagón descarrilado, el cual quedó detenido justo antes de alcanzar los límites con Estados Unidos.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6" s="15">
        <f>IFERROR(__xludf.DUMMYFUNCTION("""COMPUTED_VALUE"""),0.4865)</f>
        <v>0.4865</v>
      </c>
      <c r="P16" s="2"/>
      <c r="Q16" s="17">
        <f>IFERROR(__xludf.DUMMYFUNCTION("""COMPUTED_VALUE"""),8.5)</f>
        <v>8.5</v>
      </c>
      <c r="R16" s="2" t="str">
        <f>IFERROR(__xludf.DUMMYFUNCTION("""COMPUTED_VALUE"""),"High")</f>
        <v>High</v>
      </c>
      <c r="S16" s="17">
        <f>IFERROR(__xludf.DUMMYFUNCTION("""COMPUTED_VALUE"""),2.5)</f>
        <v>2.5</v>
      </c>
      <c r="T16" s="17">
        <f>IFERROR(__xludf.DUMMYFUNCTION("""COMPUTED_VALUE"""),0.0)</f>
        <v>0</v>
      </c>
      <c r="U16" s="14">
        <f>IFERROR(__xludf.DUMMYFUNCTION("""COMPUTED_VALUE"""),3.0)</f>
        <v>3</v>
      </c>
      <c r="V16" s="14">
        <v>2025.0</v>
      </c>
      <c r="W16" s="2" t="s">
        <v>1168</v>
      </c>
      <c r="X16" s="2" t="s">
        <v>1169</v>
      </c>
      <c r="Y16" s="13" t="s">
        <v>23</v>
      </c>
      <c r="Z16" s="14">
        <v>0.0</v>
      </c>
      <c r="AA16" s="14">
        <v>0.0</v>
      </c>
      <c r="AB16" s="14">
        <v>0.0</v>
      </c>
      <c r="AC16" s="14">
        <v>0.0</v>
      </c>
      <c r="AD16" s="2">
        <v>0.0</v>
      </c>
      <c r="AE16" s="2">
        <v>0.0</v>
      </c>
      <c r="AF16" s="2">
        <v>12.0</v>
      </c>
      <c r="AG16" s="2" t="s">
        <v>1182</v>
      </c>
      <c r="AH16" s="2">
        <v>0.0</v>
      </c>
    </row>
    <row r="17" ht="15.75" customHeight="1">
      <c r="A17" s="2" t="str">
        <f>IFERROR(__xludf.DUMMYFUNCTION("""COMPUTED_VALUE"""),"El Universal")</f>
        <v>El Universal</v>
      </c>
      <c r="B17" s="12" t="str">
        <f>IFERROR(__xludf.DUMMYFUNCTION("""COMPUTED_VALUE"""),"Fallecen tres veracruzanos en accidente del Tren Interoceánico; confirman víctimas de Minatitlán")</f>
        <v>Fallecen tres veracruzanos en accidente del Tren Interoceánico; confirman víctimas de Minatitlán</v>
      </c>
      <c r="C17" s="13" t="str">
        <f>IFERROR(__xludf.DUMMYFUNCTION("""COMPUTED_VALUE"""),"2025-12-29")</f>
        <v>2025-12-29</v>
      </c>
      <c r="D17" s="14">
        <f>IFERROR(__xludf.DUMMYFUNCTION("""COMPUTED_VALUE"""),4.0)</f>
        <v>4</v>
      </c>
      <c r="E17" s="15">
        <f>IFERROR(__xludf.DUMMYFUNCTION("""COMPUTED_VALUE"""),-0.9036)</f>
        <v>-0.9036</v>
      </c>
      <c r="F17" s="2" t="str">
        <f>IFERROR(__xludf.DUMMYFUNCTION("""COMPUTED_VALUE"""),"Negativo")</f>
        <v>Negativo</v>
      </c>
      <c r="G17" s="15">
        <f>IFERROR(__xludf.DUMMYFUNCTION("""COMPUTED_VALUE"""),0.9036)</f>
        <v>0.9036</v>
      </c>
      <c r="H17" s="2" t="str">
        <f>IFERROR(__xludf.DUMMYFUNCTION("""COMPUTED_VALUE"""),"Accidente de tránsito o choque vial")</f>
        <v>Accidente de tránsito o choque vial</v>
      </c>
      <c r="I17" s="2" t="str">
        <f>IFERROR(__xludf.DUMMYFUNCTION("""COMPUTED_VALUE"""),"N/A")</f>
        <v>N/A</v>
      </c>
      <c r="J17" s="2" t="str">
        <f>IFERROR(__xludf.DUMMYFUNCTION("""COMPUTED_VALUE"""),"Seguridad Vial: Monitoreo de zona.")</f>
        <v>Seguridad Vial: Monitoreo de zona.</v>
      </c>
      <c r="K17" s="2" t="str">
        <f>IFERROR(__xludf.DUMMYFUNCTION("""COMPUTED_VALUE"""),"Oaxaca")</f>
        <v>Oaxaca</v>
      </c>
      <c r="L17" s="2" t="str">
        <f>IFERROR(__xludf.DUMMYFUNCTION("""COMPUTED_VALUE"""),"Oaxaca")</f>
        <v>Oaxaca</v>
      </c>
      <c r="M17" s="16" t="str">
        <f>IFERROR(__xludf.DUMMYFUNCTION("""COMPUTED_VALUE"""),"https://www.eluniversal.com.mx/estados/fallecen-tres-veracruzanos-en-accidente-del-tren-interoceanico-confirman-victimas-de-minatitlan/")</f>
        <v>https://www.eluniversal.com.mx/estados/fallecen-tres-veracruzanos-en-accidente-del-tren-interoceanico-confirman-victimas-de-minatitlan/</v>
      </c>
      <c r="N17" s="2" t="str">
        <f>IFERROR(__xludf.DUMMYFUNCTION("""COMPUTED_VALUE"""),"Tres personas originarias de Veracruzfallecieron durante elaccidente delTren Interoceánicoocurrido el fin de semanaen Oaxaca. La gobernadoraRocío Nahle García(Morena) confirmó elfallecimiento de dos mujeres y un hombre, originarios delmunicipio petrolero "&amp;"de Minatitlán, ubicado en el sur de la entidad. Se trata de lashermanas Patricia y Onoria Medina Pérez, así como deRogelio Luna, quienes forman parte de lalista de13 decesosregistrados tras elaccidente ferroviario. “Externó mis más sentidas condolencias ("&amp;"…) activamos protocolo de emergencia entre los dos estados para servicios de salud y atención necesaria”, expresó la mandataria estatal durante conferencia de prensa. Asimismo, reportó quetres mujeres veracruzanas resultaron heridasy permaneceninternadase"&amp;"n elHospital delIMSS Bienestarde Ixtepec, en Oaxaca. Las lesionadas sondos jóvenes de 22 y 21 años, y unamujer de 48 años, todasoriginarias del municipio de Coatzacoalcos, también en el sur de Veracruz.[Publicidad] LaSecretaría de Marina (Semar)mantiene e"&amp;"n13 el número de personas fallecidaspor eldescarrilamiento del Tren Interoceánico. Durante un enlace con la conferencia mañanera de la presidentaClaudia Sheinbaum Pardo, el secretario de Marina informó que de las250 personas a bordo,nueve fueron atendidas"&amp;" en el sitio,109 en hospitalesy34 permanecen hospitalizadas.[Publicidad] Copyright © Todos los derechos reservados | EL UNIVERSAL, Compañía Periodística Nacional. De no existir previa autorización, queda expresamente prohibida la Publicación, retransmisió"&amp;"n, edición y cualquier otro uso de los contenidos Al navegar en este sitio aceptas las cookies que utilizamos para mejorar tu experiencia")</f>
        <v>Tres personas originarias de Veracruzfallecieron durante elaccidente delTren Interoceánicoocurrido el fin de semanaen Oaxaca. La gobernadoraRocío Nahle García(Morena) confirmó elfallecimiento de dos mujeres y un hombre, originarios delmunicipio petrolero de Minatitlán, ubicado en el sur de la entidad. Se trata de lashermanas Patricia y Onoria Medina Pérez, así como deRogelio Luna, quienes forman parte de lalista de13 decesosregistrados tras elaccidente ferroviario. “Externó mis más sentidas condolencias (…) activamos protocolo de emergencia entre los dos estados para servicios de salud y atención necesaria”, expresó la mandataria estatal durante conferencia de prensa. Asimismo, reportó quetres mujeres veracruzanas resultaron heridasy permaneceninternadasen elHospital delIMSS Bienestarde Ixtepec, en Oaxaca. Las lesionadas sondos jóvenes de 22 y 21 años, y unamujer de 48 años, todasoriginarias del municipio de Coatzacoalcos, también en el sur de Veracruz.[Publicidad] LaSecretaría de Marina (Semar)mantiene en13 el número de personas fallecidaspor eldescarrilamiento del Tren Interoceánico. Durante un enlace con la conferencia mañanera de la presidentaClaudia Sheinbaum Pardo, el secretario de Marina informó que de las250 personas a bordo,nueve fueron atendidas en el sitio,109 en hospitalesy34 permanecen hospitalizadas.[Publicidad]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7" s="15">
        <f>IFERROR(__xludf.DUMMYFUNCTION("""COMPUTED_VALUE"""),0.3533)</f>
        <v>0.3533</v>
      </c>
      <c r="P17" s="2"/>
      <c r="Q17" s="17">
        <f>IFERROR(__xludf.DUMMYFUNCTION("""COMPUTED_VALUE"""),5.0)</f>
        <v>5</v>
      </c>
      <c r="R17" s="2" t="str">
        <f>IFERROR(__xludf.DUMMYFUNCTION("""COMPUTED_VALUE"""),"Medium")</f>
        <v>Medium</v>
      </c>
      <c r="S17" s="17">
        <f>IFERROR(__xludf.DUMMYFUNCTION("""COMPUTED_VALUE"""),1.5)</f>
        <v>1.5</v>
      </c>
      <c r="T17" s="17">
        <f>IFERROR(__xludf.DUMMYFUNCTION("""COMPUTED_VALUE"""),0.0)</f>
        <v>0</v>
      </c>
      <c r="U17" s="14">
        <f>IFERROR(__xludf.DUMMYFUNCTION("""COMPUTED_VALUE"""),3.0)</f>
        <v>3</v>
      </c>
      <c r="V17" s="14">
        <v>2025.0</v>
      </c>
      <c r="W17" s="2" t="s">
        <v>1168</v>
      </c>
      <c r="X17" s="2" t="s">
        <v>1169</v>
      </c>
      <c r="Y17" s="13" t="s">
        <v>23</v>
      </c>
      <c r="Z17" s="14">
        <v>0.0</v>
      </c>
      <c r="AA17" s="14">
        <v>0.0</v>
      </c>
      <c r="AB17" s="14">
        <v>0.0</v>
      </c>
      <c r="AC17" s="14">
        <v>0.0</v>
      </c>
      <c r="AD17" s="2">
        <v>0.0</v>
      </c>
      <c r="AE17" s="2">
        <v>1.0</v>
      </c>
      <c r="AF17" s="2">
        <v>12.0</v>
      </c>
      <c r="AG17" s="2" t="s">
        <v>1176</v>
      </c>
      <c r="AH17" s="2">
        <v>0.0</v>
      </c>
    </row>
    <row r="18" ht="15.75" customHeight="1">
      <c r="A18" s="2" t="str">
        <f>IFERROR(__xludf.DUMMYFUNCTION("""COMPUTED_VALUE"""),"El Universal")</f>
        <v>El Universal</v>
      </c>
      <c r="B18" s="12" t="str">
        <f>IFERROR(__xludf.DUMMYFUNCTION("""COMPUTED_VALUE"""),"Tiroteo en Zapopan deja tres muertos y cinco heridos; ataque contra ocupantes de un Lamborghini se prolonga por 10 minutos")</f>
        <v>Tiroteo en Zapopan deja tres muertos y cinco heridos; ataque contra ocupantes de un Lamborghini se prolonga por 10 minutos</v>
      </c>
      <c r="C18" s="13" t="str">
        <f>IFERROR(__xludf.DUMMYFUNCTION("""COMPUTED_VALUE"""),"2025-12-29")</f>
        <v>2025-12-29</v>
      </c>
      <c r="D18" s="14">
        <f>IFERROR(__xludf.DUMMYFUNCTION("""COMPUTED_VALUE"""),4.0)</f>
        <v>4</v>
      </c>
      <c r="E18" s="15">
        <f>IFERROR(__xludf.DUMMYFUNCTION("""COMPUTED_VALUE"""),-0.5741)</f>
        <v>-0.5741</v>
      </c>
      <c r="F18" s="2" t="str">
        <f>IFERROR(__xludf.DUMMYFUNCTION("""COMPUTED_VALUE"""),"Negativo")</f>
        <v>Negativo</v>
      </c>
      <c r="G18" s="15">
        <f>IFERROR(__xludf.DUMMYFUNCTION("""COMPUTED_VALUE"""),0.5741)</f>
        <v>0.5741</v>
      </c>
      <c r="H18" s="2" t="str">
        <f>IFERROR(__xludf.DUMMYFUNCTION("""COMPUTED_VALUE"""),"Protestas o bloqueos viales")</f>
        <v>Protestas o bloqueos viales</v>
      </c>
      <c r="I18" s="2" t="str">
        <f>IFERROR(__xludf.DUMMYFUNCTION("""COMPUTED_VALUE"""),"N/A")</f>
        <v>N/A</v>
      </c>
      <c r="J18" s="2" t="str">
        <f>IFERROR(__xludf.DUMMYFUNCTION("""COMPUTED_VALUE"""),"Operaciones: Notificar zonas a evitar (Waze/Maps).")</f>
        <v>Operaciones: Notificar zonas a evitar (Waze/Maps).</v>
      </c>
      <c r="K18" s="2" t="str">
        <f>IFERROR(__xludf.DUMMYFUNCTION("""COMPUTED_VALUE"""),"Zapopan")</f>
        <v>Zapopan</v>
      </c>
      <c r="L18" s="2" t="str">
        <f>IFERROR(__xludf.DUMMYFUNCTION("""COMPUTED_VALUE"""),"Jalisco")</f>
        <v>Jalisco</v>
      </c>
      <c r="M18" s="16" t="str">
        <f>IFERROR(__xludf.DUMMYFUNCTION("""COMPUTED_VALUE"""),"https://www.eluniversal.com.mx/estados/tiroteo-en-zapopan-deja-dos-muertos-ataque-armado-duro-mas-de-10-minutos/")</f>
        <v>https://www.eluniversal.com.mx/estados/tiroteo-en-zapopan-deja-dos-muertos-ataque-armado-duro-mas-de-10-minutos/</v>
      </c>
      <c r="N18" s="2" t="str">
        <f>IFERROR(__xludf.DUMMYFUNCTION("""COMPUTED_VALUE"""),"Dos personas murieronycinco más resultaron lesionadastras unenfrentamientoentre civiles armados en la colonia Residencial Victoria, enZapopan; de acuerdo con las primeras versiones, eltiroteo duró más de 10 minutose involucró a los ocupantes de cuatro veh"&amp;"ículos. Los hechos ocurrieron cerca de las 10:20 horas de este lunes, sobre la avenida Topacio, cuando los ocupantes de unvehículo Lamborghini Ursusfueron interceptados por dos camionetas, cuyos tripulantes comenzaron a dispararles; sin embargo, los escol"&amp;"tas que viajaban en otra camioneta respondieron alataque. Tras las llamadas al número de emergencia, arribaron al sitio policías municipales deZapopan y Guadalajara, así como policías estatales, agentes de laFiscalía de Jalisco, laGuardia Nacional, laDefe"&amp;"nsayparamédicos. Elpersonal de saludconfirmó lamuerte de dos hombresen el lugar y trasladó de emergencia a cinco personas a distintos hospitales, entre ellas una mujer. En el sitio quedaron una de las camionetas de losagresores, elvehículo de lujode las v"&amp;"íctimas y la camioneta de los escoltas; aunque no se ha revelado la identidad de los muertos y heridos, trascendió que los fallecidos serían el conductor del vehículo de lujo y uno de sus escoltas. La zona fue cerrada para la recolección de indicios, entr"&amp;"e los que se hallaron más de 100 casquillos percutidos de diferentes armas; pese a la amplia movilización de fuerzas de seguridad para buscar a los responsables,no se reportan detenciones.[Publicidad] Hasta el momento, ninguna autoridad ha proporcionado i"&amp;"nformación oficial, y en redes sociales circulan videos donde se observa parte del ataque.[Publicidad] La Fiscalía de Jalisco confirmó que ya sontres personas fallecidastras el tiroteo de esta mañana en Zapopan; se forma preliminar se ha informado que las"&amp;" víctimas son uncomerciantedel Mercado de Abastos de Guadalajara, su hija menor de edad y uno de los escoltas que los resguardaba. Además se informó que los otroscuatro heridostambién sonescoltasdel comerciante y uno de ellos se encuentra en condicióngrav"&amp;"e; aunque las autoridades siguen verificando la identidad de las víctimas, de forma extraoficial se ha dicho que el conductor del vehículo eraAlberto Prieto Valencia, un empresario dedicado a la comercialización de semillas, cereales y abarrotes, y con pa"&amp;"rticipación en empresas de trasporte de carga. Mientras la Fiscalía de Jalisco se encuentra realizando las investigaciones en el sitio donde ocurrieron los hechos, los responsables del ataque han filtrado un par devideosque circulan en redes sociales en l"&amp;"os que se puede ver que intervinieron al menos 10 personas con armas largas que viajaban en cinco vehículos. En uno de los videos se observa que al menos cinco sujetos disparan contra el Lamborghini anaranjado desde la calle Brillante, en tanto que otro g"&amp;"rupo lo ataca de frente sobre la avenida Topacio; de pronto alguien grita una clave (“85”) y todos suben a los vehículos para escapar. En el otro video la persona que graba con un teléfono celular está sobre la avenida Topacio y registra el paso de las do"&amp;"s camionetas en que viajaban los escoltas tras el vehículo delempresario, que al llegar a la esquina de la calle Brillante es atacado de frente y por el flanco izquierdo; al verse superados los escoltas intentan escapar en reversa para resguardarse. Las a"&amp;"utoridades no han brindado mayor información sobre lo ocurrido ni alguna posible línea de investigación. Copyright © Todos los derechos reservados | EL UNIVERSAL, Compañía Periodística Nacional. De no existir previa autorización, queda expresamente prohib"&amp;"ida la Publicación, retransmisión, edición y cualquier otro uso de los contenidos Al navegar en este sitio aceptas las cookies que utilizamos para mejorar tu experiencia")</f>
        <v>Dos personas murieronycinco más resultaron lesionadastras unenfrentamientoentre civiles armados en la colonia Residencial Victoria, enZapopan; de acuerdo con las primeras versiones, eltiroteo duró más de 10 minutose involucró a los ocupantes de cuatro vehículos. Los hechos ocurrieron cerca de las 10:20 horas de este lunes, sobre la avenida Topacio, cuando los ocupantes de unvehículo Lamborghini Ursusfueron interceptados por dos camionetas, cuyos tripulantes comenzaron a dispararles; sin embargo, los escoltas que viajaban en otra camioneta respondieron alataque. Tras las llamadas al número de emergencia, arribaron al sitio policías municipales deZapopan y Guadalajara, así como policías estatales, agentes de laFiscalía de Jalisco, laGuardia Nacional, laDefensayparamédicos. Elpersonal de saludconfirmó lamuerte de dos hombresen el lugar y trasladó de emergencia a cinco personas a distintos hospitales, entre ellas una mujer. En el sitio quedaron una de las camionetas de losagresores, elvehículo de lujode las víctimas y la camioneta de los escoltas; aunque no se ha revelado la identidad de los muertos y heridos, trascendió que los fallecidos serían el conductor del vehículo de lujo y uno de sus escoltas. La zona fue cerrada para la recolección de indicios, entre los que se hallaron más de 100 casquillos percutidos de diferentes armas; pese a la amplia movilización de fuerzas de seguridad para buscar a los responsables,no se reportan detenciones.[Publicidad] Hasta el momento, ninguna autoridad ha proporcionado información oficial, y en redes sociales circulan videos donde se observa parte del ataque.[Publicidad] La Fiscalía de Jalisco confirmó que ya sontres personas fallecidastras el tiroteo de esta mañana en Zapopan; se forma preliminar se ha informado que las víctimas son uncomerciantedel Mercado de Abastos de Guadalajara, su hija menor de edad y uno de los escoltas que los resguardaba. Además se informó que los otroscuatro heridostambién sonescoltasdel comerciante y uno de ellos se encuentra en condicióngrave; aunque las autoridades siguen verificando la identidad de las víctimas, de forma extraoficial se ha dicho que el conductor del vehículo eraAlberto Prieto Valencia, un empresario dedicado a la comercialización de semillas, cereales y abarrotes, y con participación en empresas de trasporte de carga. Mientras la Fiscalía de Jalisco se encuentra realizando las investigaciones en el sitio donde ocurrieron los hechos, los responsables del ataque han filtrado un par devideosque circulan en redes sociales en los que se puede ver que intervinieron al menos 10 personas con armas largas que viajaban en cinco vehículos. En uno de los videos se observa que al menos cinco sujetos disparan contra el Lamborghini anaranjado desde la calle Brillante, en tanto que otro grupo lo ataca de frente sobre la avenida Topacio; de pronto alguien grita una clave (“85”) y todos suben a los vehículos para escapar. En el otro video la persona que graba con un teléfono celular está sobre la avenida Topacio y registra el paso de las dos camionetas en que viajaban los escoltas tras el vehículo delempresario, que al llegar a la esquina de la calle Brillante es atacado de frente y por el flanco izquierdo; al verse superados los escoltas intentan escapar en reversa para resguardarse. Las autoridades no han brindado mayor información sobre lo ocurrido ni alguna posible línea de investigación.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8" s="15">
        <f>IFERROR(__xludf.DUMMYFUNCTION("""COMPUTED_VALUE"""),0.4121)</f>
        <v>0.4121</v>
      </c>
      <c r="P18" s="2"/>
      <c r="Q18" s="17">
        <f>IFERROR(__xludf.DUMMYFUNCTION("""COMPUTED_VALUE"""),6.5)</f>
        <v>6.5</v>
      </c>
      <c r="R18" s="2" t="str">
        <f>IFERROR(__xludf.DUMMYFUNCTION("""COMPUTED_VALUE"""),"High")</f>
        <v>High</v>
      </c>
      <c r="S18" s="17">
        <f>IFERROR(__xludf.DUMMYFUNCTION("""COMPUTED_VALUE"""),3.5)</f>
        <v>3.5</v>
      </c>
      <c r="T18" s="17">
        <f>IFERROR(__xludf.DUMMYFUNCTION("""COMPUTED_VALUE"""),0.0)</f>
        <v>0</v>
      </c>
      <c r="U18" s="14">
        <f>IFERROR(__xludf.DUMMYFUNCTION("""COMPUTED_VALUE"""),3.0)</f>
        <v>3</v>
      </c>
      <c r="V18" s="14">
        <v>2025.0</v>
      </c>
      <c r="W18" s="2" t="s">
        <v>1168</v>
      </c>
      <c r="X18" s="2" t="s">
        <v>1169</v>
      </c>
      <c r="Y18" s="13" t="s">
        <v>23</v>
      </c>
      <c r="Z18" s="14">
        <v>0.0</v>
      </c>
      <c r="AA18" s="14">
        <v>0.0</v>
      </c>
      <c r="AB18" s="14">
        <v>0.0</v>
      </c>
      <c r="AC18" s="14">
        <v>0.0</v>
      </c>
      <c r="AD18" s="2">
        <v>0.0</v>
      </c>
      <c r="AE18" s="2">
        <v>1.0</v>
      </c>
      <c r="AF18" s="2">
        <v>12.0</v>
      </c>
      <c r="AG18" s="2" t="s">
        <v>1173</v>
      </c>
      <c r="AH18" s="2">
        <v>0.0</v>
      </c>
    </row>
    <row r="19" ht="15.75" customHeight="1">
      <c r="A19" s="2" t="str">
        <f>IFERROR(__xludf.DUMMYFUNCTION("""COMPUTED_VALUE"""),"El Universal")</f>
        <v>El Universal</v>
      </c>
      <c r="B19" s="12" t="str">
        <f>IFERROR(__xludf.DUMMYFUNCTION("""COMPUTED_VALUE"""),"Ellos son los fallecidos en el descarrilamiento del Tren Interoceánico de Oaxaca")</f>
        <v>Ellos son los fallecidos en el descarrilamiento del Tren Interoceánico de Oaxaca</v>
      </c>
      <c r="C19" s="13" t="str">
        <f>IFERROR(__xludf.DUMMYFUNCTION("""COMPUTED_VALUE"""),"2025-12-29")</f>
        <v>2025-12-29</v>
      </c>
      <c r="D19" s="14">
        <f>IFERROR(__xludf.DUMMYFUNCTION("""COMPUTED_VALUE"""),4.0)</f>
        <v>4</v>
      </c>
      <c r="E19" s="15">
        <f>IFERROR(__xludf.DUMMYFUNCTION("""COMPUTED_VALUE"""),-0.6606)</f>
        <v>-0.6606</v>
      </c>
      <c r="F19" s="2" t="str">
        <f>IFERROR(__xludf.DUMMYFUNCTION("""COMPUTED_VALUE"""),"Negativo")</f>
        <v>Negativo</v>
      </c>
      <c r="G19" s="15">
        <f>IFERROR(__xludf.DUMMYFUNCTION("""COMPUTED_VALUE"""),0.6606)</f>
        <v>0.6606</v>
      </c>
      <c r="H19" s="2" t="str">
        <f>IFERROR(__xludf.DUMMYFUNCTION("""COMPUTED_VALUE"""),"Otros temas generales")</f>
        <v>Otros temas generales</v>
      </c>
      <c r="I19" s="2" t="str">
        <f>IFERROR(__xludf.DUMMYFUNCTION("""COMPUTED_VALUE"""),"N/A")</f>
        <v>N/A</v>
      </c>
      <c r="J19" s="2" t="str">
        <f>IFERROR(__xludf.DUMMYFUNCTION("""COMPUTED_VALUE"""),"Descartar / Baja prioridad.")</f>
        <v>Descartar / Baja prioridad.</v>
      </c>
      <c r="K19" s="2" t="str">
        <f>IFERROR(__xludf.DUMMYFUNCTION("""COMPUTED_VALUE"""),"Oaxaca")</f>
        <v>Oaxaca</v>
      </c>
      <c r="L19" s="2" t="str">
        <f>IFERROR(__xludf.DUMMYFUNCTION("""COMPUTED_VALUE"""),"Oaxaca")</f>
        <v>Oaxaca</v>
      </c>
      <c r="M19" s="16" t="str">
        <f>IFERROR(__xludf.DUMMYFUNCTION("""COMPUTED_VALUE"""),"https://www.eluniversal.com.mx/estados/ellos-son-los-fallecidos-en-el-descarrilamiento-del-tren-interoceanico-de-oaxaca/")</f>
        <v>https://www.eluniversal.com.mx/estados/ellos-son-los-fallecidos-en-el-descarrilamiento-del-tren-interoceanico-de-oaxaca/</v>
      </c>
      <c r="N19" s="2" t="str">
        <f>IFERROR(__xludf.DUMMYFUNCTION("""COMPUTED_VALUE"""),"El 28 de diciembre se reportó eldescarrilamiento del Tren Interoceánico, que conecta el océano Pacífico con el golfo de México, dejó un saldo de13 personas fallecidas y 98 lesionadas, informó la Secretaría de Marina (Semar). De acuerdo con la dependencia,"&amp;" a bordo de la unidadviajaban 250 personas, entre pasajeros y tripulación, de las cuales 139 resultaron ilesas. Del total de heridos,36 permanecen hospitalizados, mientras que el resto presentó lesiones no graves. La presidentaClaudia Sheinbaumdetalló que"&amp;" los lesionados reciben atención médica en hospitales delIMSS en Matías Romero y Salina Cruz, así como en unidades delIMSS-Bienestar en Juchitán e Ixtepec. Entre lasvíctimas fatales del descarrilamiento del Tren Interoceánicoen el Istmo de Tehuantepec, se"&amp;" encuentran menores de edad, jóvenes estudiantes, un profesor e integrantes de familias originarias del estado de Veracruz. Una de las menores fallecidas esElena Solorza Cruzdeseis años de edad, quien viajaba con sus padres para vacacionar en Coatzacoalco"&amp;"s, Veracruz. Luisa Camila Serrano Morenode 15 años de edad, originaria de Salina Cruz, Oaxaca, quien viajaba con su madre y hermana para pasar el fin de año en Coatzacoalcos. Elprofesor jubiladodel Centro de Estudios Tecnológicos del Mar 05 con sede en Sa"&amp;"lina Cruz,Berzaín Cruz López, y su esposa María Concepción Acevedo.[Publicidad] Falleció el periodistaIsrael Enrique Gallegos Soto, quien será velado esta noche en Matías Romero Avendaño, y se está a la espera de la llegada de sus familiares; la esposa de"&amp;"l periodista aún se encuentra hospitalizada.[Publicidad] Rogelio Luna, Patricia Medina Pérez, Honoria Medina Pérez, los tres integrantes de una misma familia originaria de Minatitlán, Veracruz. María Antonia Rosales Mendoza, originaria de Acayucan, Veracr"&amp;"uz, viajaba acompañada de su esposo Rolando Domínguez Ramírez y de su hija Libertad Domínguez Rosales, quienes resultaron heridos. Habían viajado a Salina Cruz para visitar a una hermana de ella, y para vivir la experiencia, decidieron regresar en el Tren"&amp;" Interoceánico. Copyright © Todos los derechos reservados | EL UNIVERSAL, Compañía Periodística Nacional. De no existir previa autorización, queda expresamente prohibida la Publicación, retransmisión, edición y cualquier otro uso de los contenidos Al nave"&amp;"gar en este sitio aceptas las cookies que utilizamos para mejorar tu experiencia")</f>
        <v>El 28 de diciembre se reportó eldescarrilamiento del Tren Interoceánico, que conecta el océano Pacífico con el golfo de México, dejó un saldo de13 personas fallecidas y 98 lesionadas, informó la Secretaría de Marina (Semar). De acuerdo con la dependencia, a bordo de la unidadviajaban 250 personas, entre pasajeros y tripulación, de las cuales 139 resultaron ilesas. Del total de heridos,36 permanecen hospitalizados, mientras que el resto presentó lesiones no graves. La presidentaClaudia Sheinbaumdetalló que los lesionados reciben atención médica en hospitales delIMSS en Matías Romero y Salina Cruz, así como en unidades delIMSS-Bienestar en Juchitán e Ixtepec. Entre lasvíctimas fatales del descarrilamiento del Tren Interoceánicoen el Istmo de Tehuantepec, se encuentran menores de edad, jóvenes estudiantes, un profesor e integrantes de familias originarias del estado de Veracruz. Una de las menores fallecidas esElena Solorza Cruzdeseis años de edad, quien viajaba con sus padres para vacacionar en Coatzacoalcos, Veracruz. Luisa Camila Serrano Morenode 15 años de edad, originaria de Salina Cruz, Oaxaca, quien viajaba con su madre y hermana para pasar el fin de año en Coatzacoalcos. Elprofesor jubiladodel Centro de Estudios Tecnológicos del Mar 05 con sede en Salina Cruz,Berzaín Cruz López, y su esposa María Concepción Acevedo.[Publicidad] Falleció el periodistaIsrael Enrique Gallegos Soto, quien será velado esta noche en Matías Romero Avendaño, y se está a la espera de la llegada de sus familiares; la esposa del periodista aún se encuentra hospitalizada.[Publicidad] Rogelio Luna, Patricia Medina Pérez, Honoria Medina Pérez, los tres integrantes de una misma familia originaria de Minatitlán, Veracruz. María Antonia Rosales Mendoza, originaria de Acayucan, Veracruz, viajaba acompañada de su esposo Rolando Domínguez Ramírez y de su hija Libertad Domínguez Rosales, quienes resultaron heridos. Habían viajado a Salina Cruz para visitar a una hermana de ella, y para vivir la experiencia, decidieron regresar en el Tren Interoceánico.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19" s="15">
        <f>IFERROR(__xludf.DUMMYFUNCTION("""COMPUTED_VALUE"""),0.2497)</f>
        <v>0.2497</v>
      </c>
      <c r="P19" s="2"/>
      <c r="Q19" s="17">
        <f>IFERROR(__xludf.DUMMYFUNCTION("""COMPUTED_VALUE"""),6.5)</f>
        <v>6.5</v>
      </c>
      <c r="R19" s="2" t="str">
        <f>IFERROR(__xludf.DUMMYFUNCTION("""COMPUTED_VALUE"""),"High")</f>
        <v>High</v>
      </c>
      <c r="S19" s="17">
        <f>IFERROR(__xludf.DUMMYFUNCTION("""COMPUTED_VALUE"""),2.5)</f>
        <v>2.5</v>
      </c>
      <c r="T19" s="17">
        <f>IFERROR(__xludf.DUMMYFUNCTION("""COMPUTED_VALUE"""),0.0)</f>
        <v>0</v>
      </c>
      <c r="U19" s="14">
        <f>IFERROR(__xludf.DUMMYFUNCTION("""COMPUTED_VALUE"""),3.0)</f>
        <v>3</v>
      </c>
      <c r="V19" s="14">
        <v>2025.0</v>
      </c>
      <c r="W19" s="2" t="s">
        <v>1168</v>
      </c>
      <c r="X19" s="2" t="s">
        <v>1169</v>
      </c>
      <c r="Y19" s="13" t="s">
        <v>23</v>
      </c>
      <c r="Z19" s="14">
        <v>0.0</v>
      </c>
      <c r="AA19" s="14">
        <v>0.0</v>
      </c>
      <c r="AB19" s="14">
        <v>0.0</v>
      </c>
      <c r="AC19" s="14">
        <v>0.0</v>
      </c>
      <c r="AD19" s="2">
        <v>0.0</v>
      </c>
      <c r="AE19" s="2">
        <v>1.0</v>
      </c>
      <c r="AF19" s="2">
        <v>12.0</v>
      </c>
      <c r="AG19" s="2" t="s">
        <v>1176</v>
      </c>
      <c r="AH19" s="2">
        <v>0.0</v>
      </c>
    </row>
    <row r="20" ht="15.75" customHeight="1">
      <c r="A20" s="2" t="str">
        <f>IFERROR(__xludf.DUMMYFUNCTION("""COMPUTED_VALUE"""),"El Universal")</f>
        <v>El Universal</v>
      </c>
      <c r="B20" s="12" t="str">
        <f>IFERROR(__xludf.DUMMYFUNCTION("""COMPUTED_VALUE"""),"Tribunal Electoral revisará 35 impugnaciones en Veracruz; podrían cambiar resultados municipales")</f>
        <v>Tribunal Electoral revisará 35 impugnaciones en Veracruz; podrían cambiar resultados municipales</v>
      </c>
      <c r="C20" s="13" t="str">
        <f>IFERROR(__xludf.DUMMYFUNCTION("""COMPUTED_VALUE"""),"2025-12-29")</f>
        <v>2025-12-29</v>
      </c>
      <c r="D20" s="14">
        <f>IFERROR(__xludf.DUMMYFUNCTION("""COMPUTED_VALUE"""),2.0)</f>
        <v>2</v>
      </c>
      <c r="E20" s="15">
        <f>IFERROR(__xludf.DUMMYFUNCTION("""COMPUTED_VALUE"""),0.0)</f>
        <v>0</v>
      </c>
      <c r="F20" s="2" t="str">
        <f>IFERROR(__xludf.DUMMYFUNCTION("""COMPUTED_VALUE"""),"Neutral")</f>
        <v>Neutral</v>
      </c>
      <c r="G20" s="15">
        <f>IFERROR(__xludf.DUMMYFUNCTION("""COMPUTED_VALUE"""),0.687)</f>
        <v>0.687</v>
      </c>
      <c r="H20" s="2" t="str">
        <f>IFERROR(__xludf.DUMMYFUNCTION("""COMPUTED_VALUE"""),"Operativo policial o detención")</f>
        <v>Operativo policial o detención</v>
      </c>
      <c r="I20" s="2" t="str">
        <f>IFERROR(__xludf.DUMMYFUNCTION("""COMPUTED_VALUE"""),"N/A")</f>
        <v>N/A</v>
      </c>
      <c r="J20" s="2" t="str">
        <f>IFERROR(__xludf.DUMMYFUNCTION("""COMPUTED_VALUE"""),"Monitoreo general.")</f>
        <v>Monitoreo general.</v>
      </c>
      <c r="K20" s="2" t="str">
        <f>IFERROR(__xludf.DUMMYFUNCTION("""COMPUTED_VALUE"""),"Veracruz")</f>
        <v>Veracruz</v>
      </c>
      <c r="L20" s="2" t="str">
        <f>IFERROR(__xludf.DUMMYFUNCTION("""COMPUTED_VALUE"""),"Veracruz")</f>
        <v>Veracruz</v>
      </c>
      <c r="M20" s="16" t="str">
        <f>IFERROR(__xludf.DUMMYFUNCTION("""COMPUTED_VALUE"""),"https://www.eluniversal.com.mx/estados/tribunal-electoral-revisara-35-impugnaciones-en-veracruz-podrian-cambiar-resultados-municipales/")</f>
        <v>https://www.eluniversal.com.mx/estados/tribunal-electoral-revisara-35-impugnaciones-en-veracruz-podrian-cambiar-resultados-municipales/</v>
      </c>
      <c r="N20" s="2" t="str">
        <f>IFERROR(__xludf.DUMMYFUNCTION("""COMPUTED_VALUE"""),"Horas antes de latoma de protestade los212 nuevos alcaldes y alcaldesas de Veracruz, la Sala Superior del Tribunal Electoral del Poder Judicial de la Federación(TEPJF)resolverá 35 recursos de inconformidad relacionados con laelección municipal. Durante la"&amp;"sesión públicaprogramada para estemartes 30 de diciembre, elórgano jurisdiccionalanalizará los recursos derivados de la elección del 1 de junio, lo que podría provocarmodificaciones en el mapa electoral. Será elmiércoles 31 de diciembrecuando las 212 nuev"&amp;"as autoridades municipales rindan protesta de ley, para entrar en funciones a partir del primer minuto del 1 de enero. Las resoluciones de los casos en losmunicipios de Tamiahua y Jáltipanconcentran la atención política y social, ya que enambos podría anu"&amp;"larse la elección. En el caso deTamiahua, el magistrado electoral Reyes Rodríguez Mondragón propone laanulación de la eleccióny larevocación del triunfode la alcaldesa electa del PVEM,Citlali Medellín, porpresuntamente rebasar el tope de gastos de campaña"&amp;". En tanto, se revisará la elección enJáltipan, donde el Tribunal Electoral de Veracruz, avalado por la Sala Regional del TEPJF, determinó laanulaciónporviolencia política de género.[Publicidad] Dicha resoluciónretiró el triunfoalalcalde electo de Movimie"&amp;"nto Ciudadano, Gildardo Maldonado Guzmán, quien obtuvo6 mil 125 votos, seguido por la candidata de lacoalición PVEM-Morena, Mildred Marlene May. En este caso, lamagistrada presidenta de la Sala Regional Xalapa, Roselia Bustillo Marín, propusorestituir el "&amp;"triunfo a MC, al considerar que laviolencia política de génerono influyó de manera determinante en la intención del voto.[Publicidad] Bustillo Marín reconoció la existencia de violencia política de género, pero sostuvo que la nulidad de la elección debe a"&amp;"nalizar si las violaciones fueron determinantes en el resultado electoral. De acuerdo con losresultados electorales preliminaresy a la espera de las resoluciones finales de la Sala Superior, Morena y el PVEM gobernarán en conjunto 72 municipios (12 de Mor"&amp;"ena y 60 en alianza). Movimiento Ciudadano encabezará 39 alcaldías; el PAN, 34; el Partido del Trabajo (PT), 30 presidencias municipales; y el PRI, 24 alcaldías. El Partido Verde Ecologista de México (PVEM) gobernará 12 alcaldías en solitario, y se contem"&amp;"pla la presencia deun alcalde independiente. Copyright © Todos los derechos reservados | EL UNIVERSAL, Compañía Periodística Nacional. De no existir previa autorización, queda expresamente prohibida la Publicación, retransmisión, edición y cualquier otro "&amp;"uso de los contenidos Al navegar en este sitio aceptas las cookies que utilizamos para mejorar tu experiencia")</f>
        <v>Horas antes de latoma de protestade los212 nuevos alcaldes y alcaldesas de Veracruz, la Sala Superior del Tribunal Electoral del Poder Judicial de la Federación(TEPJF)resolverá 35 recursos de inconformidad relacionados con laelección municipal. Durante lasesión públicaprogramada para estemartes 30 de diciembre, elórgano jurisdiccionalanalizará los recursos derivados de la elección del 1 de junio, lo que podría provocarmodificaciones en el mapa electoral. Será elmiércoles 31 de diciembrecuando las 212 nuevas autoridades municipales rindan protesta de ley, para entrar en funciones a partir del primer minuto del 1 de enero. Las resoluciones de los casos en losmunicipios de Tamiahua y Jáltipanconcentran la atención política y social, ya que enambos podría anularse la elección. En el caso deTamiahua, el magistrado electoral Reyes Rodríguez Mondragón propone laanulación de la eleccióny larevocación del triunfode la alcaldesa electa del PVEM,Citlali Medellín, porpresuntamente rebasar el tope de gastos de campaña. En tanto, se revisará la elección enJáltipan, donde el Tribunal Electoral de Veracruz, avalado por la Sala Regional del TEPJF, determinó laanulaciónporviolencia política de género.[Publicidad] Dicha resoluciónretiró el triunfoalalcalde electo de Movimiento Ciudadano, Gildardo Maldonado Guzmán, quien obtuvo6 mil 125 votos, seguido por la candidata de lacoalición PVEM-Morena, Mildred Marlene May. En este caso, lamagistrada presidenta de la Sala Regional Xalapa, Roselia Bustillo Marín, propusorestituir el triunfo a MC, al considerar que laviolencia política de génerono influyó de manera determinante en la intención del voto.[Publicidad] Bustillo Marín reconoció la existencia de violencia política de género, pero sostuvo que la nulidad de la elección debe analizar si las violaciones fueron determinantes en el resultado electoral. De acuerdo con losresultados electorales preliminaresy a la espera de las resoluciones finales de la Sala Superior, Morena y el PVEM gobernarán en conjunto 72 municipios (12 de Morena y 60 en alianza). Movimiento Ciudadano encabezará 39 alcaldías; el PAN, 34; el Partido del Trabajo (PT), 30 presidencias municipales; y el PRI, 24 alcaldías. El Partido Verde Ecologista de México (PVEM) gobernará 12 alcaldías en solitario, y se contempla la presencia deun alcalde independiente.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0" s="15">
        <f>IFERROR(__xludf.DUMMYFUNCTION("""COMPUTED_VALUE"""),0.4115)</f>
        <v>0.4115</v>
      </c>
      <c r="P20" s="2"/>
      <c r="Q20" s="17">
        <f>IFERROR(__xludf.DUMMYFUNCTION("""COMPUTED_VALUE"""),8.5)</f>
        <v>8.5</v>
      </c>
      <c r="R20" s="2" t="str">
        <f>IFERROR(__xludf.DUMMYFUNCTION("""COMPUTED_VALUE"""),"Low")</f>
        <v>Low</v>
      </c>
      <c r="S20" s="17">
        <f>IFERROR(__xludf.DUMMYFUNCTION("""COMPUTED_VALUE"""),0.5)</f>
        <v>0.5</v>
      </c>
      <c r="T20" s="17">
        <f>IFERROR(__xludf.DUMMYFUNCTION("""COMPUTED_VALUE"""),0.0)</f>
        <v>0</v>
      </c>
      <c r="U20" s="14">
        <f>IFERROR(__xludf.DUMMYFUNCTION("""COMPUTED_VALUE"""),3.0)</f>
        <v>3</v>
      </c>
      <c r="V20" s="14">
        <v>2025.0</v>
      </c>
      <c r="W20" s="2" t="s">
        <v>1168</v>
      </c>
      <c r="X20" s="2" t="s">
        <v>1169</v>
      </c>
      <c r="Y20" s="13" t="s">
        <v>23</v>
      </c>
      <c r="Z20" s="14">
        <v>0.0</v>
      </c>
      <c r="AA20" s="14">
        <v>0.0</v>
      </c>
      <c r="AB20" s="14">
        <v>0.0</v>
      </c>
      <c r="AC20" s="14">
        <v>0.0</v>
      </c>
      <c r="AD20" s="2">
        <v>0.0</v>
      </c>
      <c r="AE20" s="2">
        <v>0.0</v>
      </c>
      <c r="AF20" s="2">
        <v>12.0</v>
      </c>
      <c r="AG20" s="2" t="s">
        <v>1183</v>
      </c>
      <c r="AH20" s="2">
        <v>0.0</v>
      </c>
    </row>
    <row r="21" ht="15.75" customHeight="1">
      <c r="A21" s="2" t="str">
        <f>IFERROR(__xludf.DUMMYFUNCTION("""COMPUTED_VALUE"""),"El Universal")</f>
        <v>El Universal</v>
      </c>
      <c r="B21" s="12" t="str">
        <f>IFERROR(__xludf.DUMMYFUNCTION("""COMPUTED_VALUE"""),"Mueren dos trabajadores al quedar prensados por maquinaria; investigan accidente laboral en Nuevo León")</f>
        <v>Mueren dos trabajadores al quedar prensados por maquinaria; investigan accidente laboral en Nuevo León</v>
      </c>
      <c r="C21" s="13" t="str">
        <f>IFERROR(__xludf.DUMMYFUNCTION("""COMPUTED_VALUE"""),"2025-12-29")</f>
        <v>2025-12-29</v>
      </c>
      <c r="D21" s="14">
        <f>IFERROR(__xludf.DUMMYFUNCTION("""COMPUTED_VALUE"""),2.0)</f>
        <v>2</v>
      </c>
      <c r="E21" s="15">
        <f>IFERROR(__xludf.DUMMYFUNCTION("""COMPUTED_VALUE"""),-0.7243)</f>
        <v>-0.7243</v>
      </c>
      <c r="F21" s="2" t="str">
        <f>IFERROR(__xludf.DUMMYFUNCTION("""COMPUTED_VALUE"""),"Negativo")</f>
        <v>Negativo</v>
      </c>
      <c r="G21" s="15">
        <f>IFERROR(__xludf.DUMMYFUNCTION("""COMPUTED_VALUE"""),0.7243)</f>
        <v>0.7243</v>
      </c>
      <c r="H21" s="2" t="str">
        <f>IFERROR(__xludf.DUMMYFUNCTION("""COMPUTED_VALUE"""),"Operativo policial o detención")</f>
        <v>Operativo policial o detención</v>
      </c>
      <c r="I21" s="2" t="str">
        <f>IFERROR(__xludf.DUMMYFUNCTION("""COMPUTED_VALUE"""),"N/A")</f>
        <v>N/A</v>
      </c>
      <c r="J21" s="2" t="str">
        <f>IFERROR(__xludf.DUMMYFUNCTION("""COMPUTED_VALUE"""),"Monitoreo general.")</f>
        <v>Monitoreo general.</v>
      </c>
      <c r="K21" s="2" t="str">
        <f>IFERROR(__xludf.DUMMYFUNCTION("""COMPUTED_VALUE"""),"Nuevo León")</f>
        <v>Nuevo León</v>
      </c>
      <c r="L21" s="2" t="str">
        <f>IFERROR(__xludf.DUMMYFUNCTION("""COMPUTED_VALUE"""),"Nuevo León")</f>
        <v>Nuevo León</v>
      </c>
      <c r="M21" s="16" t="str">
        <f>IFERROR(__xludf.DUMMYFUNCTION("""COMPUTED_VALUE"""),"https://www.eluniversal.com.mx/estados/mueren-dos-trabajadores-al-quedar-prensados-por-maquinaria-investigan-accidente-laboral-en-nuevo-leon/")</f>
        <v>https://www.eluniversal.com.mx/estados/mueren-dos-trabajadores-al-quedar-prensados-por-maquinaria-investigan-accidente-laboral-en-nuevo-leon/</v>
      </c>
      <c r="N21" s="2" t="str">
        <f>IFERROR(__xludf.DUMMYFUNCTION("""COMPUTED_VALUE"""),"Mientras realizaban suslabores,dos empleados murieronal quedarprensados bajo una máquinadentro de unaempresaubicada enSanta Catarina, Nuevo León. Loshechosse reportaron en lacompañía Carrier, localizada en el cruce de las callesGaleanayEl Lechugal, en lac"&amp;"olonia El Lechugal. Al lugar acudiópersonal de Protección Civil del Estado, donde seconfirmó el decesode losdos trabajadores, luego de que lamáquina les cayera encima. Posteriormente, arribaronperitos de la Agencia Estatal de Investigaciones, quienes real"&amp;"izaron ellevantamiento de evidenciase iniciaron lacarpeta de investigacióncorrespondiente. Hasta el momento,no se ha informado cómo ocurrió el accidente laboralni lascausasque lo provocaron. Copyright © Todos los derechos reservados | EL UNIVERSAL, Compañ"&amp;"ía Periodística Nacional. De no existir previa autorización, queda expresamente prohibida la Publicación, retransmisión, edición y cualquier otro uso de los contenidos Al navegar en este sitio aceptas las cookies que utilizamos para mejorar tu experiencia")</f>
        <v>Mientras realizaban suslabores,dos empleados murieronal quedarprensados bajo una máquinadentro de unaempresaubicada enSanta Catarina, Nuevo León. Loshechosse reportaron en lacompañía Carrier, localizada en el cruce de las callesGaleanayEl Lechugal, en lacolonia El Lechugal. Al lugar acudiópersonal de Protección Civil del Estado, donde seconfirmó el decesode losdos trabajadores, luego de que lamáquina les cayera encima. Posteriormente, arribaronperitos de la Agencia Estatal de Investigaciones, quienes realizaron ellevantamiento de evidenciase iniciaron lacarpeta de investigacióncorrespondiente. Hasta el momento,no se ha informado cómo ocurrió el accidente laboralni lascausasque lo provocaron.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1" s="15">
        <f>IFERROR(__xludf.DUMMYFUNCTION("""COMPUTED_VALUE"""),0.5125)</f>
        <v>0.5125</v>
      </c>
      <c r="P21" s="2"/>
      <c r="Q21" s="17">
        <f>IFERROR(__xludf.DUMMYFUNCTION("""COMPUTED_VALUE"""),8.0)</f>
        <v>8</v>
      </c>
      <c r="R21" s="2" t="str">
        <f>IFERROR(__xludf.DUMMYFUNCTION("""COMPUTED_VALUE"""),"Low")</f>
        <v>Low</v>
      </c>
      <c r="S21" s="17">
        <f>IFERROR(__xludf.DUMMYFUNCTION("""COMPUTED_VALUE"""),0.0)</f>
        <v>0</v>
      </c>
      <c r="T21" s="17">
        <f>IFERROR(__xludf.DUMMYFUNCTION("""COMPUTED_VALUE"""),0.0)</f>
        <v>0</v>
      </c>
      <c r="U21" s="14">
        <f>IFERROR(__xludf.DUMMYFUNCTION("""COMPUTED_VALUE"""),3.0)</f>
        <v>3</v>
      </c>
      <c r="V21" s="14">
        <v>2025.0</v>
      </c>
      <c r="W21" s="2" t="s">
        <v>1168</v>
      </c>
      <c r="X21" s="2" t="s">
        <v>1169</v>
      </c>
      <c r="Y21" s="13" t="s">
        <v>23</v>
      </c>
      <c r="Z21" s="14">
        <v>0.0</v>
      </c>
      <c r="AA21" s="14">
        <v>0.0</v>
      </c>
      <c r="AB21" s="14">
        <v>0.0</v>
      </c>
      <c r="AC21" s="14">
        <v>0.0</v>
      </c>
      <c r="AD21" s="2">
        <v>0.0</v>
      </c>
      <c r="AE21" s="2">
        <v>0.0</v>
      </c>
      <c r="AF21" s="2">
        <v>12.0</v>
      </c>
      <c r="AG21" s="2" t="s">
        <v>1184</v>
      </c>
      <c r="AH21" s="2">
        <v>0.0</v>
      </c>
    </row>
    <row r="22" ht="15.75" customHeight="1">
      <c r="A22" s="2" t="str">
        <f>IFERROR(__xludf.DUMMYFUNCTION("""COMPUTED_VALUE"""),"El Universal")</f>
        <v>El Universal</v>
      </c>
      <c r="B22" s="12" t="str">
        <f>IFERROR(__xludf.DUMMYFUNCTION("""COMPUTED_VALUE"""),"Elemento de la AEI de Oaxaca manipula su arma en presunto estado de ebriedad; lo separan de su cargo")</f>
        <v>Elemento de la AEI de Oaxaca manipula su arma en presunto estado de ebriedad; lo separan de su cargo</v>
      </c>
      <c r="C22" s="13" t="str">
        <f>IFERROR(__xludf.DUMMYFUNCTION("""COMPUTED_VALUE"""),"2025-12-29")</f>
        <v>2025-12-29</v>
      </c>
      <c r="D22" s="14">
        <f>IFERROR(__xludf.DUMMYFUNCTION("""COMPUTED_VALUE"""),2.0)</f>
        <v>2</v>
      </c>
      <c r="E22" s="15">
        <f>IFERROR(__xludf.DUMMYFUNCTION("""COMPUTED_VALUE"""),0.0)</f>
        <v>0</v>
      </c>
      <c r="F22" s="2" t="str">
        <f>IFERROR(__xludf.DUMMYFUNCTION("""COMPUTED_VALUE"""),"Neutral")</f>
        <v>Neutral</v>
      </c>
      <c r="G22" s="15">
        <f>IFERROR(__xludf.DUMMYFUNCTION("""COMPUTED_VALUE"""),0.516)</f>
        <v>0.516</v>
      </c>
      <c r="H22" s="2" t="str">
        <f>IFERROR(__xludf.DUMMYFUNCTION("""COMPUTED_VALUE"""),"Operativo policial o detención")</f>
        <v>Operativo policial o detención</v>
      </c>
      <c r="I22" s="2" t="str">
        <f>IFERROR(__xludf.DUMMYFUNCTION("""COMPUTED_VALUE"""),"N/A")</f>
        <v>N/A</v>
      </c>
      <c r="J22" s="2" t="str">
        <f>IFERROR(__xludf.DUMMYFUNCTION("""COMPUTED_VALUE"""),"Monitoreo general.")</f>
        <v>Monitoreo general.</v>
      </c>
      <c r="K22" s="2" t="str">
        <f>IFERROR(__xludf.DUMMYFUNCTION("""COMPUTED_VALUE"""),"Oaxaca")</f>
        <v>Oaxaca</v>
      </c>
      <c r="L22" s="2" t="str">
        <f>IFERROR(__xludf.DUMMYFUNCTION("""COMPUTED_VALUE"""),"Oaxaca")</f>
        <v>Oaxaca</v>
      </c>
      <c r="M22" s="16" t="str">
        <f>IFERROR(__xludf.DUMMYFUNCTION("""COMPUTED_VALUE"""),"https://www.eluniversal.com.mx/estados/elemento-de-la-aei-de-oaxaca-manipula-su-arma-en-presunto-estado-de-ebriedad-lo-separan-de-su-cargo/")</f>
        <v>https://www.eluniversal.com.mx/estados/elemento-de-la-aei-de-oaxaca-manipula-su-arma-en-presunto-estado-de-ebriedad-lo-separan-de-su-cargo/</v>
      </c>
      <c r="N22" s="2" t="str">
        <f>IFERROR(__xludf.DUMMYFUNCTION("""COMPUTED_VALUE"""),"Unelemento de la Agencia Estatal de Investigaciones (AEI)de la Fiscalía General de Oaxaca fue captado en unvideomientrasmanipulaba su armaenpresunto estado de ebriedad, lo que generó temor entre personas que se encontraban cerca del lugar. El hecho ocurri"&amp;"ó en elmunicipio de San Pedro y San Pablo Teposcolula, en la región Mixteca de Oaxaca. LaFiscalía General del Estadoinformó queseparó del cargoalelemento de la AEIcomo acción inicial dentro de unproceso sancionatorio, para evaluar su conducta, luego de qu"&amp;"e fuera captado en un video en el que se observa que manipula de manera riesgosa su arma de cargo. La institución detalló que lasacciones sancionatoriasderivan de un video difundido en diversos canales digitales, donde se aprecia que el agente no atiende "&amp;"los protocolos de uso que rigen la actuación institucional. Asimismo, seinició una investigación internaa través de la Visitaduría General y la Contraloría Interna de la FGEO, con el objetivo de determinar el tipo de responsabilidad en la que pudo incurri"&amp;"r el elemento. Finalmente, las instancias correspondientes dentro de la Fiscalía de Oaxaca determinaron suspender del cargo al agente, mientras continúan los procesos de investigación para definir laposible penalizaciónpor estos hechos.[Publicidad] Copyri"&amp;"ght © Todos los derechos reservados | EL UNIVERSAL, Compañía Periodística Nacional. De no existir previa autorización, queda expresamente prohibida la Publicación, retransmisión, edición y cualquier otro uso de los contenidos Al navegar en este sitio acep"&amp;"tas las cookies que utilizamos para mejorar tu experiencia")</f>
        <v>Unelemento de la Agencia Estatal de Investigaciones (AEI)de la Fiscalía General de Oaxaca fue captado en unvideomientrasmanipulaba su armaenpresunto estado de ebriedad, lo que generó temor entre personas que se encontraban cerca del lugar. El hecho ocurrió en elmunicipio de San Pedro y San Pablo Teposcolula, en la región Mixteca de Oaxaca. LaFiscalía General del Estadoinformó queseparó del cargoalelemento de la AEIcomo acción inicial dentro de unproceso sancionatorio, para evaluar su conducta, luego de que fuera captado en un video en el que se observa que manipula de manera riesgosa su arma de cargo. La institución detalló que lasacciones sancionatoriasderivan de un video difundido en diversos canales digitales, donde se aprecia que el agente no atiende los protocolos de uso que rigen la actuación institucional. Asimismo, seinició una investigación internaa través de la Visitaduría General y la Contraloría Interna de la FGEO, con el objetivo de determinar el tipo de responsabilidad en la que pudo incurrir el elemento. Finalmente, las instancias correspondientes dentro de la Fiscalía de Oaxaca determinaron suspender del cargo al agente, mientras continúan los procesos de investigación para definir laposible penalizaciónpor estos hechos.[Publicidad]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2" s="15">
        <f>IFERROR(__xludf.DUMMYFUNCTION("""COMPUTED_VALUE"""),0.5198)</f>
        <v>0.5198</v>
      </c>
      <c r="P22" s="2"/>
      <c r="Q22" s="17">
        <f>IFERROR(__xludf.DUMMYFUNCTION("""COMPUTED_VALUE"""),8.5)</f>
        <v>8.5</v>
      </c>
      <c r="R22" s="2" t="str">
        <f>IFERROR(__xludf.DUMMYFUNCTION("""COMPUTED_VALUE"""),"Low")</f>
        <v>Low</v>
      </c>
      <c r="S22" s="17">
        <f>IFERROR(__xludf.DUMMYFUNCTION("""COMPUTED_VALUE"""),0.5)</f>
        <v>0.5</v>
      </c>
      <c r="T22" s="17">
        <f>IFERROR(__xludf.DUMMYFUNCTION("""COMPUTED_VALUE"""),0.0)</f>
        <v>0</v>
      </c>
      <c r="U22" s="14">
        <f>IFERROR(__xludf.DUMMYFUNCTION("""COMPUTED_VALUE"""),3.0)</f>
        <v>3</v>
      </c>
      <c r="V22" s="14">
        <v>2025.0</v>
      </c>
      <c r="W22" s="2" t="s">
        <v>1168</v>
      </c>
      <c r="X22" s="2" t="s">
        <v>1169</v>
      </c>
      <c r="Y22" s="13" t="s">
        <v>23</v>
      </c>
      <c r="Z22" s="14">
        <v>0.0</v>
      </c>
      <c r="AA22" s="14">
        <v>0.0</v>
      </c>
      <c r="AB22" s="14">
        <v>0.0</v>
      </c>
      <c r="AC22" s="14">
        <v>0.0</v>
      </c>
      <c r="AD22" s="2">
        <v>0.0</v>
      </c>
      <c r="AE22" s="2">
        <v>0.0</v>
      </c>
      <c r="AF22" s="2">
        <v>12.0</v>
      </c>
      <c r="AG22" s="2" t="s">
        <v>1176</v>
      </c>
      <c r="AH22" s="2">
        <v>0.0</v>
      </c>
    </row>
    <row r="23" ht="15.75" customHeight="1">
      <c r="A23" s="2" t="str">
        <f>IFERROR(__xludf.DUMMYFUNCTION("""COMPUTED_VALUE"""),"El Universal")</f>
        <v>El Universal</v>
      </c>
      <c r="B23" s="12" t="str">
        <f>IFERROR(__xludf.DUMMYFUNCTION("""COMPUTED_VALUE"""),"Aumentan quejas en hospitales del ISSSTE en Veracruz; denuncian negligencias y carencias de insumos")</f>
        <v>Aumentan quejas en hospitales del ISSSTE en Veracruz; denuncian negligencias y carencias de insumos</v>
      </c>
      <c r="C23" s="13" t="str">
        <f>IFERROR(__xludf.DUMMYFUNCTION("""COMPUTED_VALUE"""),"2025-12-29")</f>
        <v>2025-12-29</v>
      </c>
      <c r="D23" s="14">
        <f>IFERROR(__xludf.DUMMYFUNCTION("""COMPUTED_VALUE"""),1.0)</f>
        <v>1</v>
      </c>
      <c r="E23" s="15">
        <f>IFERROR(__xludf.DUMMYFUNCTION("""COMPUTED_VALUE"""),-0.961)</f>
        <v>-0.961</v>
      </c>
      <c r="F23" s="2" t="str">
        <f>IFERROR(__xludf.DUMMYFUNCTION("""COMPUTED_VALUE"""),"Negativo")</f>
        <v>Negativo</v>
      </c>
      <c r="G23" s="15">
        <f>IFERROR(__xludf.DUMMYFUNCTION("""COMPUTED_VALUE"""),0.961)</f>
        <v>0.961</v>
      </c>
      <c r="H23" s="2" t="str">
        <f>IFERROR(__xludf.DUMMYFUNCTION("""COMPUTED_VALUE"""),"Otros temas generales")</f>
        <v>Otros temas generales</v>
      </c>
      <c r="I23" s="2" t="str">
        <f>IFERROR(__xludf.DUMMYFUNCTION("""COMPUTED_VALUE"""),"N/A")</f>
        <v>N/A</v>
      </c>
      <c r="J23" s="2" t="str">
        <f>IFERROR(__xludf.DUMMYFUNCTION("""COMPUTED_VALUE"""),"Descartar / Baja prioridad.")</f>
        <v>Descartar / Baja prioridad.</v>
      </c>
      <c r="K23" s="2" t="str">
        <f>IFERROR(__xludf.DUMMYFUNCTION("""COMPUTED_VALUE"""),"Veracruz")</f>
        <v>Veracruz</v>
      </c>
      <c r="L23" s="2" t="str">
        <f>IFERROR(__xludf.DUMMYFUNCTION("""COMPUTED_VALUE"""),"Veracruz")</f>
        <v>Veracruz</v>
      </c>
      <c r="M23" s="16" t="str">
        <f>IFERROR(__xludf.DUMMYFUNCTION("""COMPUTED_VALUE"""),"https://www.eluniversal.com.mx/estados/aumentan-quejas-en-hospitales-del-issste-en-veracruz-denuncian-negligencias-y-carencias-de-insumos/")</f>
        <v>https://www.eluniversal.com.mx/estados/aumentan-quejas-en-hospitales-del-issste-en-veracruz-denuncian-negligencias-y-carencias-de-insumos/</v>
      </c>
      <c r="N23" s="2" t="str">
        <f>IFERROR(__xludf.DUMMYFUNCTION("""COMPUTED_VALUE"""),"Lasquejas y denunciaspordeficiencias en hospitales y clínicasdel Instituto de Seguridad y Servicios Sociales de los Trabajadores del Estado(ISSSTE)enVeracruzhan aumentado en las últimas semanas. En ciudades comoPoza Rica,XalapayVeracruz, usuarios han pres"&amp;"entado denuncias porpresuntas negligencias médicas,omisionesydescuidos, además deinstalaciones en mal estado. En el municipio de Poza Rica, al norte de Veracruz, ciudadanos exhibieronimágenesdebaños en condiciones deplorables, así comosaturación de servic"&amp;"ios, concamillas en los pasillosy fallas en los aires acondicionados. Desde elpuerto de Veracruz, usuarios denunciaron lafalta de personal médico y especialistas, situación que ha provocado que pacientes permanezcan más tiempo del necesario en los hospita"&amp;"les del Issste. Una de lasquejasfue presentada por el luchador social y activista Francisco Castro, quien aseguró no recibir atención debido a la falta de especialistas, por lo que solicitó la intervención del director general del Issste,Martí Batres. En "&amp;"laciudad de Xalapa, han sidoconstanteslas quejas porcancelación de cirugías programadas,negativas para asignar camas hospitalarias,falta de personal médicoyretraso en estudios especializados.[Publicidad] En laClínica Hospital Xalapa, también se denunció u"&amp;"nadeficiente organizaciónen laasignación de citas con médicos especialistas, lo que generólargas filas de usuariosynuevas inconformidades.[Publicidad] Copyright © Todos los derechos reservados | EL UNIVERSAL, Compañía Periodística Nacional. De no existir "&amp;"previa autorización, queda expresamente prohibida la Publicación, retransmisión, edición y cualquier otro uso de los contenidos Al navegar en este sitio aceptas las cookies que utilizamos para mejorar tu experiencia")</f>
        <v>Lasquejas y denunciaspordeficiencias en hospitales y clínicasdel Instituto de Seguridad y Servicios Sociales de los Trabajadores del Estado(ISSSTE)enVeracruzhan aumentado en las últimas semanas. En ciudades comoPoza Rica,XalapayVeracruz, usuarios han presentado denuncias porpresuntas negligencias médicas,omisionesydescuidos, además deinstalaciones en mal estado. En el municipio de Poza Rica, al norte de Veracruz, ciudadanos exhibieronimágenesdebaños en condiciones deplorables, así comosaturación de servicios, concamillas en los pasillosy fallas en los aires acondicionados. Desde elpuerto de Veracruz, usuarios denunciaron lafalta de personal médico y especialistas, situación que ha provocado que pacientes permanezcan más tiempo del necesario en los hospitales del Issste. Una de lasquejasfue presentada por el luchador social y activista Francisco Castro, quien aseguró no recibir atención debido a la falta de especialistas, por lo que solicitó la intervención del director general del Issste,Martí Batres. En laciudad de Xalapa, han sidoconstanteslas quejas porcancelación de cirugías programadas,negativas para asignar camas hospitalarias,falta de personal médicoyretraso en estudios especializados.[Publicidad] En laClínica Hospital Xalapa, también se denunció unadeficiente organizaciónen laasignación de citas con médicos especialistas, lo que generólargas filas de usuariosynuevas inconformidades.[Publicidad]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3" s="15">
        <f>IFERROR(__xludf.DUMMYFUNCTION("""COMPUTED_VALUE"""),0.3651)</f>
        <v>0.3651</v>
      </c>
      <c r="P23" s="2"/>
      <c r="Q23" s="17">
        <f>IFERROR(__xludf.DUMMYFUNCTION("""COMPUTED_VALUE"""),6.5)</f>
        <v>6.5</v>
      </c>
      <c r="R23" s="2" t="str">
        <f>IFERROR(__xludf.DUMMYFUNCTION("""COMPUTED_VALUE"""),"Low")</f>
        <v>Low</v>
      </c>
      <c r="S23" s="17">
        <f>IFERROR(__xludf.DUMMYFUNCTION("""COMPUTED_VALUE"""),0.5)</f>
        <v>0.5</v>
      </c>
      <c r="T23" s="17">
        <f>IFERROR(__xludf.DUMMYFUNCTION("""COMPUTED_VALUE"""),0.0)</f>
        <v>0</v>
      </c>
      <c r="U23" s="14">
        <f>IFERROR(__xludf.DUMMYFUNCTION("""COMPUTED_VALUE"""),3.0)</f>
        <v>3</v>
      </c>
      <c r="V23" s="14">
        <v>2025.0</v>
      </c>
      <c r="W23" s="2" t="s">
        <v>1168</v>
      </c>
      <c r="X23" s="2" t="s">
        <v>1169</v>
      </c>
      <c r="Y23" s="13" t="s">
        <v>23</v>
      </c>
      <c r="Z23" s="14">
        <v>0.0</v>
      </c>
      <c r="AA23" s="14">
        <v>0.0</v>
      </c>
      <c r="AB23" s="14">
        <v>0.0</v>
      </c>
      <c r="AC23" s="14">
        <v>0.0</v>
      </c>
      <c r="AD23" s="2">
        <v>0.0</v>
      </c>
      <c r="AE23" s="2">
        <v>0.0</v>
      </c>
      <c r="AF23" s="2">
        <v>12.0</v>
      </c>
      <c r="AG23" s="2" t="s">
        <v>1183</v>
      </c>
      <c r="AH23" s="2">
        <v>0.0</v>
      </c>
    </row>
    <row r="24" ht="15.75" customHeight="1">
      <c r="A24" s="2" t="str">
        <f>IFERROR(__xludf.DUMMYFUNCTION("""COMPUTED_VALUE"""),"El Universal")</f>
        <v>El Universal</v>
      </c>
      <c r="B24" s="12" t="str">
        <f>IFERROR(__xludf.DUMMYFUNCTION("""COMPUTED_VALUE"""),"Hallan sin vida a menor reportada como desaparecida tras descarrilamiento del Tren Interoceánico; continúa recuento de víctimas")</f>
        <v>Hallan sin vida a menor reportada como desaparecida tras descarrilamiento del Tren Interoceánico; continúa recuento de víctimas</v>
      </c>
      <c r="C24" s="13" t="str">
        <f>IFERROR(__xludf.DUMMYFUNCTION("""COMPUTED_VALUE"""),"2025-12-29")</f>
        <v>2025-12-29</v>
      </c>
      <c r="D24" s="14">
        <f>IFERROR(__xludf.DUMMYFUNCTION("""COMPUTED_VALUE"""),4.0)</f>
        <v>4</v>
      </c>
      <c r="E24" s="15">
        <f>IFERROR(__xludf.DUMMYFUNCTION("""COMPUTED_VALUE"""),-0.5326)</f>
        <v>-0.5326</v>
      </c>
      <c r="F24" s="2" t="str">
        <f>IFERROR(__xludf.DUMMYFUNCTION("""COMPUTED_VALUE"""),"Negativo")</f>
        <v>Negativo</v>
      </c>
      <c r="G24" s="15">
        <f>IFERROR(__xludf.DUMMYFUNCTION("""COMPUTED_VALUE"""),0.5326)</f>
        <v>0.5326</v>
      </c>
      <c r="H24" s="2" t="str">
        <f>IFERROR(__xludf.DUMMYFUNCTION("""COMPUTED_VALUE"""),"Accidente de tránsito o choque vial")</f>
        <v>Accidente de tránsito o choque vial</v>
      </c>
      <c r="I24" s="2" t="str">
        <f>IFERROR(__xludf.DUMMYFUNCTION("""COMPUTED_VALUE"""),"N/A")</f>
        <v>N/A</v>
      </c>
      <c r="J24" s="2" t="str">
        <f>IFERROR(__xludf.DUMMYFUNCTION("""COMPUTED_VALUE"""),"Seguridad Vial: Monitoreo de zona.")</f>
        <v>Seguridad Vial: Monitoreo de zona.</v>
      </c>
      <c r="K24" s="2" t="str">
        <f>IFERROR(__xludf.DUMMYFUNCTION("""COMPUTED_VALUE"""),"Sinaloa")</f>
        <v>Sinaloa</v>
      </c>
      <c r="L24" s="2" t="str">
        <f>IFERROR(__xludf.DUMMYFUNCTION("""COMPUTED_VALUE"""),"Sinaloa")</f>
        <v>Sinaloa</v>
      </c>
      <c r="M24" s="16" t="str">
        <f>IFERROR(__xludf.DUMMYFUNCTION("""COMPUTED_VALUE"""),"https://www.eluniversal.com.mx/estados/hallan-sin-vida-a-menor-reportada-como-desaparecida-tras-descarrilamiento-del-tren-interoceanico-continua-recuento-de-victimas/")</f>
        <v>https://www.eluniversal.com.mx/estados/hallan-sin-vida-a-menor-reportada-como-desaparecida-tras-descarrilamiento-del-tren-interoceanico-continua-recuento-de-victimas/</v>
      </c>
      <c r="N24" s="2" t="str">
        <f>IFERROR(__xludf.DUMMYFUNCTION("""COMPUTED_VALUE"""),"Lamenor de 15 años,Luisa Camila S. M., quien viajaba a bordo delTren Interoceánicoque sedescarrilóla mañana de ayer, fueencontrada sin vida. La adolescente viajaba con su familia y había sido reportada como desaparecida tras el accidente. Estelunesseconfi"&amp;"rmó el hallazgo de su cuerpo; sin embargo, las autoridades aún no han precisado si con ella aumenta el número de víctimas mortales o si ya se encontraba incluida en el reporte previo de laSecretaría de Marina, que contabiliza13 personas fallecidashasta el"&amp;" momento. Elalmirante Raymundo Pedro Morales Ángeles, titular de la Secretaría de Marina (Semar), informó que de las 13 personas fallecidas en el descarrilamiento del Tren Interoceánico,12 ya habían sido localizadasyuna más permanecía en labores de búsque"&amp;"da, por lo que es probable que Luisa Camila corresponda a esta última. La menor viajaba acompañada de su madre y su hermana, quienes fueron localizadas con vida poco después del descarrilamiento y mantenían la esperanza de encontrarla con vida. Laniña de "&amp;"15 añoseraoriginaria de Salina Cruzy, de acuerdo con sus familiares, el viaje en el tren tenía como propósito pasar lasvacaciones de fin de año. Copyright © Todos los derechos reservados | EL UNIVERSAL, Compañía Periodística Nacional. De no existir previa"&amp;" autorización, queda expresamente prohibida la Publicación, retransmisión, edición y cualquier otro uso de los contenidos Al navegar en este sitio aceptas las cookies que utilizamos para mejorar tu experiencia")</f>
        <v>Lamenor de 15 años,Luisa Camila S. M., quien viajaba a bordo delTren Interoceánicoque sedescarrilóla mañana de ayer, fueencontrada sin vida. La adolescente viajaba con su familia y había sido reportada como desaparecida tras el accidente. Estelunesseconfirmó el hallazgo de su cuerpo; sin embargo, las autoridades aún no han precisado si con ella aumenta el número de víctimas mortales o si ya se encontraba incluida en el reporte previo de laSecretaría de Marina, que contabiliza13 personas fallecidashasta el momento. Elalmirante Raymundo Pedro Morales Ángeles, titular de la Secretaría de Marina (Semar), informó que de las 13 personas fallecidas en el descarrilamiento del Tren Interoceánico,12 ya habían sido localizadasyuna más permanecía en labores de búsqueda, por lo que es probable que Luisa Camila corresponda a esta última. La menor viajaba acompañada de su madre y su hermana, quienes fueron localizadas con vida poco después del descarrilamiento y mantenían la esperanza de encontrarla con vida. Laniña de 15 añoseraoriginaria de Salina Cruzy, de acuerdo con sus familiares, el viaje en el tren tenía como propósito pasar lasvacaciones de fin de año.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4" s="15">
        <f>IFERROR(__xludf.DUMMYFUNCTION("""COMPUTED_VALUE"""),0.2916)</f>
        <v>0.2916</v>
      </c>
      <c r="P24" s="2"/>
      <c r="Q24" s="17">
        <f>IFERROR(__xludf.DUMMYFUNCTION("""COMPUTED_VALUE"""),7.0)</f>
        <v>7</v>
      </c>
      <c r="R24" s="2" t="str">
        <f>IFERROR(__xludf.DUMMYFUNCTION("""COMPUTED_VALUE"""),"Low")</f>
        <v>Low</v>
      </c>
      <c r="S24" s="17">
        <f>IFERROR(__xludf.DUMMYFUNCTION("""COMPUTED_VALUE"""),0.0)</f>
        <v>0</v>
      </c>
      <c r="T24" s="17">
        <f>IFERROR(__xludf.DUMMYFUNCTION("""COMPUTED_VALUE"""),0.0)</f>
        <v>0</v>
      </c>
      <c r="U24" s="14">
        <f>IFERROR(__xludf.DUMMYFUNCTION("""COMPUTED_VALUE"""),3.0)</f>
        <v>3</v>
      </c>
      <c r="V24" s="14">
        <v>2025.0</v>
      </c>
      <c r="W24" s="2" t="s">
        <v>1168</v>
      </c>
      <c r="X24" s="2" t="s">
        <v>1169</v>
      </c>
      <c r="Y24" s="13" t="s">
        <v>23</v>
      </c>
      <c r="Z24" s="14">
        <v>0.0</v>
      </c>
      <c r="AA24" s="14">
        <v>0.0</v>
      </c>
      <c r="AB24" s="14">
        <v>0.0</v>
      </c>
      <c r="AC24" s="14">
        <v>0.0</v>
      </c>
      <c r="AD24" s="2">
        <v>0.0</v>
      </c>
      <c r="AE24" s="2">
        <v>1.0</v>
      </c>
      <c r="AF24" s="2">
        <v>12.0</v>
      </c>
      <c r="AG24" s="2" t="s">
        <v>1172</v>
      </c>
      <c r="AH24" s="2">
        <v>0.0</v>
      </c>
    </row>
    <row r="25" ht="15.75" customHeight="1">
      <c r="A25" s="2" t="str">
        <f>IFERROR(__xludf.DUMMYFUNCTION("""COMPUTED_VALUE"""),"El Universal")</f>
        <v>El Universal</v>
      </c>
      <c r="B25" s="12" t="str">
        <f>IFERROR(__xludf.DUMMYFUNCTION("""COMPUTED_VALUE"""),"Muere periodista oaxaqueño en descarrilamiento del Tren Interoceánico; gremio lamenta su fallecimiento")</f>
        <v>Muere periodista oaxaqueño en descarrilamiento del Tren Interoceánico; gremio lamenta su fallecimiento</v>
      </c>
      <c r="C25" s="13" t="str">
        <f>IFERROR(__xludf.DUMMYFUNCTION("""COMPUTED_VALUE"""),"2025-12-29")</f>
        <v>2025-12-29</v>
      </c>
      <c r="D25" s="14">
        <f>IFERROR(__xludf.DUMMYFUNCTION("""COMPUTED_VALUE"""),2.0)</f>
        <v>2</v>
      </c>
      <c r="E25" s="15">
        <f>IFERROR(__xludf.DUMMYFUNCTION("""COMPUTED_VALUE"""),-0.9121)</f>
        <v>-0.9121</v>
      </c>
      <c r="F25" s="2" t="str">
        <f>IFERROR(__xludf.DUMMYFUNCTION("""COMPUTED_VALUE"""),"Negativo")</f>
        <v>Negativo</v>
      </c>
      <c r="G25" s="15">
        <f>IFERROR(__xludf.DUMMYFUNCTION("""COMPUTED_VALUE"""),0.9121)</f>
        <v>0.9121</v>
      </c>
      <c r="H25" s="2" t="str">
        <f>IFERROR(__xludf.DUMMYFUNCTION("""COMPUTED_VALUE"""),"Operativo policial o detención")</f>
        <v>Operativo policial o detención</v>
      </c>
      <c r="I25" s="2" t="str">
        <f>IFERROR(__xludf.DUMMYFUNCTION("""COMPUTED_VALUE"""),"N/A")</f>
        <v>N/A</v>
      </c>
      <c r="J25" s="2" t="str">
        <f>IFERROR(__xludf.DUMMYFUNCTION("""COMPUTED_VALUE"""),"Monitoreo general.")</f>
        <v>Monitoreo general.</v>
      </c>
      <c r="K25" s="2" t="str">
        <f>IFERROR(__xludf.DUMMYFUNCTION("""COMPUTED_VALUE"""),"Oaxaca")</f>
        <v>Oaxaca</v>
      </c>
      <c r="L25" s="2" t="str">
        <f>IFERROR(__xludf.DUMMYFUNCTION("""COMPUTED_VALUE"""),"Oaxaca")</f>
        <v>Oaxaca</v>
      </c>
      <c r="M25" s="16" t="str">
        <f>IFERROR(__xludf.DUMMYFUNCTION("""COMPUTED_VALUE"""),"https://www.eluniversal.com.mx/estados/muere-periodista-oaxaqueno-en-descarrilamiento-del-tren-interoceanico-gremio-lamenta-su-fallecimiento/")</f>
        <v>https://www.eluniversal.com.mx/estados/muere-periodista-oaxaqueno-en-descarrilamiento-del-tren-interoceanico-gremio-lamenta-su-fallecimiento/</v>
      </c>
      <c r="N25" s="2" t="str">
        <f>IFERROR(__xludf.DUMMYFUNCTION("""COMPUTED_VALUE"""),"Elperiodista Israel Enrique Gallegos Sotomurió en eldescarrilamiento del Tren Interoceánico, ocurrido en elIstmo de Tehuantepec; viajaba a bordo con supareja, quien se encuentrahospitalizada, de acuerdo con reportes decolegas. Israel Gallegos eradirector "&amp;"del canal de noticias Oaxaca Mundo Newsy formaba parte delSindicato Nacional de Medios de Comunicación (SINMCO). “Despedimos con profundo dolora nuestro querido compañero y amigo, elperiodista Israel Gallegos Soto. Hoy nos duele su ausencia, pero nos qued"&amp;"a el recuerdo de una personacomprometida con su trabajo,apasionada por la comunicacióny, sobre todo, de ungran amigo”, expresó elSINMCOen un mensaje. El sindicato destacó que el periodista oaxaqueño fue solidario y una de las personas que ayudó a construi"&amp;"r la constitución de esta asociación gremial. “Israel fue un compañero siempre dispuesto a apoyar, a escuchar y a tender la mano. Su voz, su entrega y su compañerismo seguirán vivos en cada recuerdo compartido y en el camino que ayudó a construir dentro d"&amp;"e nuestro gremio”, agregó. Hasta el momento, se informó que supareja permanece hospitalizada, aunquese desconoce su estado de salud.[Publicidad] Copyright © Todos los derechos reservados | EL UNIVERSAL, Compañía Periodística Nacional. De no existir previa"&amp;" autorización, queda expresamente prohibida la Publicación, retransmisión, edición y cualquier otro uso de los contenidos Al navegar en este sitio aceptas las cookies que utilizamos para mejorar tu experiencia")</f>
        <v>Elperiodista Israel Enrique Gallegos Sotomurió en eldescarrilamiento del Tren Interoceánico, ocurrido en elIstmo de Tehuantepec; viajaba a bordo con supareja, quien se encuentrahospitalizada, de acuerdo con reportes decolegas. Israel Gallegos eradirector del canal de noticias Oaxaca Mundo Newsy formaba parte delSindicato Nacional de Medios de Comunicación (SINMCO). “Despedimos con profundo dolora nuestro querido compañero y amigo, elperiodista Israel Gallegos Soto. Hoy nos duele su ausencia, pero nos queda el recuerdo de una personacomprometida con su trabajo,apasionada por la comunicacióny, sobre todo, de ungran amigo”, expresó elSINMCOen un mensaje. El sindicato destacó que el periodista oaxaqueño fue solidario y una de las personas que ayudó a construir la constitución de esta asociación gremial. “Israel fue un compañero siempre dispuesto a apoyar, a escuchar y a tender la mano. Su voz, su entrega y su compañerismo seguirán vivos en cada recuerdo compartido y en el camino que ayudó a construir dentro de nuestro gremio”, agregó. Hasta el momento, se informó que supareja permanece hospitalizada, aunquese desconoce su estado de salud.[Publicidad]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5" s="15">
        <f>IFERROR(__xludf.DUMMYFUNCTION("""COMPUTED_VALUE"""),0.3339)</f>
        <v>0.3339</v>
      </c>
      <c r="P25" s="2"/>
      <c r="Q25" s="17">
        <f>IFERROR(__xludf.DUMMYFUNCTION("""COMPUTED_VALUE"""),4.0)</f>
        <v>4</v>
      </c>
      <c r="R25" s="2" t="str">
        <f>IFERROR(__xludf.DUMMYFUNCTION("""COMPUTED_VALUE"""),"Medium")</f>
        <v>Medium</v>
      </c>
      <c r="S25" s="17">
        <f>IFERROR(__xludf.DUMMYFUNCTION("""COMPUTED_VALUE"""),2.0)</f>
        <v>2</v>
      </c>
      <c r="T25" s="17">
        <f>IFERROR(__xludf.DUMMYFUNCTION("""COMPUTED_VALUE"""),0.0)</f>
        <v>0</v>
      </c>
      <c r="U25" s="14">
        <f>IFERROR(__xludf.DUMMYFUNCTION("""COMPUTED_VALUE"""),3.0)</f>
        <v>3</v>
      </c>
      <c r="V25" s="14">
        <v>2025.0</v>
      </c>
      <c r="W25" s="2" t="s">
        <v>1168</v>
      </c>
      <c r="X25" s="2" t="s">
        <v>1169</v>
      </c>
      <c r="Y25" s="13" t="s">
        <v>23</v>
      </c>
      <c r="Z25" s="14">
        <v>0.0</v>
      </c>
      <c r="AA25" s="14">
        <v>0.0</v>
      </c>
      <c r="AB25" s="14">
        <v>0.0</v>
      </c>
      <c r="AC25" s="14">
        <v>0.0</v>
      </c>
      <c r="AD25" s="2">
        <v>0.0</v>
      </c>
      <c r="AE25" s="2">
        <v>0.0</v>
      </c>
      <c r="AF25" s="2">
        <v>12.0</v>
      </c>
      <c r="AG25" s="2" t="s">
        <v>1176</v>
      </c>
      <c r="AH25" s="2">
        <v>0.0</v>
      </c>
    </row>
    <row r="26" ht="15.75" customHeight="1">
      <c r="A26" s="2" t="str">
        <f>IFERROR(__xludf.DUMMYFUNCTION("""COMPUTED_VALUE"""),"El Universal")</f>
        <v>El Universal</v>
      </c>
      <c r="B26" s="12" t="str">
        <f>IFERROR(__xludf.DUMMYFUNCTION("""COMPUTED_VALUE"""),"El 31 de diciembre rendirán protesta 212 ayuntamientos en Veracruz; entrarán en funciones el 1 de enero")</f>
        <v>El 31 de diciembre rendirán protesta 212 ayuntamientos en Veracruz; entrarán en funciones el 1 de enero</v>
      </c>
      <c r="C26" s="13" t="str">
        <f>IFERROR(__xludf.DUMMYFUNCTION("""COMPUTED_VALUE"""),"2025-12-29")</f>
        <v>2025-12-29</v>
      </c>
      <c r="D26" s="14">
        <f>IFERROR(__xludf.DUMMYFUNCTION("""COMPUTED_VALUE"""),1.0)</f>
        <v>1</v>
      </c>
      <c r="E26" s="15">
        <f>IFERROR(__xludf.DUMMYFUNCTION("""COMPUTED_VALUE"""),0.0)</f>
        <v>0</v>
      </c>
      <c r="F26" s="2" t="str">
        <f>IFERROR(__xludf.DUMMYFUNCTION("""COMPUTED_VALUE"""),"Neutral")</f>
        <v>Neutral</v>
      </c>
      <c r="G26" s="15">
        <f>IFERROR(__xludf.DUMMYFUNCTION("""COMPUTED_VALUE"""),0.7103)</f>
        <v>0.7103</v>
      </c>
      <c r="H26" s="2" t="str">
        <f>IFERROR(__xludf.DUMMYFUNCTION("""COMPUTED_VALUE"""),"Otros temas generales")</f>
        <v>Otros temas generales</v>
      </c>
      <c r="I26" s="2" t="str">
        <f>IFERROR(__xludf.DUMMYFUNCTION("""COMPUTED_VALUE"""),"N/A")</f>
        <v>N/A</v>
      </c>
      <c r="J26" s="2" t="str">
        <f>IFERROR(__xludf.DUMMYFUNCTION("""COMPUTED_VALUE"""),"Descartar / Baja prioridad.")</f>
        <v>Descartar / Baja prioridad.</v>
      </c>
      <c r="K26" s="2" t="str">
        <f>IFERROR(__xludf.DUMMYFUNCTION("""COMPUTED_VALUE"""),"Veracruz")</f>
        <v>Veracruz</v>
      </c>
      <c r="L26" s="2" t="str">
        <f>IFERROR(__xludf.DUMMYFUNCTION("""COMPUTED_VALUE"""),"Veracruz")</f>
        <v>Veracruz</v>
      </c>
      <c r="M26" s="16" t="str">
        <f>IFERROR(__xludf.DUMMYFUNCTION("""COMPUTED_VALUE"""),"https://www.eluniversal.com.mx/estados/el-31-de-diciembre-rendiran-protesta-212-ayuntamientos-en-veracruz-entraran-en-funciones-el-1-de-enero/")</f>
        <v>https://www.eluniversal.com.mx/estados/el-31-de-diciembre-rendiran-protesta-212-ayuntamientos-en-veracruz-entraran-en-funciones-el-1-de-enero/</v>
      </c>
      <c r="N26" s="2" t="str">
        <f>IFERROR(__xludf.DUMMYFUNCTION("""COMPUTED_VALUE"""),"El próximo miércoles31 de diciembre, tomaránprotesta de leylas212 nuevas autoridades municipales de Veracruz, quienesentrarán en funcionesa partir delprimer minuto del 1 de enero. Tras la elección del 1 de junio,presidentas y presidentes municipales,síndi"&amp;"cosyregidoresdeberán rendirprotesta de leyante elCabildode sus respectivosAyuntamientos, en medio de una nueva composición política, conmayoría morenistayMovimiento Ciudadanocomosegunda fuerza electoral. LagobernadoraRocío Nahle García(Morena) y los princ"&amp;"ipales liderazgos partidistas anunciaron que acompañarán a los nuevos alcaldes y alcaldesas durante sus tomas de protesta, programadas para miércoles y jueves de esta semana. De acuerdo con losresultados electoralesy con la mayoría de los recursos de inco"&amp;"nformidad ya resueltos por tribunales electorales, Morena y el PVEM gobernarán en conjunto 72 municipios (12 de Morena y 60 en alianza Morena-PVEM). Lamandataria estatalinformó que estará presente en las tomas de protesta de los nuevos presidentes municip"&amp;"ales deCoatzacoalcos, así como de lacapital Xalapa, elpuerto de Veracruzy laciudad petrolera de Poza Rica. Comosegunda fuerza político-electoral,Movimiento Ciudadanoencabezará39 alcaldías, por lo que su dirigente nacional,Jorge Álvarez Máynez, acudirá a l"&amp;"a toma de protesta de varios de sus nuevos gobiernos municipales, entre ellosMisantlayPuente Nacional.[Publicidad] ElPartido Acción Nacional (PAN)gobernará34 presidencias municipales; se prevé que su dirigente nacional,Jorge Romero Herrera, acompañe al me"&amp;"nos a la alcaldesa electa de Boca del Río, MaryJose Gamboa, quien encabezará una de las regiones turísticas y económicas más importantes del estado.[Publicidad] ElPartido del Trabajo (PT), que en esta elección no fue en alianza con Morena ni con el PVEM,g"&amp;"obernará 30 alcaldías, mientras que elPartido Revolucionario Institucional (PRI)encabezará24 presidencias municipales, en uno de sus peores resultados electorales en la historia política de Veracruz. ElPartido Verde Ecologista de México (PVEM)gobernará12 "&amp;"alcaldías en solitario, sin alianza con Morena, y durante este periodo operará un alcalde independiente. No obstante, el número de alcaldías por partido aún podría modificarse, ya que horas antes de las tomas de protesta, la Sala Superior del Tribunal Ele"&amp;"ctoral del Poder Judicial de la Federación resolverá diversos recursos de inconformidad relacionados con laelección municipal. Copyright © Todos los derechos reservados | EL UNIVERSAL, Compañía Periodística Nacional. De no existir previa autorización, que"&amp;"da expresamente prohibida la Publicación, retransmisión, edición y cualquier otro uso de los contenidos Al navegar en este sitio aceptas las cookies que utilizamos para mejorar tu experiencia")</f>
        <v>El próximo miércoles31 de diciembre, tomaránprotesta de leylas212 nuevas autoridades municipales de Veracruz, quienesentrarán en funcionesa partir delprimer minuto del 1 de enero. Tras la elección del 1 de junio,presidentas y presidentes municipales,síndicosyregidoresdeberán rendirprotesta de leyante elCabildode sus respectivosAyuntamientos, en medio de una nueva composición política, conmayoría morenistayMovimiento Ciudadanocomosegunda fuerza electoral. LagobernadoraRocío Nahle García(Morena) y los principales liderazgos partidistas anunciaron que acompañarán a los nuevos alcaldes y alcaldesas durante sus tomas de protesta, programadas para miércoles y jueves de esta semana. De acuerdo con losresultados electoralesy con la mayoría de los recursos de inconformidad ya resueltos por tribunales electorales, Morena y el PVEM gobernarán en conjunto 72 municipios (12 de Morena y 60 en alianza Morena-PVEM). Lamandataria estatalinformó que estará presente en las tomas de protesta de los nuevos presidentes municipales deCoatzacoalcos, así como de lacapital Xalapa, elpuerto de Veracruzy laciudad petrolera de Poza Rica. Comosegunda fuerza político-electoral,Movimiento Ciudadanoencabezará39 alcaldías, por lo que su dirigente nacional,Jorge Álvarez Máynez, acudirá a la toma de protesta de varios de sus nuevos gobiernos municipales, entre ellosMisantlayPuente Nacional.[Publicidad] ElPartido Acción Nacional (PAN)gobernará34 presidencias municipales; se prevé que su dirigente nacional,Jorge Romero Herrera, acompañe al menos a la alcaldesa electa de Boca del Río, MaryJose Gamboa, quien encabezará una de las regiones turísticas y económicas más importantes del estado.[Publicidad] ElPartido del Trabajo (PT), que en esta elección no fue en alianza con Morena ni con el PVEM,gobernará 30 alcaldías, mientras que elPartido Revolucionario Institucional (PRI)encabezará24 presidencias municipales, en uno de sus peores resultados electorales en la historia política de Veracruz. ElPartido Verde Ecologista de México (PVEM)gobernará12 alcaldías en solitario, sin alianza con Morena, y durante este periodo operará un alcalde independiente. No obstante, el número de alcaldías por partido aún podría modificarse, ya que horas antes de las tomas de protesta, la Sala Superior del Tribunal Electoral del Poder Judicial de la Federación resolverá diversos recursos de inconformidad relacionados con laelección municipal.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6" s="15">
        <f>IFERROR(__xludf.DUMMYFUNCTION("""COMPUTED_VALUE"""),0.3291)</f>
        <v>0.3291</v>
      </c>
      <c r="P26" s="2"/>
      <c r="Q26" s="17">
        <f>IFERROR(__xludf.DUMMYFUNCTION("""COMPUTED_VALUE"""),8.5)</f>
        <v>8.5</v>
      </c>
      <c r="R26" s="2" t="str">
        <f>IFERROR(__xludf.DUMMYFUNCTION("""COMPUTED_VALUE"""),"Low")</f>
        <v>Low</v>
      </c>
      <c r="S26" s="17">
        <f>IFERROR(__xludf.DUMMYFUNCTION("""COMPUTED_VALUE"""),0.5)</f>
        <v>0.5</v>
      </c>
      <c r="T26" s="17">
        <f>IFERROR(__xludf.DUMMYFUNCTION("""COMPUTED_VALUE"""),0.0)</f>
        <v>0</v>
      </c>
      <c r="U26" s="14">
        <f>IFERROR(__xludf.DUMMYFUNCTION("""COMPUTED_VALUE"""),3.0)</f>
        <v>3</v>
      </c>
      <c r="V26" s="14">
        <v>2025.0</v>
      </c>
      <c r="W26" s="2" t="s">
        <v>1168</v>
      </c>
      <c r="X26" s="2" t="s">
        <v>1169</v>
      </c>
      <c r="Y26" s="13" t="s">
        <v>23</v>
      </c>
      <c r="Z26" s="14">
        <v>0.0</v>
      </c>
      <c r="AA26" s="14">
        <v>0.0</v>
      </c>
      <c r="AB26" s="14">
        <v>0.0</v>
      </c>
      <c r="AC26" s="14">
        <v>0.0</v>
      </c>
      <c r="AD26" s="2">
        <v>0.0</v>
      </c>
      <c r="AE26" s="2">
        <v>0.0</v>
      </c>
      <c r="AF26" s="2">
        <v>12.0</v>
      </c>
      <c r="AG26" s="2" t="s">
        <v>1183</v>
      </c>
      <c r="AH26" s="2">
        <v>0.0</v>
      </c>
    </row>
    <row r="27" ht="15.75" customHeight="1">
      <c r="A27" s="2" t="str">
        <f>IFERROR(__xludf.DUMMYFUNCTION("""COMPUTED_VALUE"""),"El Universal")</f>
        <v>El Universal</v>
      </c>
      <c r="B27" s="12" t="str">
        <f>IFERROR(__xludf.DUMMYFUNCTION("""COMPUTED_VALUE"""),"Controlan incendio en basurero clandestino de Culiacán; bomberos logran extinción total")</f>
        <v>Controlan incendio en basurero clandestino de Culiacán; bomberos logran extinción total</v>
      </c>
      <c r="C27" s="13" t="str">
        <f>IFERROR(__xludf.DUMMYFUNCTION("""COMPUTED_VALUE"""),"2025-12-29")</f>
        <v>2025-12-29</v>
      </c>
      <c r="D27" s="14">
        <f>IFERROR(__xludf.DUMMYFUNCTION("""COMPUTED_VALUE"""),1.0)</f>
        <v>1</v>
      </c>
      <c r="E27" s="15">
        <f>IFERROR(__xludf.DUMMYFUNCTION("""COMPUTED_VALUE"""),-0.7033)</f>
        <v>-0.7033</v>
      </c>
      <c r="F27" s="2" t="str">
        <f>IFERROR(__xludf.DUMMYFUNCTION("""COMPUTED_VALUE"""),"Negativo")</f>
        <v>Negativo</v>
      </c>
      <c r="G27" s="15">
        <f>IFERROR(__xludf.DUMMYFUNCTION("""COMPUTED_VALUE"""),0.7033)</f>
        <v>0.7033</v>
      </c>
      <c r="H27" s="2" t="str">
        <f>IFERROR(__xludf.DUMMYFUNCTION("""COMPUTED_VALUE"""),"Otros temas generales")</f>
        <v>Otros temas generales</v>
      </c>
      <c r="I27" s="2" t="str">
        <f>IFERROR(__xludf.DUMMYFUNCTION("""COMPUTED_VALUE"""),"N/A")</f>
        <v>N/A</v>
      </c>
      <c r="J27" s="2" t="str">
        <f>IFERROR(__xludf.DUMMYFUNCTION("""COMPUTED_VALUE"""),"Descartar / Baja prioridad.")</f>
        <v>Descartar / Baja prioridad.</v>
      </c>
      <c r="K27" s="2" t="str">
        <f>IFERROR(__xludf.DUMMYFUNCTION("""COMPUTED_VALUE"""),"Culiacán")</f>
        <v>Culiacán</v>
      </c>
      <c r="L27" s="2" t="str">
        <f>IFERROR(__xludf.DUMMYFUNCTION("""COMPUTED_VALUE"""),"Sinaloa")</f>
        <v>Sinaloa</v>
      </c>
      <c r="M27" s="16" t="str">
        <f>IFERROR(__xludf.DUMMYFUNCTION("""COMPUTED_VALUE"""),"https://www.eluniversal.com.mx/estados/controlan-incendio-en-basurero-clandestino-de-culiacan-bomberos-logran-extincion-total/")</f>
        <v>https://www.eluniversal.com.mx/estados/controlan-incendio-en-basurero-clandestino-de-culiacan-bomberos-logran-extincion-total/</v>
      </c>
      <c r="N27" s="2" t="str">
        <f>IFERROR(__xludf.DUMMYFUNCTION("""COMPUTED_VALUE"""),"Tras36 horasde combate contra elfuegoque se extendió en unbasurero clandestino, cercano a la zona de Piggy Back, en la salida sur deCuliacán, elcuerpo de bomberosyProtección Civillograron el enfriamiento y la extinción total del incendio, sin que se repor"&amp;"taran personas afectadas. Las autoridades de Protección Civil de Culiacán informaron queaún se desconocen las causasque originaron elsiniestro, por lo que fue necesario retirar a lospepenadoresy establecer un perímetro de seguridad para permitir que los c"&amp;"uerpos de auxilio trabajaran en lacontención del fuego. En un comunicado, laSecretaría de Seguridad Pública del Estadoconfirmó que, tras un día y medio de intenso trabajo con cañones de agua y equipo pesado, con el que se abrieron brechas para frenar la p"&amp;"ropagación, se logró sofocar el incendio en su totalidad. La dependencia exhortó a la ciudadanía ano utilizar juegos pirotécnicos, debido a que pueden provocarincendios en maleza,viviendas, terrenos u otras edificaciones, y pidió utilizar las líneas de em"&amp;"ergencia para realizardenuncias anónimas. Este fue uno de los siniestros más grandes registrados en los últimos cinco días en la capital del estado, luego de que previamente un incendio en elrelleno sanitario, ubicado al norte de Culiacán, movilizara a má"&amp;"s de 100 elementos de bomberos y Protección Civil para lograr su control. En ese caso, tras más de 90 horas de labores, se consiguió sofocar totalmente el incendio en el relleno sanitario, donde se emplearoncañones de agua, pipas, góndolas y maquinaria pe"&amp;"sadapara abrir brechas y evitar la propagación del fuego.[Publicidad] Copyright © Todos los derechos reservados | EL UNIVERSAL, Compañía Periodística Nacional. De no existir previa autorización, queda expresamente prohibida la Publicación, retransmisión, "&amp;"edición y cualquier otro uso de los contenidos Al navegar en este sitio aceptas las cookies que utilizamos para mejorar tu experiencia")</f>
        <v>Tras36 horasde combate contra elfuegoque se extendió en unbasurero clandestino, cercano a la zona de Piggy Back, en la salida sur deCuliacán, elcuerpo de bomberosyProtección Civillograron el enfriamiento y la extinción total del incendio, sin que se reportaran personas afectadas. Las autoridades de Protección Civil de Culiacán informaron queaún se desconocen las causasque originaron elsiniestro, por lo que fue necesario retirar a lospepenadoresy establecer un perímetro de seguridad para permitir que los cuerpos de auxilio trabajaran en lacontención del fuego. En un comunicado, laSecretaría de Seguridad Pública del Estadoconfirmó que, tras un día y medio de intenso trabajo con cañones de agua y equipo pesado, con el que se abrieron brechas para frenar la propagación, se logró sofocar el incendio en su totalidad. La dependencia exhortó a la ciudadanía ano utilizar juegos pirotécnicos, debido a que pueden provocarincendios en maleza,viviendas, terrenos u otras edificaciones, y pidió utilizar las líneas de emergencia para realizardenuncias anónimas. Este fue uno de los siniestros más grandes registrados en los últimos cinco días en la capital del estado, luego de que previamente un incendio en elrelleno sanitario, ubicado al norte de Culiacán, movilizara a más de 100 elementos de bomberos y Protección Civil para lograr su control. En ese caso, tras más de 90 horas de labores, se consiguió sofocar totalmente el incendio en el relleno sanitario, donde se emplearoncañones de agua, pipas, góndolas y maquinaria pesadapara abrir brechas y evitar la propagación del fuego.[Publicidad]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7" s="15">
        <f>IFERROR(__xludf.DUMMYFUNCTION("""COMPUTED_VALUE"""),0.4581)</f>
        <v>0.4581</v>
      </c>
      <c r="P27" s="2"/>
      <c r="Q27" s="17">
        <f>IFERROR(__xludf.DUMMYFUNCTION("""COMPUTED_VALUE"""),6.5)</f>
        <v>6.5</v>
      </c>
      <c r="R27" s="2" t="str">
        <f>IFERROR(__xludf.DUMMYFUNCTION("""COMPUTED_VALUE"""),"High")</f>
        <v>High</v>
      </c>
      <c r="S27" s="17">
        <f>IFERROR(__xludf.DUMMYFUNCTION("""COMPUTED_VALUE"""),4.5)</f>
        <v>4.5</v>
      </c>
      <c r="T27" s="17">
        <f>IFERROR(__xludf.DUMMYFUNCTION("""COMPUTED_VALUE"""),0.0)</f>
        <v>0</v>
      </c>
      <c r="U27" s="14">
        <f>IFERROR(__xludf.DUMMYFUNCTION("""COMPUTED_VALUE"""),3.0)</f>
        <v>3</v>
      </c>
      <c r="V27" s="14">
        <v>2025.0</v>
      </c>
      <c r="W27" s="2" t="s">
        <v>1168</v>
      </c>
      <c r="X27" s="2" t="s">
        <v>1169</v>
      </c>
      <c r="Y27" s="13" t="s">
        <v>23</v>
      </c>
      <c r="Z27" s="14">
        <v>0.0</v>
      </c>
      <c r="AA27" s="14">
        <v>0.0</v>
      </c>
      <c r="AB27" s="14">
        <v>0.0</v>
      </c>
      <c r="AC27" s="14">
        <v>0.0</v>
      </c>
      <c r="AD27" s="2">
        <v>0.0</v>
      </c>
      <c r="AE27" s="2">
        <v>0.0</v>
      </c>
      <c r="AF27" s="2">
        <v>12.0</v>
      </c>
      <c r="AG27" s="2" t="s">
        <v>1180</v>
      </c>
      <c r="AH27" s="2">
        <v>0.0</v>
      </c>
    </row>
    <row r="28" ht="15.75" customHeight="1">
      <c r="A28" s="2" t="str">
        <f>IFERROR(__xludf.DUMMYFUNCTION("""COMPUTED_VALUE"""),"El Universal")</f>
        <v>El Universal</v>
      </c>
      <c r="B28" s="12" t="str">
        <f>IFERROR(__xludf.DUMMYFUNCTION("""COMPUTED_VALUE"""),"Detienen a presunto feminicida en Culiacán; crimen ocurrió en Nochebuena")</f>
        <v>Detienen a presunto feminicida en Culiacán; crimen ocurrió en Nochebuena</v>
      </c>
      <c r="C28" s="13" t="str">
        <f>IFERROR(__xludf.DUMMYFUNCTION("""COMPUTED_VALUE"""),"2025-12-29")</f>
        <v>2025-12-29</v>
      </c>
      <c r="D28" s="14">
        <f>IFERROR(__xludf.DUMMYFUNCTION("""COMPUTED_VALUE"""),5.0)</f>
        <v>5</v>
      </c>
      <c r="E28" s="15">
        <f>IFERROR(__xludf.DUMMYFUNCTION("""COMPUTED_VALUE"""),-0.5279)</f>
        <v>-0.5279</v>
      </c>
      <c r="F28" s="2" t="str">
        <f>IFERROR(__xludf.DUMMYFUNCTION("""COMPUTED_VALUE"""),"Negativo")</f>
        <v>Negativo</v>
      </c>
      <c r="G28" s="15">
        <f>IFERROR(__xludf.DUMMYFUNCTION("""COMPUTED_VALUE"""),0.5279)</f>
        <v>0.5279</v>
      </c>
      <c r="H28" s="2" t="str">
        <f>IFERROR(__xludf.DUMMYFUNCTION("""COMPUTED_VALUE"""),"Acoso o agresión sexual")</f>
        <v>Acoso o agresión sexual</v>
      </c>
      <c r="I28" s="2" t="str">
        <f>IFERROR(__xludf.DUMMYFUNCTION("""COMPUTED_VALUE"""),"feminicidio")</f>
        <v>feminicidio</v>
      </c>
      <c r="J28" s="2" t="str">
        <f>IFERROR(__xludf.DUMMYFUNCTION("""COMPUTED_VALUE"""),"INTEGRIDAD / GÉNERO: Cero Tolerancia.")</f>
        <v>INTEGRIDAD / GÉNERO: Cero Tolerancia.</v>
      </c>
      <c r="K28" s="2" t="str">
        <f>IFERROR(__xludf.DUMMYFUNCTION("""COMPUTED_VALUE"""),"Culiacán")</f>
        <v>Culiacán</v>
      </c>
      <c r="L28" s="2" t="str">
        <f>IFERROR(__xludf.DUMMYFUNCTION("""COMPUTED_VALUE"""),"Sinaloa")</f>
        <v>Sinaloa</v>
      </c>
      <c r="M28" s="16" t="str">
        <f>IFERROR(__xludf.DUMMYFUNCTION("""COMPUTED_VALUE"""),"https://www.eluniversal.com.mx/estados/detienen-a-presunto-feminicida-en-culiacan-crimen-ocurrio-en-nochebuena/")</f>
        <v>https://www.eluniversal.com.mx/estados/detienen-a-presunto-feminicida-en-culiacan-crimen-ocurrio-en-nochebuena/</v>
      </c>
      <c r="N28" s="2" t="str">
        <f>IFERROR(__xludf.DUMMYFUNCTION("""COMPUTED_VALUE"""),"En la capital del estado, agentes de la Fiscalía General del Estado detuvieron aMiguel “N”, de 28 años de edad, comopresunto responsable del delito de feminicidio agravadode la jovenGuadalupe “N”, de24 años, quien fueprivada de la vidadurante losfestejos "&amp;"de Nochebuena. De acuerdo con las investigaciones, los hechos se registraron la madrugada del 25 de diciembre, en lasindicatura de Sanalona, en la parte oriente de la capital del estado, cuando el presunto agresor atacó a suvíctima con un arma de fuego, c"&amp;"ausándole la muerte. Elementos de laUnidad Especializada en Aprehensionesdetuvieron enCuliacána Miguel “N”, quien fue puesto a disposición delJuzgado de Primera Instancia de Control y Enjuiciamiento Penal de la Región Centro y posteriormente recluido en e"&amp;"lpenal de Culiacán. Según los datos recabados, en plenos festejos de Nochebuena, en la sindicatura de Sanalona, la joven Guadalupe “N” fueasesinada de varios disparospor suexpareja, convirtiéndose en lasegunda mujer privada de la vidaen hechos de esta nat"&amp;"uraleza. Las autoridades fueron notificadas por detonaciones de arma de fuego en la zona y, al acudir a verificar, se informó que familiares de lavíctimala trasladarongravemente heridaa unhospital privado. Durante el traslado al hospital,Guadalupe “N”fall"&amp;"eció en el caminoa causa de los disparos, por lo que peritos de la Fiscalía General del Estado acudieron para dar fe del deceso.[Publicidad] De acuerdo con la información oficial, el presunto responsable, identificado como su expareja sentimental, se pres"&amp;"entó en los festejos de Nochebuena y sin mediar palabra le disparó en varias ocasiones. Copyright © Todos los derechos reservados | EL UNIVERSAL, Compañía Periodística Nacional. De no existir previa autorización, queda expresamente prohibida la Publicació"&amp;"n, retransmisión, edición y cualquier otro uso de los contenidos Al navegar en este sitio aceptas las cookies que utilizamos para mejorar tu experiencia")</f>
        <v>En la capital del estado, agentes de la Fiscalía General del Estado detuvieron aMiguel “N”, de 28 años de edad, comopresunto responsable del delito de feminicidio agravadode la jovenGuadalupe “N”, de24 años, quien fueprivada de la vidadurante losfestejos de Nochebuena. De acuerdo con las investigaciones, los hechos se registraron la madrugada del 25 de diciembre, en lasindicatura de Sanalona, en la parte oriente de la capital del estado, cuando el presunto agresor atacó a suvíctima con un arma de fuego, causándole la muerte. Elementos de laUnidad Especializada en Aprehensionesdetuvieron enCuliacána Miguel “N”, quien fue puesto a disposición delJuzgado de Primera Instancia de Control y Enjuiciamiento Penal de la Región Centro y posteriormente recluido en elpenal de Culiacán. Según los datos recabados, en plenos festejos de Nochebuena, en la sindicatura de Sanalona, la joven Guadalupe “N” fueasesinada de varios disparospor suexpareja, convirtiéndose en lasegunda mujer privada de la vidaen hechos de esta naturaleza. Las autoridades fueron notificadas por detonaciones de arma de fuego en la zona y, al acudir a verificar, se informó que familiares de lavíctimala trasladarongravemente heridaa unhospital privado. Durante el traslado al hospital,Guadalupe “N”falleció en el caminoa causa de los disparos, por lo que peritos de la Fiscalía General del Estado acudieron para dar fe del deceso.[Publicidad] De acuerdo con la información oficial, el presunto responsable, identificado como su expareja sentimental, se presentó en los festejos de Nochebuena y sin mediar palabra le disparó en varias ocasiones.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8" s="15">
        <f>IFERROR(__xludf.DUMMYFUNCTION("""COMPUTED_VALUE"""),1.0)</f>
        <v>1</v>
      </c>
      <c r="P28" s="2"/>
      <c r="Q28" s="17">
        <f>IFERROR(__xludf.DUMMYFUNCTION("""COMPUTED_VALUE"""),6.5)</f>
        <v>6.5</v>
      </c>
      <c r="R28" s="2" t="str">
        <f>IFERROR(__xludf.DUMMYFUNCTION("""COMPUTED_VALUE"""),"High")</f>
        <v>High</v>
      </c>
      <c r="S28" s="17">
        <f>IFERROR(__xludf.DUMMYFUNCTION("""COMPUTED_VALUE"""),6.5)</f>
        <v>6.5</v>
      </c>
      <c r="T28" s="17">
        <f>IFERROR(__xludf.DUMMYFUNCTION("""COMPUTED_VALUE"""),0.0)</f>
        <v>0</v>
      </c>
      <c r="U28" s="14">
        <f>IFERROR(__xludf.DUMMYFUNCTION("""COMPUTED_VALUE"""),3.0)</f>
        <v>3</v>
      </c>
      <c r="V28" s="14">
        <v>2025.0</v>
      </c>
      <c r="W28" s="2" t="s">
        <v>1168</v>
      </c>
      <c r="X28" s="2" t="s">
        <v>1169</v>
      </c>
      <c r="Y28" s="13" t="s">
        <v>23</v>
      </c>
      <c r="Z28" s="14">
        <v>0.0</v>
      </c>
      <c r="AA28" s="14">
        <v>0.0</v>
      </c>
      <c r="AB28" s="14">
        <v>0.0</v>
      </c>
      <c r="AC28" s="14">
        <v>0.0</v>
      </c>
      <c r="AD28" s="2">
        <v>0.0</v>
      </c>
      <c r="AE28" s="2">
        <v>1.0</v>
      </c>
      <c r="AF28" s="2">
        <v>12.0</v>
      </c>
      <c r="AG28" s="2" t="s">
        <v>1180</v>
      </c>
      <c r="AH28" s="2">
        <v>0.0</v>
      </c>
    </row>
    <row r="29" ht="15.75" customHeight="1">
      <c r="A29" s="2" t="str">
        <f>IFERROR(__xludf.DUMMYFUNCTION("""COMPUTED_VALUE"""),"El Universal")</f>
        <v>El Universal</v>
      </c>
      <c r="B29" s="12" t="str">
        <f>IFERROR(__xludf.DUMMYFUNCTION("""COMPUTED_VALUE"""),"Aseguran arsenal y explosivos en dos fraccionamientos de Culiacán; tres detenidos tras operativos especiales")</f>
        <v>Aseguran arsenal y explosivos en dos fraccionamientos de Culiacán; tres detenidos tras operativos especiales</v>
      </c>
      <c r="C29" s="13" t="str">
        <f>IFERROR(__xludf.DUMMYFUNCTION("""COMPUTED_VALUE"""),"2025-12-29")</f>
        <v>2025-12-29</v>
      </c>
      <c r="D29" s="14">
        <f>IFERROR(__xludf.DUMMYFUNCTION("""COMPUTED_VALUE"""),5.0)</f>
        <v>5</v>
      </c>
      <c r="E29" s="15">
        <f>IFERROR(__xludf.DUMMYFUNCTION("""COMPUTED_VALUE"""),0.0)</f>
        <v>0</v>
      </c>
      <c r="F29" s="2" t="str">
        <f>IFERROR(__xludf.DUMMYFUNCTION("""COMPUTED_VALUE"""),"Neutral")</f>
        <v>Neutral</v>
      </c>
      <c r="G29" s="15">
        <f>IFERROR(__xludf.DUMMYFUNCTION("""COMPUTED_VALUE"""),0.7039)</f>
        <v>0.7039</v>
      </c>
      <c r="H29" s="2" t="str">
        <f>IFERROR(__xludf.DUMMYFUNCTION("""COMPUTED_VALUE"""),"Operativo policial o detención")</f>
        <v>Operativo policial o detención</v>
      </c>
      <c r="I29" s="2" t="str">
        <f>IFERROR(__xludf.DUMMYFUNCTION("""COMPUTED_VALUE"""),"N/A")</f>
        <v>N/A</v>
      </c>
      <c r="J29" s="2" t="str">
        <f>IFERROR(__xludf.DUMMYFUNCTION("""COMPUTED_VALUE"""),"Monitoreo general.")</f>
        <v>Monitoreo general.</v>
      </c>
      <c r="K29" s="2" t="str">
        <f>IFERROR(__xludf.DUMMYFUNCTION("""COMPUTED_VALUE"""),"Culiacán")</f>
        <v>Culiacán</v>
      </c>
      <c r="L29" s="2" t="str">
        <f>IFERROR(__xludf.DUMMYFUNCTION("""COMPUTED_VALUE"""),"Sinaloa")</f>
        <v>Sinaloa</v>
      </c>
      <c r="M29" s="16" t="str">
        <f>IFERROR(__xludf.DUMMYFUNCTION("""COMPUTED_VALUE"""),"https://www.eluniversal.com.mx/estados/aseguran-arsenal-y-explosivos-en-dos-fraccionamientos-de-culiacan-tres-detenidos-tras-operativos-especiales/")</f>
        <v>https://www.eluniversal.com.mx/estados/aseguran-arsenal-y-explosivos-en-dos-fraccionamientos-de-culiacan-tres-detenidos-tras-operativos-especiales/</v>
      </c>
      <c r="N29" s="2" t="str">
        <f>IFERROR(__xludf.DUMMYFUNCTION("""COMPUTED_VALUE"""),"Endos operativos distintos, ejecutados en los fraccionamientosLos ÁngelesyMonte Real, el Grupo deFuerzas Especialesdetuvo a tres hombres, les aseguró unarsenal,ocho chalecos tácticos,vehículos con blindajey una residencia en cuyo interior se localizaronar"&amp;"tefactos explosivosyequipo táctico. En unaprimera acción, elementos del equipo especial y corporaciones estatales detectaron atres personas armadasa bordo de tres vehículos, por lo que procedieron a su detención en el fraccionamiento Monte Real. Losvehícu"&amp;"los aseguradosfueron una camioneta Ram Laramie con blindaje artesanal, un Jetta y un Suzuki Baleno. Durante estas acciones se aseguró el siguiente armamento y equipo: una ametralladora Browning calibre .50, tres fusiles AK-47, un fusil tipo M4, 32 cargado"&amp;"res abastecidos, una cinta eslabonada con 77 cartuchos útiles, ocho chalecos tácticos y tres cascos balísticos. En unsegundo operativo, durante un patrullaje en el fraccionamiento Los Ángeles, elementos del Grupo de Fuerzas Especiales del Estado detectaro"&amp;"n cartuchos útiles esparcidos al exterior de una residencia, y desde el interior se observaronartefactos explosivosyequipo táctico. Dentro del inmueble se localizaron34 artefactos explosivos improvisados para drones, una ametralladora Browning, un cargado"&amp;"r abastecido, dos cintas eslabonadas con cartuchos útiles y dos chalecos tácticos, de acuerdo con la Secretaría de Seguridad Pública del Estado. Elpersonal del grupo especialmontó unoperativo de resguardode la vivienda, en espera de que la Fiscalía Genera"&amp;"l de la República solicite a un juez una Orden Técnica de Investigación para ingresar y documentar el contenido del inmueble.[Publicidad] Lasautoridades de seguridad públicano informaron si en el operativo en Los Ángeles se logró la detención de personas "&amp;"sospechosas vinculadas con el hallazgo en la residencia.[Publicidad] Copyright © Todos los derechos reservados | EL UNIVERSAL, Compañía Periodística Nacional. De no existir previa autorización, queda expresamente prohibida la Publicación, retransmisión, e"&amp;"dición y cualquier otro uso de los contenidos Al navegar en este sitio aceptas las cookies que utilizamos para mejorar tu experiencia")</f>
        <v>Endos operativos distintos, ejecutados en los fraccionamientosLos ÁngelesyMonte Real, el Grupo deFuerzas Especialesdetuvo a tres hombres, les aseguró unarsenal,ocho chalecos tácticos,vehículos con blindajey una residencia en cuyo interior se localizaronartefactos explosivosyequipo táctico. En unaprimera acción, elementos del equipo especial y corporaciones estatales detectaron atres personas armadasa bordo de tres vehículos, por lo que procedieron a su detención en el fraccionamiento Monte Real. Losvehículos aseguradosfueron una camioneta Ram Laramie con blindaje artesanal, un Jetta y un Suzuki Baleno. Durante estas acciones se aseguró el siguiente armamento y equipo: una ametralladora Browning calibre .50, tres fusiles AK-47, un fusil tipo M4, 32 cargadores abastecidos, una cinta eslabonada con 77 cartuchos útiles, ocho chalecos tácticos y tres cascos balísticos. En unsegundo operativo, durante un patrullaje en el fraccionamiento Los Ángeles, elementos del Grupo de Fuerzas Especiales del Estado detectaron cartuchos útiles esparcidos al exterior de una residencia, y desde el interior se observaronartefactos explosivosyequipo táctico. Dentro del inmueble se localizaron34 artefactos explosivos improvisados para drones, una ametralladora Browning, un cargador abastecido, dos cintas eslabonadas con cartuchos útiles y dos chalecos tácticos, de acuerdo con la Secretaría de Seguridad Pública del Estado. Elpersonal del grupo especialmontó unoperativo de resguardode la vivienda, en espera de que la Fiscalía General de la República solicite a un juez una Orden Técnica de Investigación para ingresar y documentar el contenido del inmueble.[Publicidad] Lasautoridades de seguridad públicano informaron si en el operativo en Los Ángeles se logró la detención de personas sospechosas vinculadas con el hallazgo en la residencia.[Publicidad]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29" s="15">
        <f>IFERROR(__xludf.DUMMYFUNCTION("""COMPUTED_VALUE"""),0.8372)</f>
        <v>0.8372</v>
      </c>
      <c r="P29" s="2"/>
      <c r="Q29" s="17">
        <f>IFERROR(__xludf.DUMMYFUNCTION("""COMPUTED_VALUE"""),5.5)</f>
        <v>5.5</v>
      </c>
      <c r="R29" s="2" t="str">
        <f>IFERROR(__xludf.DUMMYFUNCTION("""COMPUTED_VALUE"""),"Low")</f>
        <v>Low</v>
      </c>
      <c r="S29" s="17">
        <f>IFERROR(__xludf.DUMMYFUNCTION("""COMPUTED_VALUE"""),0.0)</f>
        <v>0</v>
      </c>
      <c r="T29" s="17">
        <f>IFERROR(__xludf.DUMMYFUNCTION("""COMPUTED_VALUE"""),0.0)</f>
        <v>0</v>
      </c>
      <c r="U29" s="14">
        <f>IFERROR(__xludf.DUMMYFUNCTION("""COMPUTED_VALUE"""),3.0)</f>
        <v>3</v>
      </c>
      <c r="V29" s="14">
        <v>2025.0</v>
      </c>
      <c r="W29" s="2" t="s">
        <v>1168</v>
      </c>
      <c r="X29" s="2" t="s">
        <v>1169</v>
      </c>
      <c r="Y29" s="13" t="s">
        <v>23</v>
      </c>
      <c r="Z29" s="14">
        <v>0.0</v>
      </c>
      <c r="AA29" s="14">
        <v>0.0</v>
      </c>
      <c r="AB29" s="14">
        <v>0.0</v>
      </c>
      <c r="AC29" s="14">
        <v>0.0</v>
      </c>
      <c r="AD29" s="2">
        <v>0.0</v>
      </c>
      <c r="AE29" s="2">
        <v>1.0</v>
      </c>
      <c r="AF29" s="2">
        <v>12.0</v>
      </c>
      <c r="AG29" s="2" t="s">
        <v>1180</v>
      </c>
      <c r="AH29" s="2">
        <v>0.0</v>
      </c>
    </row>
    <row r="30" ht="15.75" customHeight="1">
      <c r="A30" s="2" t="str">
        <f>IFERROR(__xludf.DUMMYFUNCTION("""COMPUTED_VALUE"""),"El Universal")</f>
        <v>El Universal</v>
      </c>
      <c r="B30" s="12" t="str">
        <f>IFERROR(__xludf.DUMMYFUNCTION("""COMPUTED_VALUE"""),"VIDEO Tren Interoceánico: ¡Ayúdennos, por favor!; pasajeros graban desde el vagón momento del descarrilamiento")</f>
        <v>VIDEO Tren Interoceánico: ¡Ayúdennos, por favor!; pasajeros graban desde el vagón momento del descarrilamiento</v>
      </c>
      <c r="C30" s="13" t="str">
        <f>IFERROR(__xludf.DUMMYFUNCTION("""COMPUTED_VALUE"""),"2025-12-29")</f>
        <v>2025-12-29</v>
      </c>
      <c r="D30" s="14">
        <f>IFERROR(__xludf.DUMMYFUNCTION("""COMPUTED_VALUE"""),4.0)</f>
        <v>4</v>
      </c>
      <c r="E30" s="15">
        <f>IFERROR(__xludf.DUMMYFUNCTION("""COMPUTED_VALUE"""),-0.7794)</f>
        <v>-0.7794</v>
      </c>
      <c r="F30" s="2" t="str">
        <f>IFERROR(__xludf.DUMMYFUNCTION("""COMPUTED_VALUE"""),"Negativo")</f>
        <v>Negativo</v>
      </c>
      <c r="G30" s="15">
        <f>IFERROR(__xludf.DUMMYFUNCTION("""COMPUTED_VALUE"""),0.7794)</f>
        <v>0.7794</v>
      </c>
      <c r="H30" s="2" t="str">
        <f>IFERROR(__xludf.DUMMYFUNCTION("""COMPUTED_VALUE"""),"Otros temas generales")</f>
        <v>Otros temas generales</v>
      </c>
      <c r="I30" s="2" t="str">
        <f>IFERROR(__xludf.DUMMYFUNCTION("""COMPUTED_VALUE"""),"N/A")</f>
        <v>N/A</v>
      </c>
      <c r="J30" s="2" t="str">
        <f>IFERROR(__xludf.DUMMYFUNCTION("""COMPUTED_VALUE"""),"Descartar / Baja prioridad.")</f>
        <v>Descartar / Baja prioridad.</v>
      </c>
      <c r="K30" s="2" t="str">
        <f>IFERROR(__xludf.DUMMYFUNCTION("""COMPUTED_VALUE"""),"Oaxaca")</f>
        <v>Oaxaca</v>
      </c>
      <c r="L30" s="2" t="str">
        <f>IFERROR(__xludf.DUMMYFUNCTION("""COMPUTED_VALUE"""),"Oaxaca")</f>
        <v>Oaxaca</v>
      </c>
      <c r="M30" s="16" t="str">
        <f>IFERROR(__xludf.DUMMYFUNCTION("""COMPUTED_VALUE"""),"https://www.eluniversal.com.mx/estados/video-tren-interoceanico-ayudennos-por-favor-pasajeros-graban-desde-el-vagon-momento-del-descarrilamiento/")</f>
        <v>https://www.eluniversal.com.mx/estados/video-tren-interoceanico-ayudennos-por-favor-pasajeros-graban-desde-el-vagon-momento-del-descarrilamiento/</v>
      </c>
      <c r="N30" s="2" t="str">
        <f>IFERROR(__xludf.DUMMYFUNCTION("""COMPUTED_VALUE"""),"A través de lasredes socialesse han difundido imágenes y videos de las personas que viajaban en elTren Interoceánicoen el momento posterior al descarrilamiento en la localidad deNizandaen Oaxaca, donde hasta el momento hay 13 muertos. En un video de apena"&amp;"s 14 segundos se puede ver a los pasajeros desconcertados, llorando, con miedo ypidiendo ayuda. En el video se puede ver que haymenores de edady hay personas en el suelo o en posiciones fuera de sus asientos. En los últimos segundos del video se puede esc"&amp;"uchar a una persona explicándoles que ayudarán a los pasajeros aevacuar el carro. Hasta el momento se desconoce si alguno de lospasajerosque se muestra en el video resultó con alguna lesión. El Tren Interoceánico une al Océano Pacífico con elGolfo de Méxi"&amp;"co, que tiene como origen destinoCoatzacoalcosen Veracruz ySalina Cruzen Oaxaca. La mañana del 28 de diciembre, un tren del Corredor Interoceánico descarriló en Nizanda, Oaxaca, provocando la muerte de 13 personas y 98 heridos; algunas personas lesionadas"&amp;" de gravedad fueron trasladadas a hospitales de la región delIstmo de Tehuantepec. Copyright © Todos los derechos reservados | EL UNIVERSAL, Compañía Periodística Nacional. De no existir previa autorización, queda expresamente prohibida la Publicación, re"&amp;"transmisión, edición y cualquier otro uso de los contenidos Al navegar en este sitio aceptas las cookies que utilizamos para mejorar tu experiencia")</f>
        <v>A través de lasredes socialesse han difundido imágenes y videos de las personas que viajaban en elTren Interoceánicoen el momento posterior al descarrilamiento en la localidad deNizandaen Oaxaca, donde hasta el momento hay 13 muertos. En un video de apenas 14 segundos se puede ver a los pasajeros desconcertados, llorando, con miedo ypidiendo ayuda. En el video se puede ver que haymenores de edady hay personas en el suelo o en posiciones fuera de sus asientos. En los últimos segundos del video se puede escuchar a una persona explicándoles que ayudarán a los pasajeros aevacuar el carro. Hasta el momento se desconoce si alguno de lospasajerosque se muestra en el video resultó con alguna lesión. El Tren Interoceánico une al Océano Pacífico con elGolfo de México, que tiene como origen destinoCoatzacoalcosen Veracruz ySalina Cruzen Oaxaca. La mañana del 28 de diciembre, un tren del Corredor Interoceánico descarriló en Nizanda, Oaxaca, provocando la muerte de 13 personas y 98 heridos; algunas personas lesionadas de gravedad fueron trasladadas a hospitales de la región delIstmo de Tehuantepec.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0" s="15">
        <f>IFERROR(__xludf.DUMMYFUNCTION("""COMPUTED_VALUE"""),0.3689)</f>
        <v>0.3689</v>
      </c>
      <c r="P30" s="2"/>
      <c r="Q30" s="17">
        <f>IFERROR(__xludf.DUMMYFUNCTION("""COMPUTED_VALUE"""),5.0)</f>
        <v>5</v>
      </c>
      <c r="R30" s="2" t="str">
        <f>IFERROR(__xludf.DUMMYFUNCTION("""COMPUTED_VALUE"""),"Low")</f>
        <v>Low</v>
      </c>
      <c r="S30" s="17">
        <f>IFERROR(__xludf.DUMMYFUNCTION("""COMPUTED_VALUE"""),0.0)</f>
        <v>0</v>
      </c>
      <c r="T30" s="17">
        <f>IFERROR(__xludf.DUMMYFUNCTION("""COMPUTED_VALUE"""),0.0)</f>
        <v>0</v>
      </c>
      <c r="U30" s="14">
        <f>IFERROR(__xludf.DUMMYFUNCTION("""COMPUTED_VALUE"""),3.0)</f>
        <v>3</v>
      </c>
      <c r="V30" s="14">
        <v>2025.0</v>
      </c>
      <c r="W30" s="2" t="s">
        <v>1168</v>
      </c>
      <c r="X30" s="2" t="s">
        <v>1169</v>
      </c>
      <c r="Y30" s="13" t="s">
        <v>23</v>
      </c>
      <c r="Z30" s="14">
        <v>0.0</v>
      </c>
      <c r="AA30" s="14">
        <v>0.0</v>
      </c>
      <c r="AB30" s="14">
        <v>0.0</v>
      </c>
      <c r="AC30" s="14">
        <v>0.0</v>
      </c>
      <c r="AD30" s="2">
        <v>0.0</v>
      </c>
      <c r="AE30" s="2">
        <v>1.0</v>
      </c>
      <c r="AF30" s="2">
        <v>12.0</v>
      </c>
      <c r="AG30" s="2" t="s">
        <v>1176</v>
      </c>
      <c r="AH30" s="2">
        <v>0.0</v>
      </c>
    </row>
    <row r="31" ht="15.75" customHeight="1">
      <c r="A31" s="2" t="str">
        <f>IFERROR(__xludf.DUMMYFUNCTION("""COMPUTED_VALUE"""),"El Universal")</f>
        <v>El Universal</v>
      </c>
      <c r="B31" s="12" t="str">
        <f>IFERROR(__xludf.DUMMYFUNCTION("""COMPUTED_VALUE"""),"Riña entre aficionados de la Trinca Fresera y Chivas deja cuatro lesionados; dos son policías")</f>
        <v>Riña entre aficionados de la Trinca Fresera y Chivas deja cuatro lesionados; dos son policías</v>
      </c>
      <c r="C31" s="13" t="str">
        <f>IFERROR(__xludf.DUMMYFUNCTION("""COMPUTED_VALUE"""),"2025-12-29")</f>
        <v>2025-12-29</v>
      </c>
      <c r="D31" s="14">
        <f>IFERROR(__xludf.DUMMYFUNCTION("""COMPUTED_VALUE"""),2.0)</f>
        <v>2</v>
      </c>
      <c r="E31" s="15">
        <f>IFERROR(__xludf.DUMMYFUNCTION("""COMPUTED_VALUE"""),-0.7915)</f>
        <v>-0.7915</v>
      </c>
      <c r="F31" s="2" t="str">
        <f>IFERROR(__xludf.DUMMYFUNCTION("""COMPUTED_VALUE"""),"Negativo")</f>
        <v>Negativo</v>
      </c>
      <c r="G31" s="15">
        <f>IFERROR(__xludf.DUMMYFUNCTION("""COMPUTED_VALUE"""),0.7915)</f>
        <v>0.7915</v>
      </c>
      <c r="H31" s="2" t="str">
        <f>IFERROR(__xludf.DUMMYFUNCTION("""COMPUTED_VALUE"""),"Operativo policial o detención")</f>
        <v>Operativo policial o detención</v>
      </c>
      <c r="I31" s="2" t="str">
        <f>IFERROR(__xludf.DUMMYFUNCTION("""COMPUTED_VALUE"""),"N/A")</f>
        <v>N/A</v>
      </c>
      <c r="J31" s="2" t="str">
        <f>IFERROR(__xludf.DUMMYFUNCTION("""COMPUTED_VALUE"""),"Monitoreo general.")</f>
        <v>Monitoreo general.</v>
      </c>
      <c r="K31" s="2" t="str">
        <f>IFERROR(__xludf.DUMMYFUNCTION("""COMPUTED_VALUE"""),"León")</f>
        <v>León</v>
      </c>
      <c r="L31" s="2" t="str">
        <f>IFERROR(__xludf.DUMMYFUNCTION("""COMPUTED_VALUE"""),"Guanajuato")</f>
        <v>Guanajuato</v>
      </c>
      <c r="M31" s="16" t="str">
        <f>IFERROR(__xludf.DUMMYFUNCTION("""COMPUTED_VALUE"""),"https://www.eluniversal.com.mx/estados/rina-entre-aficionados-de-la-trinca-fresera-y-chivas-deja-cuatro-lesionados-dos-son-policias/")</f>
        <v>https://www.eluniversal.com.mx/estados/rina-entre-aficionados-de-la-trinca-fresera-y-chivas-deja-cuatro-lesionados-dos-son-policias/</v>
      </c>
      <c r="N31" s="2" t="str">
        <f>IFERROR(__xludf.DUMMYFUNCTION("""COMPUTED_VALUE"""),"Irapuato, Gto.- Aficionados de los equiposGuadalajaraeIrapuatoprotagonizaron unariñaal término del encuentro defutbolen elestadio Sergio León Chávez, la cual dejó un saldo de cuatro personaslesionadas, entre ellas dospolicíasque intervinieron para control"&amp;"ar el conflicto. La tarde de este domingo lasChivasvencieron a laTrinca Fresera4-0 en unpartido amistoso, pero los seguidores del equipo local reaccionaron furiosos por la derrota. En esta contienda se lanzaron botellas ypiedas, además de atacarse agolpes"&amp;"en las inmediaciones de dicho complejo deportivo. LaSecretaría de Seguridad Ciudadanamunicipal informó que dos grupos de aficionados de ambos equipos, en la calle Grillito Cantor, comenzaron con provocaciones verbales, las cuales escalaron a agresiones fí"&amp;"sicas, causando una situación de riesgo para los propios involucrados y terceros. “Ante estos hechos, en medio de las agresiones con piedras y botellas, elementos de la Policía Municipal intervinieron de manera oportuna y coordinada, logrando controlar la"&amp;" situación, restablecer elorden públicoy replegar a las personas participantes, evitando que los hechos derivaran en situaciones de mayorviolencia"". Dos oficiales presentan lesiones por impactos de botellas y piedras, mientras dos civiles tienen heridas "&amp;"policontundidas; en ninguno de los casos fue necesario eltrasladoa algúnhospital.[Publicidad] La corporación precisó que con motivo del encuentro deportivo desplegó unoperativoy logística de seguridad, dentro y fuera de este estadio, lo que permitió conte"&amp;"ner oportunamente el suceso. Aseveró que continuará trabajando para garantizar la seguridad y para fomentar que los eventos deportivos se vivan con respeto, civilidad y responsabilidad, en espacios seguros para todas las personas.[Publicidad] Copyright © "&amp;"Todos los derechos reservados | EL UNIVERSAL, Compañía Periodística Nacional. De no existir previa autorización, queda expresamente prohibida la Publicación, retransmisión, edición y cualquier otro uso de los contenidos Al navegar en este sitio aceptas la"&amp;"s cookies que utilizamos para mejorar tu experiencia")</f>
        <v>Irapuato, Gto.- Aficionados de los equiposGuadalajaraeIrapuatoprotagonizaron unariñaal término del encuentro defutbolen elestadio Sergio León Chávez, la cual dejó un saldo de cuatro personaslesionadas, entre ellas dospolicíasque intervinieron para controlar el conflicto. La tarde de este domingo lasChivasvencieron a laTrinca Fresera4-0 en unpartido amistoso, pero los seguidores del equipo local reaccionaron furiosos por la derrota. En esta contienda se lanzaron botellas ypiedas, además de atacarse agolpesen las inmediaciones de dicho complejo deportivo. LaSecretaría de Seguridad Ciudadanamunicipal informó que dos grupos de aficionados de ambos equipos, en la calle Grillito Cantor, comenzaron con provocaciones verbales, las cuales escalaron a agresiones físicas, causando una situación de riesgo para los propios involucrados y terceros. “Ante estos hechos, en medio de las agresiones con piedras y botellas, elementos de la Policía Municipal intervinieron de manera oportuna y coordinada, logrando controlar la situación, restablecer elorden públicoy replegar a las personas participantes, evitando que los hechos derivaran en situaciones de mayorviolencia". Dos oficiales presentan lesiones por impactos de botellas y piedras, mientras dos civiles tienen heridas policontundidas; en ninguno de los casos fue necesario eltrasladoa algúnhospital.[Publicidad] La corporación precisó que con motivo del encuentro deportivo desplegó unoperativoy logística de seguridad, dentro y fuera de este estadio, lo que permitió contener oportunamente el suceso. Aseveró que continuará trabajando para garantizar la seguridad y para fomentar que los eventos deportivos se vivan con respeto, civilidad y responsabilidad, en espacios seguros para todas las personas.[Publicidad]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1" s="15">
        <f>IFERROR(__xludf.DUMMYFUNCTION("""COMPUTED_VALUE"""),0.4533)</f>
        <v>0.4533</v>
      </c>
      <c r="P31" s="2"/>
      <c r="Q31" s="17">
        <f>IFERROR(__xludf.DUMMYFUNCTION("""COMPUTED_VALUE"""),4.0)</f>
        <v>4</v>
      </c>
      <c r="R31" s="2" t="str">
        <f>IFERROR(__xludf.DUMMYFUNCTION("""COMPUTED_VALUE"""),"Medium")</f>
        <v>Medium</v>
      </c>
      <c r="S31" s="17">
        <f>IFERROR(__xludf.DUMMYFUNCTION("""COMPUTED_VALUE"""),1.0)</f>
        <v>1</v>
      </c>
      <c r="T31" s="17">
        <f>IFERROR(__xludf.DUMMYFUNCTION("""COMPUTED_VALUE"""),0.0)</f>
        <v>0</v>
      </c>
      <c r="U31" s="14">
        <f>IFERROR(__xludf.DUMMYFUNCTION("""COMPUTED_VALUE"""),3.0)</f>
        <v>3</v>
      </c>
      <c r="V31" s="14">
        <v>2025.0</v>
      </c>
      <c r="W31" s="2" t="s">
        <v>1168</v>
      </c>
      <c r="X31" s="2" t="s">
        <v>1169</v>
      </c>
      <c r="Y31" s="13" t="s">
        <v>23</v>
      </c>
      <c r="Z31" s="14">
        <v>0.0</v>
      </c>
      <c r="AA31" s="14">
        <v>0.0</v>
      </c>
      <c r="AB31" s="14">
        <v>0.0</v>
      </c>
      <c r="AC31" s="14">
        <v>0.0</v>
      </c>
      <c r="AD31" s="2">
        <v>0.0</v>
      </c>
      <c r="AE31" s="2">
        <v>0.0</v>
      </c>
      <c r="AF31" s="2">
        <v>12.0</v>
      </c>
      <c r="AG31" s="2" t="s">
        <v>1185</v>
      </c>
      <c r="AH31" s="2">
        <v>0.0</v>
      </c>
    </row>
    <row r="32" ht="15.75" customHeight="1">
      <c r="A32" s="2" t="str">
        <f>IFERROR(__xludf.DUMMYFUNCTION("""COMPUTED_VALUE"""),"El Universal")</f>
        <v>El Universal</v>
      </c>
      <c r="B32" s="12" t="str">
        <f>IFERROR(__xludf.DUMMYFUNCTION("""COMPUTED_VALUE"""),"Empresa compró seguro para el Tren Interoceánico; es por 10 millones de pesos")</f>
        <v>Empresa compró seguro para el Tren Interoceánico; es por 10 millones de pesos</v>
      </c>
      <c r="C32" s="13" t="str">
        <f>IFERROR(__xludf.DUMMYFUNCTION("""COMPUTED_VALUE"""),"2025-12-29")</f>
        <v>2025-12-29</v>
      </c>
      <c r="D32" s="14">
        <f>IFERROR(__xludf.DUMMYFUNCTION("""COMPUTED_VALUE"""),1.0)</f>
        <v>1</v>
      </c>
      <c r="E32" s="15">
        <f>IFERROR(__xludf.DUMMYFUNCTION("""COMPUTED_VALUE"""),-0.7218)</f>
        <v>-0.7218</v>
      </c>
      <c r="F32" s="2" t="str">
        <f>IFERROR(__xludf.DUMMYFUNCTION("""COMPUTED_VALUE"""),"Negativo")</f>
        <v>Negativo</v>
      </c>
      <c r="G32" s="15">
        <f>IFERROR(__xludf.DUMMYFUNCTION("""COMPUTED_VALUE"""),0.7218)</f>
        <v>0.7218</v>
      </c>
      <c r="H32" s="2" t="str">
        <f>IFERROR(__xludf.DUMMYFUNCTION("""COMPUTED_VALUE"""),"Noticia corporativa o regulación de transporte")</f>
        <v>Noticia corporativa o regulación de transporte</v>
      </c>
      <c r="I32" s="2" t="str">
        <f>IFERROR(__xludf.DUMMYFUNCTION("""COMPUTED_VALUE"""),"N/A")</f>
        <v>N/A</v>
      </c>
      <c r="J32" s="2" t="str">
        <f>IFERROR(__xludf.DUMMYFUNCTION("""COMPUTED_VALUE"""),"Monitoreo general.")</f>
        <v>Monitoreo general.</v>
      </c>
      <c r="K32" s="2"/>
      <c r="L32" s="2"/>
      <c r="M32" s="16" t="str">
        <f>IFERROR(__xludf.DUMMYFUNCTION("""COMPUTED_VALUE"""),"https://www.eluniversal.com.mx/estados/empresa-compro-seguro-para-el-tren-interoceanico-es-por-10-millones-de-pesos/")</f>
        <v>https://www.eluniversal.com.mx/estados/empresa-compro-seguro-para-el-tren-interoceanico-es-por-10-millones-de-pesos/</v>
      </c>
      <c r="N32" s="2" t="str">
        <f>IFERROR(__xludf.DUMMYFUNCTION("""COMPUTED_VALUE"""),"La empresaFerrocarril del Istmo de Tehuantepec(FIT), de laSecretaría de Marinay encargada de operar elTren Interoceánico, pagó casi 10 millones de pesos por unseguropara pasajeros que cubrefallecimientos,incapacidadpermanente por la pérdida de alguno de l"&amp;"os miembros, así como extravío deequipaje. En elcontratoFIT-GAR-MOP-ADQ-5-25, al cual tuvo accesoEL UNIVERSAL, se indica que el 17 de enero pasado se le entregó poradjudicación directaa la empresaSeguro Ve por MásS.A. de C.V. para la prestación de Servici"&amp;"o de Seguro de Pasajeros para el Tren del Istmo de Tehuantepec por un monto total de 9 millones 190 mil 769 pesos. En la página tres de la licitación se indica que este seguro cubrirá muerte accidental, incapacidad permanente total,gastos funerarios,asist"&amp;"encia médicay en equipaje. Por muerte en accidente, indica que se tendrá un límite máximo de 3,414.259Unidad de Medida y Actualización(UMA), es decir, casi 400 mil pesos. “Riegos cubiertos: por muerte accidental: límite máximo de 3,414.259UMA; en este rie"&amp;"sgo se incluye la muerte del pasajero dentro de los 90 días siguientes a la fecha del accidente en términos de lo dispuesto en el artículo 90 de laLey Federal del Trabajo. Por incapacidad accidental permanente total: límite máximo de 3,684.259 UMA; en est"&amp;"e riesgo se incluye la pérdida de miembros; por gastos funerarios: límite máximo de 270 UMA”, señala el contrato. Copyright © Todos los derechos reservados | EL UNIVERSAL, Compañía Periodística Nacional. De no existir previa autorización, queda expresamen"&amp;"te prohibida la Publicación, retransmisión, edición y cualquier otro uso de los contenidos Al navegar en este sitio aceptas las cookies que utilizamos para mejorar tu experiencia")</f>
        <v>La empresaFerrocarril del Istmo de Tehuantepec(FIT), de laSecretaría de Marinay encargada de operar elTren Interoceánico, pagó casi 10 millones de pesos por unseguropara pasajeros que cubrefallecimientos,incapacidadpermanente por la pérdida de alguno de los miembros, así como extravío deequipaje. En elcontratoFIT-GAR-MOP-ADQ-5-25, al cual tuvo accesoEL UNIVERSAL, se indica que el 17 de enero pasado se le entregó poradjudicación directaa la empresaSeguro Ve por MásS.A. de C.V. para la prestación de Servicio de Seguro de Pasajeros para el Tren del Istmo de Tehuantepec por un monto total de 9 millones 190 mil 769 pesos. En la página tres de la licitación se indica que este seguro cubrirá muerte accidental, incapacidad permanente total,gastos funerarios,asistencia médicay en equipaje. Por muerte en accidente, indica que se tendrá un límite máximo de 3,414.259Unidad de Medida y Actualización(UMA), es decir, casi 400 mil pesos. “Riegos cubiertos: por muerte accidental: límite máximo de 3,414.259UMA; en este riesgo se incluye la muerte del pasajero dentro de los 90 días siguientes a la fecha del accidente en términos de lo dispuesto en el artículo 90 de laLey Federal del Trabajo. Por incapacidad accidental permanente total: límite máximo de 3,684.259 UMA; en este riesgo se incluye la pérdida de miembros; por gastos funerarios: límite máximo de 270 UMA”, señala el contrato.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2" s="15">
        <f>IFERROR(__xludf.DUMMYFUNCTION("""COMPUTED_VALUE"""),0.3114)</f>
        <v>0.3114</v>
      </c>
      <c r="P32" s="2"/>
      <c r="Q32" s="17">
        <f>IFERROR(__xludf.DUMMYFUNCTION("""COMPUTED_VALUE"""),0.0)</f>
        <v>0</v>
      </c>
      <c r="R32" s="2" t="str">
        <f>IFERROR(__xludf.DUMMYFUNCTION("""COMPUTED_VALUE"""),"None")</f>
        <v>None</v>
      </c>
      <c r="S32" s="17">
        <f>IFERROR(__xludf.DUMMYFUNCTION("""COMPUTED_VALUE"""),0.0)</f>
        <v>0</v>
      </c>
      <c r="T32" s="17">
        <f>IFERROR(__xludf.DUMMYFUNCTION("""COMPUTED_VALUE"""),0.0)</f>
        <v>0</v>
      </c>
      <c r="U32" s="14">
        <f>IFERROR(__xludf.DUMMYFUNCTION("""COMPUTED_VALUE"""),3.0)</f>
        <v>3</v>
      </c>
      <c r="V32" s="14">
        <v>2025.0</v>
      </c>
      <c r="W32" s="2" t="s">
        <v>1168</v>
      </c>
      <c r="X32" s="2" t="s">
        <v>1169</v>
      </c>
      <c r="Y32" s="13" t="s">
        <v>23</v>
      </c>
      <c r="Z32" s="14">
        <v>0.0</v>
      </c>
      <c r="AA32" s="14">
        <v>0.0</v>
      </c>
      <c r="AB32" s="14">
        <v>0.0</v>
      </c>
      <c r="AC32" s="14">
        <v>0.0</v>
      </c>
      <c r="AD32" s="2">
        <v>0.0</v>
      </c>
      <c r="AE32" s="2">
        <v>0.0</v>
      </c>
      <c r="AF32" s="2">
        <v>12.0</v>
      </c>
      <c r="AG32" s="2" t="s">
        <v>1186</v>
      </c>
      <c r="AH32" s="2">
        <v>0.0</v>
      </c>
    </row>
    <row r="33" ht="15.75" customHeight="1">
      <c r="A33" s="2" t="str">
        <f>IFERROR(__xludf.DUMMYFUNCTION("""COMPUTED_VALUE"""),"El Universal")</f>
        <v>El Universal</v>
      </c>
      <c r="B33" s="12" t="str">
        <f>IFERROR(__xludf.DUMMYFUNCTION("""COMPUTED_VALUE"""),"Tren Interoceánico se descarrila; hay 13 muertos")</f>
        <v>Tren Interoceánico se descarrila; hay 13 muertos</v>
      </c>
      <c r="C33" s="13" t="str">
        <f>IFERROR(__xludf.DUMMYFUNCTION("""COMPUTED_VALUE"""),"2025-12-29")</f>
        <v>2025-12-29</v>
      </c>
      <c r="D33" s="14">
        <f>IFERROR(__xludf.DUMMYFUNCTION("""COMPUTED_VALUE"""),4.0)</f>
        <v>4</v>
      </c>
      <c r="E33" s="15">
        <f>IFERROR(__xludf.DUMMYFUNCTION("""COMPUTED_VALUE"""),-0.811)</f>
        <v>-0.811</v>
      </c>
      <c r="F33" s="2" t="str">
        <f>IFERROR(__xludf.DUMMYFUNCTION("""COMPUTED_VALUE"""),"Negativo")</f>
        <v>Negativo</v>
      </c>
      <c r="G33" s="15">
        <f>IFERROR(__xludf.DUMMYFUNCTION("""COMPUTED_VALUE"""),0.811)</f>
        <v>0.811</v>
      </c>
      <c r="H33" s="2" t="str">
        <f>IFERROR(__xludf.DUMMYFUNCTION("""COMPUTED_VALUE"""),"Accidente de tránsito o choque vial")</f>
        <v>Accidente de tránsito o choque vial</v>
      </c>
      <c r="I33" s="2" t="str">
        <f>IFERROR(__xludf.DUMMYFUNCTION("""COMPUTED_VALUE"""),"N/A")</f>
        <v>N/A</v>
      </c>
      <c r="J33" s="2" t="str">
        <f>IFERROR(__xludf.DUMMYFUNCTION("""COMPUTED_VALUE"""),"Soporte DRV: Seguros/Guía post-siniestro.")</f>
        <v>Soporte DRV: Seguros/Guía post-siniestro.</v>
      </c>
      <c r="K33" s="2" t="str">
        <f>IFERROR(__xludf.DUMMYFUNCTION("""COMPUTED_VALUE"""),"Veracruz")</f>
        <v>Veracruz</v>
      </c>
      <c r="L33" s="2" t="str">
        <f>IFERROR(__xludf.DUMMYFUNCTION("""COMPUTED_VALUE"""),"Veracruz")</f>
        <v>Veracruz</v>
      </c>
      <c r="M33" s="16" t="str">
        <f>IFERROR(__xludf.DUMMYFUNCTION("""COMPUTED_VALUE"""),"https://www.eluniversal.com.mx/estados/tren-interoceanico-se-descarrila-hay-13-muertos/")</f>
        <v>https://www.eluniversal.com.mx/estados/tren-interoceanico-se-descarrila-hay-13-muertos/</v>
      </c>
      <c r="N33" s="2" t="str">
        <f>IFERROR(__xludf.DUMMYFUNCTION("""COMPUTED_VALUE"""),"Juchitán de Zaragoza.— ElTren Interoceánico, que une elPacíficocon elgolfo de México, se descarriló ayer provocando la muerte a 13 personas y heridas a otras 98, informó laSecretaría de Marina(Semar). Precisó que en el tren viajaban 250 personas —nuevetri"&amp;"pulantesy 241pasajeros— y de ellos 139 se encuentran fuera de peligro. De los 98 lesionados, 36 recibían ayeratención médicahospitalaria y el resto se reportaban “sin lesiones de gravedad, y lamentablemente 13 personas perdieron la vida”. La presidentaCla"&amp;"udia Sheinbauminformó que los heridos reciben atención en hospitales delIMSSenMatías RomeroySalina Cruz, así como en elIMSS-BienestarenJuchitáneIxtepec. Cinco de ellos se reportaban graves. “He dado instrucciones para que el secretario de Marina y el subs"&amp;"ecretario de Derechos Humanos de laSecretaría de Gobernaciónse trasladen al lugar y atiendan a las familias de manera personal; también los delegados de IMSS e IMSS-Bienestar”, indicó. Agregó que la Secretaría de Gobernación coordinará las labores. Por la"&amp;" noche, el IMSS informó que 41 personas reciben atención médica: 11 en el Hospital IMSS-Bienestar de Ixtepec; 22 en el Hospital IMSS-Bienestar de Juchitán; dos en Salina Cruz, y 6 en Tehuantepec.[Publicidad] El Tren Interoceánico se descarriló sobre el ki"&amp;"lómetro 230+300 de lalínea Z, entre las poblaciones deNizandayChivela, en el municipio deAsunción Ixtaltepec; llevaba cuatro vagones y dos locomotoras. De acuerdo con la tabla de salidas, llegadas y horarios difundidos por parte delFerrocarril del Istmo d"&amp;"e Tehuantepec(FIT), para la venta de boletos el ferrocarril salió a las 08:00 de la mañana del domingo de Salina Cruz, Oaxaca, y tenía previsto llegar a las 14:30 horas aCoatzacoalcos,Veracruz. Sin embargo, poco después de las 09:00 de la mañana comenzaro"&amp;"n a difundirse mensajes en diversos medios solicitando grupos de rescate, ambulancias y personal deProtección Civilpara rescatar a las personas lesionadas por el descarrilamiento del tren en Nizanda. El accidente ocurrió en una zona despoblada, cubierta d"&amp;"e maleza y matorrales en el sitio conocido comoLa Curva de la Herradura. “Sólo sentimos un jalón y [escuchamos] el ruido de los vagones que arrastraban tierra”, dijo una señora tras comunicarse con su esposo para informarle del percance. La locomotora guí"&amp;"a del convoy se salió de sus rieles, se recostó con fuerza sobre la tierra y jaló al resto de las unidades. Uno de los vagones se desprendió y fue a parar al fondo de unbarranco, como de 50 metros de profundidad, informaron lasautoridades estatales. Debid"&amp;"o a las condiciones inhóspitas del lugar del accidente, las labores de rescate se complicaron. Los pobladores de Nizanda se organizaron, unos para auxiliar a las personas atrapadas en el barranco y otras para buscar señal de telefonía y pedir ayuda. Hasta"&amp;" el cruce con la comunidad de Chivela llegaron decenas de ambulancias de diversas corporaciones de los tres niveles de gobierno; sin embargo, no pudieron ingresar al punto del accidente. Según rescatistas, sólo se podía llegar caminando y no había señal d"&amp;"e telefonía. Casi cuatro horas después del accidente, la administración delFITmovilizó una locomotora, con un vagón que salió de Matías Romero, para recoger a los 20 lesionados que esperaban en Mazahua y llevarlos al crucero de Chivela. Ahí fueron subidos"&amp;" a las ambulancias que se incorporaron a la carretera Transístmica para llevarlos a los hospitales de Matías Romero y Juchitán, donde ayer recibían atención médica. Pasadas las 16:30 horas continuaban los rescates. El gobernadorSalomón Jarainformó que se "&amp;"instaló “un módulo operativo de atención a la emergencia, en un trabajo coordinado entre el gobierno del estado, el gobierno municipal e instituciones federales, con el objetivo de atender de manera oportuna la emergencia y salvaguardar la integridad de l"&amp;"a población”. La titular de laFiscalía General de la República(FGR),Ernestina Godoy, informó que se inició unacarpeta de investigaciónpara conocer las causas de lo sucedido. El Tren Interoceánico requirió unainversiónde unos 4 mil millones de pesos para l"&amp;"a rehabilitación de sus 260 kilómetros de vías. Esta obra causó molestias entre los pobladores de lascomunidades indígenasde la zona norte del Istmo, quienes denunciaron que la consulta organizada por elgobiernono fue libre ni informada. A la fecha, hay l"&amp;"ocalidades indígenas que reclaman el cumplimiento de las promesas del CIIT en materia de obras e infraestructura educativa y hospitalaria. Varios indígenas fueron vinculados a procesos penales por defender sus tierras. Fue inaugurado hace dos años, el 22 "&amp;"de diciembre de 2023, por el entonces presidenteAndrés Manuel López Obrador. Copyright © Todos los derechos reservados | EL UNIVERSAL, Compañía Periodística Nacional. De no existir previa autorización, queda expresamente prohibida la Publicación, retransm"&amp;"isión, edición y cualquier otro uso de los contenidos Al navegar en este sitio aceptas las cookies que utilizamos para mejorar tu experiencia")</f>
        <v>Juchitán de Zaragoza.— ElTren Interoceánico, que une elPacíficocon elgolfo de México, se descarriló ayer provocando la muerte a 13 personas y heridas a otras 98, informó laSecretaría de Marina(Semar). Precisó que en el tren viajaban 250 personas —nuevetripulantesy 241pasajeros— y de ellos 139 se encuentran fuera de peligro. De los 98 lesionados, 36 recibían ayeratención médicahospitalaria y el resto se reportaban “sin lesiones de gravedad, y lamentablemente 13 personas perdieron la vida”. La presidentaClaudia Sheinbauminformó que los heridos reciben atención en hospitales delIMSSenMatías RomeroySalina Cruz, así como en elIMSS-BienestarenJuchitáneIxtepec. Cinco de ellos se reportaban graves. “He dado instrucciones para que el secretario de Marina y el subsecretario de Derechos Humanos de laSecretaría de Gobernaciónse trasladen al lugar y atiendan a las familias de manera personal; también los delegados de IMSS e IMSS-Bienestar”, indicó. Agregó que la Secretaría de Gobernación coordinará las labores. Por la noche, el IMSS informó que 41 personas reciben atención médica: 11 en el Hospital IMSS-Bienestar de Ixtepec; 22 en el Hospital IMSS-Bienestar de Juchitán; dos en Salina Cruz, y 6 en Tehuantepec.[Publicidad] El Tren Interoceánico se descarriló sobre el kilómetro 230+300 de lalínea Z, entre las poblaciones deNizandayChivela, en el municipio deAsunción Ixtaltepec; llevaba cuatro vagones y dos locomotoras. De acuerdo con la tabla de salidas, llegadas y horarios difundidos por parte delFerrocarril del Istmo de Tehuantepec(FIT), para la venta de boletos el ferrocarril salió a las 08:00 de la mañana del domingo de Salina Cruz, Oaxaca, y tenía previsto llegar a las 14:30 horas aCoatzacoalcos,Veracruz. Sin embargo, poco después de las 09:00 de la mañana comenzaron a difundirse mensajes en diversos medios solicitando grupos de rescate, ambulancias y personal deProtección Civilpara rescatar a las personas lesionadas por el descarrilamiento del tren en Nizanda. El accidente ocurrió en una zona despoblada, cubierta de maleza y matorrales en el sitio conocido comoLa Curva de la Herradura. “Sólo sentimos un jalón y [escuchamos] el ruido de los vagones que arrastraban tierra”, dijo una señora tras comunicarse con su esposo para informarle del percance. La locomotora guía del convoy se salió de sus rieles, se recostó con fuerza sobre la tierra y jaló al resto de las unidades. Uno de los vagones se desprendió y fue a parar al fondo de unbarranco, como de 50 metros de profundidad, informaron lasautoridades estatales. Debido a las condiciones inhóspitas del lugar del accidente, las labores de rescate se complicaron. Los pobladores de Nizanda se organizaron, unos para auxiliar a las personas atrapadas en el barranco y otras para buscar señal de telefonía y pedir ayuda. Hasta el cruce con la comunidad de Chivela llegaron decenas de ambulancias de diversas corporaciones de los tres niveles de gobierno; sin embargo, no pudieron ingresar al punto del accidente. Según rescatistas, sólo se podía llegar caminando y no había señal de telefonía. Casi cuatro horas después del accidente, la administración delFITmovilizó una locomotora, con un vagón que salió de Matías Romero, para recoger a los 20 lesionados que esperaban en Mazahua y llevarlos al crucero de Chivela. Ahí fueron subidos a las ambulancias que se incorporaron a la carretera Transístmica para llevarlos a los hospitales de Matías Romero y Juchitán, donde ayer recibían atención médica. Pasadas las 16:30 horas continuaban los rescates. El gobernadorSalomón Jarainformó que se instaló “un módulo operativo de atención a la emergencia, en un trabajo coordinado entre el gobierno del estado, el gobierno municipal e instituciones federales, con el objetivo de atender de manera oportuna la emergencia y salvaguardar la integridad de la población”. La titular de laFiscalía General de la República(FGR),Ernestina Godoy, informó que se inició unacarpeta de investigaciónpara conocer las causas de lo sucedido. El Tren Interoceánico requirió unainversiónde unos 4 mil millones de pesos para la rehabilitación de sus 260 kilómetros de vías. Esta obra causó molestias entre los pobladores de lascomunidades indígenasde la zona norte del Istmo, quienes denunciaron que la consulta organizada por elgobiernono fue libre ni informada. A la fecha, hay localidades indígenas que reclaman el cumplimiento de las promesas del CIIT en materia de obras e infraestructura educativa y hospitalaria. Varios indígenas fueron vinculados a procesos penales por defender sus tierras. Fue inaugurado hace dos años, el 22 de diciembre de 2023, por el entonces presidenteAndrés Manuel López Obrador.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3" s="15">
        <f>IFERROR(__xludf.DUMMYFUNCTION("""COMPUTED_VALUE"""),0.3636)</f>
        <v>0.3636</v>
      </c>
      <c r="P33" s="2"/>
      <c r="Q33" s="17">
        <f>IFERROR(__xludf.DUMMYFUNCTION("""COMPUTED_VALUE"""),3.0)</f>
        <v>3</v>
      </c>
      <c r="R33" s="2" t="str">
        <f>IFERROR(__xludf.DUMMYFUNCTION("""COMPUTED_VALUE"""),"Medium")</f>
        <v>Medium</v>
      </c>
      <c r="S33" s="17">
        <f>IFERROR(__xludf.DUMMYFUNCTION("""COMPUTED_VALUE"""),1.0)</f>
        <v>1</v>
      </c>
      <c r="T33" s="17">
        <f>IFERROR(__xludf.DUMMYFUNCTION("""COMPUTED_VALUE"""),0.0)</f>
        <v>0</v>
      </c>
      <c r="U33" s="14">
        <f>IFERROR(__xludf.DUMMYFUNCTION("""COMPUTED_VALUE"""),3.0)</f>
        <v>3</v>
      </c>
      <c r="V33" s="14">
        <v>2025.0</v>
      </c>
      <c r="W33" s="2" t="s">
        <v>1168</v>
      </c>
      <c r="X33" s="2" t="s">
        <v>1169</v>
      </c>
      <c r="Y33" s="13" t="s">
        <v>23</v>
      </c>
      <c r="Z33" s="14">
        <v>0.0</v>
      </c>
      <c r="AA33" s="14">
        <v>0.0</v>
      </c>
      <c r="AB33" s="14">
        <v>0.0</v>
      </c>
      <c r="AC33" s="14">
        <v>0.0</v>
      </c>
      <c r="AD33" s="2">
        <v>0.0</v>
      </c>
      <c r="AE33" s="2">
        <v>1.0</v>
      </c>
      <c r="AF33" s="2">
        <v>12.0</v>
      </c>
      <c r="AG33" s="2" t="s">
        <v>1183</v>
      </c>
      <c r="AH33" s="2">
        <v>0.0</v>
      </c>
    </row>
    <row r="34" ht="15.75" customHeight="1">
      <c r="A34" s="2" t="str">
        <f>IFERROR(__xludf.DUMMYFUNCTION("""COMPUTED_VALUE"""),"El Universal")</f>
        <v>El Universal</v>
      </c>
      <c r="B34" s="12" t="str">
        <f>IFERROR(__xludf.DUMMYFUNCTION("""COMPUTED_VALUE"""),"El crematorio Plenitud, un duelo que no termina en Ciudad Juárez")</f>
        <v>El crematorio Plenitud, un duelo que no termina en Ciudad Juárez</v>
      </c>
      <c r="C34" s="13" t="str">
        <f>IFERROR(__xludf.DUMMYFUNCTION("""COMPUTED_VALUE"""),"2025-12-29")</f>
        <v>2025-12-29</v>
      </c>
      <c r="D34" s="14">
        <f>IFERROR(__xludf.DUMMYFUNCTION("""COMPUTED_VALUE"""),4.0)</f>
        <v>4</v>
      </c>
      <c r="E34" s="15">
        <f>IFERROR(__xludf.DUMMYFUNCTION("""COMPUTED_VALUE"""),-0.9701)</f>
        <v>-0.9701</v>
      </c>
      <c r="F34" s="2" t="str">
        <f>IFERROR(__xludf.DUMMYFUNCTION("""COMPUTED_VALUE"""),"Negativo")</f>
        <v>Negativo</v>
      </c>
      <c r="G34" s="15">
        <f>IFERROR(__xludf.DUMMYFUNCTION("""COMPUTED_VALUE"""),0.9701)</f>
        <v>0.9701</v>
      </c>
      <c r="H34" s="2" t="str">
        <f>IFERROR(__xludf.DUMMYFUNCTION("""COMPUTED_VALUE"""),"Operativo policial o detención")</f>
        <v>Operativo policial o detención</v>
      </c>
      <c r="I34" s="2" t="str">
        <f>IFERROR(__xludf.DUMMYFUNCTION("""COMPUTED_VALUE"""),"N/A")</f>
        <v>N/A</v>
      </c>
      <c r="J34" s="2" t="str">
        <f>IFERROR(__xludf.DUMMYFUNCTION("""COMPUTED_VALUE"""),"Monitoreo general.")</f>
        <v>Monitoreo general.</v>
      </c>
      <c r="K34" s="2" t="str">
        <f>IFERROR(__xludf.DUMMYFUNCTION("""COMPUTED_VALUE"""),"Ciudad Juárez")</f>
        <v>Ciudad Juárez</v>
      </c>
      <c r="L34" s="2" t="str">
        <f>IFERROR(__xludf.DUMMYFUNCTION("""COMPUTED_VALUE"""),"Chihuahua")</f>
        <v>Chihuahua</v>
      </c>
      <c r="M34" s="16" t="str">
        <f>IFERROR(__xludf.DUMMYFUNCTION("""COMPUTED_VALUE"""),"https://www.eluniversal.com.mx/estados/el-crematorio-plenitud-un-duelo-que-no-termina-en-ciudad-juarez/")</f>
        <v>https://www.eluniversal.com.mx/estados/el-crematorio-plenitud-un-duelo-que-no-termina-en-ciudad-juarez/</v>
      </c>
      <c r="N34" s="2" t="str">
        <f>IFERROR(__xludf.DUMMYFUNCTION("""COMPUTED_VALUE"""),"Ciudad Juárez.— Lo más horroroso, triste y deshumanizado... así es como cientos defamiliascalifican elhallazgode 383cuerposabandonados y sin incinerar en elcrematorio PlenituddeCiudad Juárez,Chihuahua. A seis meses del hecho que conmocionó al país, las fa"&amp;"milias siguen en su lucha por lajusticiay laverdad, y aunque hasta la fecha suman 150 cuerpos identificados y 139 entregados, cientos siguen con la incertidumbre y el deseo de saber si su familiar forma parte de los restos que aún faltan por reconocer. El"&amp;" hallazgo de los cuerpos ocurrió el 27 de junio, cuando se hicieron públicas faltas administrativas en el crematorio que daba servicio afunerariaslocales, ubicado en lacolonia Granjas Polo Gamboa, a la salida de esta ciudad fronteriza. Para el 29 de junio"&amp;" se informó que había 383 cuerpos embalsamados, sin cremar, que estaban apilados en los cuartos del crematorio. El lugar quedó asegurado por la Fiscalía General del Estado de Chihuahua (FGE) y por la dirección deServicios Periciales, quienes comenzaron co"&amp;"n el traslado de los cuerpos alServicio Médico Forense(Semefo). A la par del aseguramiento del lugar, se detuvo al dueñoJosé Luis A. C., de 39 años, y aFacundo M. R., de 64, este último era el cuidador y murió hace unos días por enfermedad durante su recl"&amp;"usión. Se supo que algunos de los cuerpos tendrían más de cinco años. Entonces comenzó el calvario para cientos de familias que habían contratado a las funerarias que trabajaban con el crematorio:Latinoamericana,Protecto-Deco,Del Carmen,Amor EternoyLuz Di"&amp;"vina. Muchos, al abrir las urnas, se encontraron con tierra y arena. Los involucrados comenzaron a llegar a laFGEpara dejar sus datos e incluso sus cenizas y así determinar si coincidan con los restos que se habían encontrado. Con lo que las familias no c"&amp;"ontaban es que el proceso de identificación sería lento; muchos cuerpos estaban en avanzado estado dedescomposición, de otros no había registro, e incluso algunos ya eran osamenta. Verónica Gamboacuenta aEL UNIVERSALque desde hace seis meses la calma no l"&amp;"lega, pues está en la búsqueda del cuerpo de su papá. “Él falleció el 9 de febrero del año 2022. Su nombre esDesiderio Gamboay pues estoy con la incertidumbre de si está entre esos cuerpos que se encontraron. Desafortunadamente coincidió todo, coincidió l"&amp;"a fecha, la funeraria, que es la funeraria Latinoamericana, y pues también el crematorio Plenitud”. Dice que para ella han sido cinco meses muy difíciles, ya que, aunque se entregaron 150 cuerpos, aún no sabe si en los 232 restantes puede estar el de su p"&amp;"adre. “Mucha gente tal vez piense que exageramos, pero no. Ha sido una pesadilla, así literal, ha sido una pesadilla, estos meses han sido muy difíciles. Al parecer ahorita han identificado 151 cuerpos, se entregaron ya 148, pero restan muchos, muchos cue"&amp;"rpos todavía por identificar, y pues obviamente seguimos con la incertidumbre. “No hay certeza, no nos han dado ni siquiera una pequeña esperanza de que esto llegue a su fin en un corto tiempo, al contrario, las cosas se siguen prolongando y pues vamos a "&amp;"tener que esperar más”, lamenta. Verónica se unió con otras familias que llevan la misma lucha y han realizado diversas actividades y manifestaciones para exigir a las autoridades que se agilice el proceso de identificación de los cuerpos del crematiorio "&amp;"Plenitud. La última acción fue colocar un árbol de Navidad con la fotografía de sus seres queridos en la explanada de la FGE para que el caso no quede en el olvido. “Hemos estado en constante comunicación con la fiscalía, nos reciben de vez en cuando, cad"&amp;"a vez que nosotros lo solicitamos; afortunadamente han tenido esa apertura de recibirnos. Colocamos unárbol navideñodonde tenemos nuestra manta ymemorialpara los cuerpos en la FGE, pero todavía no dan indicios claros de que esto tenga (...) una resolución"&amp;". “Nosotros estamos haciendo lo posible por no dejar que esto quede en el olvido, porque tememos que eso es lo que quieren —las autoridades—, como que nos cansemos y que ya dejemos esto”. Asegura que esta situación les ha afectado en todos los sentidos, d"&amp;"esde lo sicológico hasta en lo económico: “Estamos en un estado, sinceramente, muy malo, muy lamentable y en mi caso particular, pues hubo una ausencia de mi padre en mi niñez. Afortunadamente, él y yo logramos recuperar ese vínculo que teníamos y práctic"&amp;"amente se reivindicó. Teníamos una relación tan bonita, tan hermosa, tan de tanto amor... y fallece mi papá, y para mí fue una segunda pérdida. Es tratar de asimilar el fallecimiento de mi padre, la segunda pérdida de mi padre y sucede esto, y para mí es "&amp;"como un tercer duelo”, detalla. Afirma que en 2026 se va a continuar con la exigencia y no se va a claudicar en la lucha por justicia y el esclarecimiento del hecho. A pocos días de concluir el año 2025, la FGE asegura que se avanza en la identificación d"&amp;"e los cuerpos del crematorio Plenitud. Lo más reciente es que se enviaron más de 110 muestras alInstituto Nacional de Medicina Genómicay, a la fecha, suman 139 cuerpos entregados y van 150 plenamente identificados, 39.16% de avance. La Dirección de Servic"&amp;"ios Periciales y Ciencias Forenses de la FGE informó que el pasado 26 de noviembre fueron entregadas 110 muestras de los cuerpos recuperados en el crematorio al Instituto Nacional de Medicina Genómica. Lo anterior, a través de una colaboración solicitada "&amp;"a laComisión Nacional de Búsquedapara la obtención de perfiles genéticos. Hasta el momento se cuenta con 300 perfiles genéticos, los cuales han sido debidamente procesados y, en cuanto se tengan los resultados, se harán los cotejos correspondientes. Según"&amp;" se detalló, por medio de esta colaboración se tendrá un avance importante en la identificación de los cuerpos. El resto de las muestras se están procesando en los laboratorios de Servicios Periciales de Ciudad Juárez y Chihuahua, como inicio de la segund"&amp;"a fase de identificación de los 383 cuerpos localizados. Seis de las identificaciones se lograron por ID web, a través del sitio web: https://fgewebapps.chihuahua.gob.mx/Crematorio. La fiscalía en Chihuahua ha recibido a las familias afectadas y asegura q"&amp;"ue se busca mantener de forma interrumpida, y empleando todos los recursos a su alcance, los trabajos para la identificación de la totalidad de los cuerpos localizados en el crematorio Plenitud, con la finalidad de brindarles certeza a sus deudos. Mientra"&amp;"s tanto, se continúan las investigaciones en la integración de las carpetas para la judicialización de las 98 denuncias recibidas hasta el momento por el delito defraudeen contra de las funerarias, y se da seguimiento a las causas penales con personas det"&amp;"enidas por este hecho, donde hay empleados de funerarias, el dueño del crematorio; asimsimo, se investiga a personal de laComisión Estatal para Riesgos Sanitarios(Coespris) por posiblesomisiones. Copyright © Todos los derechos reservados | EL UNIVERSAL, C"&amp;"ompañía Periodística Nacional. De no existir previa autorización, queda expresamente prohibida la Publicación, retransmisión, edición y cualquier otro uso de los contenidos Al navegar en este sitio aceptas las cookies que utilizamos para mejorar tu experi"&amp;"encia")</f>
        <v>Ciudad Juárez.— Lo más horroroso, triste y deshumanizado... así es como cientos defamiliascalifican elhallazgode 383cuerposabandonados y sin incinerar en elcrematorio PlenituddeCiudad Juárez,Chihuahua. A seis meses del hecho que conmocionó al país, las familias siguen en su lucha por lajusticiay laverdad, y aunque hasta la fecha suman 150 cuerpos identificados y 139 entregados, cientos siguen con la incertidumbre y el deseo de saber si su familiar forma parte de los restos que aún faltan por reconocer. El hallazgo de los cuerpos ocurrió el 27 de junio, cuando se hicieron públicas faltas administrativas en el crematorio que daba servicio afunerariaslocales, ubicado en lacolonia Granjas Polo Gamboa, a la salida de esta ciudad fronteriza. Para el 29 de junio se informó que había 383 cuerpos embalsamados, sin cremar, que estaban apilados en los cuartos del crematorio. El lugar quedó asegurado por la Fiscalía General del Estado de Chihuahua (FGE) y por la dirección deServicios Periciales, quienes comenzaron con el traslado de los cuerpos alServicio Médico Forense(Semefo). A la par del aseguramiento del lugar, se detuvo al dueñoJosé Luis A. C., de 39 años, y aFacundo M. R., de 64, este último era el cuidador y murió hace unos días por enfermedad durante su reclusión. Se supo que algunos de los cuerpos tendrían más de cinco años. Entonces comenzó el calvario para cientos de familias que habían contratado a las funerarias que trabajaban con el crematorio:Latinoamericana,Protecto-Deco,Del Carmen,Amor EternoyLuz Divina. Muchos, al abrir las urnas, se encontraron con tierra y arena. Los involucrados comenzaron a llegar a laFGEpara dejar sus datos e incluso sus cenizas y así determinar si coincidan con los restos que se habían encontrado. Con lo que las familias no contaban es que el proceso de identificación sería lento; muchos cuerpos estaban en avanzado estado dedescomposición, de otros no había registro, e incluso algunos ya eran osamenta. Verónica Gamboacuenta aEL UNIVERSALque desde hace seis meses la calma no llega, pues está en la búsqueda del cuerpo de su papá. “Él falleció el 9 de febrero del año 2022. Su nombre esDesiderio Gamboay pues estoy con la incertidumbre de si está entre esos cuerpos que se encontraron. Desafortunadamente coincidió todo, coincidió la fecha, la funeraria, que es la funeraria Latinoamericana, y pues también el crematorio Plenitud”. Dice que para ella han sido cinco meses muy difíciles, ya que, aunque se entregaron 150 cuerpos, aún no sabe si en los 232 restantes puede estar el de su padre. “Mucha gente tal vez piense que exageramos, pero no. Ha sido una pesadilla, así literal, ha sido una pesadilla, estos meses han sido muy difíciles. Al parecer ahorita han identificado 151 cuerpos, se entregaron ya 148, pero restan muchos, muchos cuerpos todavía por identificar, y pues obviamente seguimos con la incertidumbre. “No hay certeza, no nos han dado ni siquiera una pequeña esperanza de que esto llegue a su fin en un corto tiempo, al contrario, las cosas se siguen prolongando y pues vamos a tener que esperar más”, lamenta. Verónica se unió con otras familias que llevan la misma lucha y han realizado diversas actividades y manifestaciones para exigir a las autoridades que se agilice el proceso de identificación de los cuerpos del crematiorio Plenitud. La última acción fue colocar un árbol de Navidad con la fotografía de sus seres queridos en la explanada de la FGE para que el caso no quede en el olvido. “Hemos estado en constante comunicación con la fiscalía, nos reciben de vez en cuando, cada vez que nosotros lo solicitamos; afortunadamente han tenido esa apertura de recibirnos. Colocamos unárbol navideñodonde tenemos nuestra manta ymemorialpara los cuerpos en la FGE, pero todavía no dan indicios claros de que esto tenga (...) una resolución. “Nosotros estamos haciendo lo posible por no dejar que esto quede en el olvido, porque tememos que eso es lo que quieren —las autoridades—, como que nos cansemos y que ya dejemos esto”. Asegura que esta situación les ha afectado en todos los sentidos, desde lo sicológico hasta en lo económico: “Estamos en un estado, sinceramente, muy malo, muy lamentable y en mi caso particular, pues hubo una ausencia de mi padre en mi niñez. Afortunadamente, él y yo logramos recuperar ese vínculo que teníamos y prácticamente se reivindicó. Teníamos una relación tan bonita, tan hermosa, tan de tanto amor... y fallece mi papá, y para mí fue una segunda pérdida. Es tratar de asimilar el fallecimiento de mi padre, la segunda pérdida de mi padre y sucede esto, y para mí es como un tercer duelo”, detalla. Afirma que en 2026 se va a continuar con la exigencia y no se va a claudicar en la lucha por justicia y el esclarecimiento del hecho. A pocos días de concluir el año 2025, la FGE asegura que se avanza en la identificación de los cuerpos del crematorio Plenitud. Lo más reciente es que se enviaron más de 110 muestras alInstituto Nacional de Medicina Genómicay, a la fecha, suman 139 cuerpos entregados y van 150 plenamente identificados, 39.16% de avance. La Dirección de Servicios Periciales y Ciencias Forenses de la FGE informó que el pasado 26 de noviembre fueron entregadas 110 muestras de los cuerpos recuperados en el crematorio al Instituto Nacional de Medicina Genómica. Lo anterior, a través de una colaboración solicitada a laComisión Nacional de Búsquedapara la obtención de perfiles genéticos. Hasta el momento se cuenta con 300 perfiles genéticos, los cuales han sido debidamente procesados y, en cuanto se tengan los resultados, se harán los cotejos correspondientes. Según se detalló, por medio de esta colaboración se tendrá un avance importante en la identificación de los cuerpos. El resto de las muestras se están procesando en los laboratorios de Servicios Periciales de Ciudad Juárez y Chihuahua, como inicio de la segunda fase de identificación de los 383 cuerpos localizados. Seis de las identificaciones se lograron por ID web, a través del sitio web: https://fgewebapps.chihuahua.gob.mx/Crematorio. La fiscalía en Chihuahua ha recibido a las familias afectadas y asegura que se busca mantener de forma interrumpida, y empleando todos los recursos a su alcance, los trabajos para la identificación de la totalidad de los cuerpos localizados en el crematorio Plenitud, con la finalidad de brindarles certeza a sus deudos. Mientras tanto, se continúan las investigaciones en la integración de las carpetas para la judicialización de las 98 denuncias recibidas hasta el momento por el delito defraudeen contra de las funerarias, y se da seguimiento a las causas penales con personas detenidas por este hecho, donde hay empleados de funerarias, el dueño del crematorio; asimsimo, se investiga a personal de laComisión Estatal para Riesgos Sanitarios(Coespris) por posiblesomisiones.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4" s="15">
        <f>IFERROR(__xludf.DUMMYFUNCTION("""COMPUTED_VALUE"""),0.389)</f>
        <v>0.389</v>
      </c>
      <c r="P34" s="2"/>
      <c r="Q34" s="17">
        <f>IFERROR(__xludf.DUMMYFUNCTION("""COMPUTED_VALUE"""),8.0)</f>
        <v>8</v>
      </c>
      <c r="R34" s="2" t="str">
        <f>IFERROR(__xludf.DUMMYFUNCTION("""COMPUTED_VALUE"""),"High")</f>
        <v>High</v>
      </c>
      <c r="S34" s="17">
        <f>IFERROR(__xludf.DUMMYFUNCTION("""COMPUTED_VALUE"""),3.0)</f>
        <v>3</v>
      </c>
      <c r="T34" s="17">
        <f>IFERROR(__xludf.DUMMYFUNCTION("""COMPUTED_VALUE"""),0.0)</f>
        <v>0</v>
      </c>
      <c r="U34" s="14">
        <f>IFERROR(__xludf.DUMMYFUNCTION("""COMPUTED_VALUE"""),3.0)</f>
        <v>3</v>
      </c>
      <c r="V34" s="14">
        <v>2025.0</v>
      </c>
      <c r="W34" s="2" t="s">
        <v>1168</v>
      </c>
      <c r="X34" s="2" t="s">
        <v>1169</v>
      </c>
      <c r="Y34" s="13" t="s">
        <v>23</v>
      </c>
      <c r="Z34" s="14">
        <v>0.0</v>
      </c>
      <c r="AA34" s="14">
        <v>0.0</v>
      </c>
      <c r="AB34" s="14">
        <v>0.0</v>
      </c>
      <c r="AC34" s="14">
        <v>0.0</v>
      </c>
      <c r="AD34" s="2">
        <v>0.0</v>
      </c>
      <c r="AE34" s="2">
        <v>1.0</v>
      </c>
      <c r="AF34" s="2">
        <v>12.0</v>
      </c>
      <c r="AG34" s="2" t="s">
        <v>1187</v>
      </c>
      <c r="AH34" s="2">
        <v>0.0</v>
      </c>
    </row>
    <row r="35" ht="15.75" customHeight="1">
      <c r="A35" s="2" t="str">
        <f>IFERROR(__xludf.DUMMYFUNCTION("""COMPUTED_VALUE"""),"El Universal")</f>
        <v>El Universal</v>
      </c>
      <c r="B35" s="12" t="str">
        <f>IFERROR(__xludf.DUMMYFUNCTION("""COMPUTED_VALUE"""),"Descarrilamientos y choques; estos son los incidentes en el Tren Maya y el Tren Interoceánico entre 2024 y 2025")</f>
        <v>Descarrilamientos y choques; estos son los incidentes en el Tren Maya y el Tren Interoceánico entre 2024 y 2025</v>
      </c>
      <c r="C35" s="13" t="str">
        <f>IFERROR(__xludf.DUMMYFUNCTION("""COMPUTED_VALUE"""),"2025-12-29")</f>
        <v>2025-12-29</v>
      </c>
      <c r="D35" s="14">
        <f>IFERROR(__xludf.DUMMYFUNCTION("""COMPUTED_VALUE"""),4.0)</f>
        <v>4</v>
      </c>
      <c r="E35" s="15">
        <f>IFERROR(__xludf.DUMMYFUNCTION("""COMPUTED_VALUE"""),-0.542)</f>
        <v>-0.542</v>
      </c>
      <c r="F35" s="2" t="str">
        <f>IFERROR(__xludf.DUMMYFUNCTION("""COMPUTED_VALUE"""),"Negativo")</f>
        <v>Negativo</v>
      </c>
      <c r="G35" s="15">
        <f>IFERROR(__xludf.DUMMYFUNCTION("""COMPUTED_VALUE"""),0.542)</f>
        <v>0.542</v>
      </c>
      <c r="H35" s="2" t="str">
        <f>IFERROR(__xludf.DUMMYFUNCTION("""COMPUTED_VALUE"""),"Accidente de tránsito o choque vial")</f>
        <v>Accidente de tránsito o choque vial</v>
      </c>
      <c r="I35" s="2" t="str">
        <f>IFERROR(__xludf.DUMMYFUNCTION("""COMPUTED_VALUE"""),"choque")</f>
        <v>choque</v>
      </c>
      <c r="J35" s="2" t="str">
        <f>IFERROR(__xludf.DUMMYFUNCTION("""COMPUTED_VALUE"""),"Soporte DRV: Seguros/Guía post-siniestro.")</f>
        <v>Soporte DRV: Seguros/Guía post-siniestro.</v>
      </c>
      <c r="K35" s="2" t="str">
        <f>IFERROR(__xludf.DUMMYFUNCTION("""COMPUTED_VALUE"""),"Sonora")</f>
        <v>Sonora</v>
      </c>
      <c r="L35" s="2" t="str">
        <f>IFERROR(__xludf.DUMMYFUNCTION("""COMPUTED_VALUE"""),"Sonora")</f>
        <v>Sonora</v>
      </c>
      <c r="M35" s="16" t="str">
        <f>IFERROR(__xludf.DUMMYFUNCTION("""COMPUTED_VALUE"""),"https://www.eluniversal.com.mx/estados/descarrilamientos-y-choques-estos-son-los-incidentes-en-el-tren-maya-y-el-tren-interoceanico-entre-2024-y-2025/")</f>
        <v>https://www.eluniversal.com.mx/estados/descarrilamientos-y-choques-estos-son-los-incidentes-en-el-tren-maya-y-el-tren-interoceanico-entre-2024-y-2025/</v>
      </c>
      <c r="N35" s="2" t="str">
        <f>IFERROR(__xludf.DUMMYFUNCTION("""COMPUTED_VALUE"""),"Entre marzo de 2024 y diciembre de 2025, distintos proyectos ferroviarios federales, principalmente el Tren Maya y el Tren Interoceánico, registraron una serie deincidentesque incluyen descarrilamientos ychoquescon vehículos de carga, algunos de ellos con"&amp;" personas lesionadas y otros con afectaciones únicamente materiales. El primer hecho ocurrió el25 de marzo de 2024, cuando un vagón delTren Mayase descarrilóen el tramo Mérida–Campeche, a la altura del municipio de Tixkokob, Yucatán. De acuerdo con los re"&amp;"portes oficiales, el incidente no dejó personas lesionadas, aunque obligó a suspender temporalmente la circulación. El secretario de la Defensa Nacional, general Luis Cresencio Sandoval informó que el descarrilamiento del Tren Maya en la estación de Tixko"&amp;"kob, Yucatán, pudo haberse ocasionado por la falla en un clamps, sistema para el cambio de vía. “Este sistema es automatizado, pero todavía no está completo y se hace de manera manual, personal de garroteros son los que hacen esta operación, estos aparato"&amp;"s se llaman clamps son fijadores del aparato de vía"", explicó. Posteriormente, el30 de enero de 2025, unvagón de cargadel Tren Maya se descarriló y volcó en la estación Limones, enQuintana Roo, dejando como saldo una persona lesionada, además de daños en"&amp;" la infraestructura ferroviaria. De acuerdo con los hechos, el vagón salió parcialmente de la vía, pero pudo reanudar actividades tras labores del personal del tren y la ayuda de una grúa.[Publicidad] El incidente se difundió rápidamente en redes sociales"&amp;", donde se observaron imágenes del vagón volcado, el cual transportaba alrededor deuna tonelada de balasto. Al lugar acudieron cuerpos de seguridad y habitantes de la zona para atender la emergencia.[Publicidad] Los incidentes también alcanzaron al Tren I"&amp;"nteroceánico. El 10 de julio de 2025, una de sus unidades chocó contra un tráiler que presuntamente intentó ganarle el paso en un cruce a nivel cercano a la estación Pino Suárez, en lalínea FA. Ante este percance, arribaron al sitio autoridades de segurid"&amp;"ad y protección civil, así como personal del mismo tren para valorar los daños y atender la situación. A pesar de lo aparatoso del percance, no se reportaron lesionados ni víctimas mortales. El 19 de agosto del 2025, un vagón del Tren Maya se descarriló e"&amp;"n la estación deIzamaltras chocar con otra unidad, según relatan los usuarios que iban a bordo. Una de las pasajeras relató a EL UNIVERSAL que el impacto del choque se sintió contundente y fue provocado por una falla que hubo al momento decambiar las vías"&amp;"del tren, según le informaron las autoridades. No se reportaron personas lesionadas del incidente El 20 de diciembre de 2025, se registró otro percance en el corredor interoceánico, cuando una unidad del Tren Interoceánicoseimpactó con una pipa de asfalto"&amp;"que habría intentado ganarle el paso a la altura del kilómetro 174, en la Estación Cardona, sobre la rutaCoatzacoalcos–Pakal Ná. Autoridades federales reportaron que ninguno de los 148pasajerosque viajaban en el tren, que cubría laruta Coatzacoalcos-Pakal"&amp;" Ná, ni la tripulación resultaron lesionados; no se registran pérdidas humanas, destacaron. Por otro lado, el chofer del tráiler que impactó el Tren resultó lesionado al intentar ganarle el paso. Finalmente, el 28 de diciembre de 2025, una unidad de laLín"&amp;"ea ZdelTren Interoceánicose descarriló cerca de la estaciónChivela, en la comunidad de Nizanda en Oaxaca, a unos 99 kilómetros de la terminal Salina Cruz. El tren, con241 pasajerosy 9 tripulantes, se volcó hacía el barranco, provocando 13 personas falleci"&amp;"das y 98 están lesionadas, según lo informó la Secretaría de Marina. Las causas del incidente aun no han sido reveladas. Copyright © Todos los derechos reservados | EL UNIVERSAL, Compañía Periodística Nacional. De no existir previa autorización, queda exp"&amp;"resamente prohibida la Publicación, retransmisión, edición y cualquier otro uso de los contenidos Al navegar en este sitio aceptas las cookies que utilizamos para mejorar tu experiencia")</f>
        <v>Entre marzo de 2024 y diciembre de 2025, distintos proyectos ferroviarios federales, principalmente el Tren Maya y el Tren Interoceánico, registraron una serie deincidentesque incluyen descarrilamientos ychoquescon vehículos de carga, algunos de ellos con personas lesionadas y otros con afectaciones únicamente materiales. El primer hecho ocurrió el25 de marzo de 2024, cuando un vagón delTren Mayase descarrilóen el tramo Mérida–Campeche, a la altura del municipio de Tixkokob, Yucatán. De acuerdo con los reportes oficiales, el incidente no dejó personas lesionadas, aunque obligó a suspender temporalmente la circulación. El secretario de la Defensa Nacional, general Luis Cresencio Sandoval informó que el descarrilamiento del Tren Maya en la estación de Tixkokob, Yucatán, pudo haberse ocasionado por la falla en un clamps, sistema para el cambio de vía. “Este sistema es automatizado, pero todavía no está completo y se hace de manera manual, personal de garroteros son los que hacen esta operación, estos aparatos se llaman clamps son fijadores del aparato de vía", explicó. Posteriormente, el30 de enero de 2025, unvagón de cargadel Tren Maya se descarriló y volcó en la estación Limones, enQuintana Roo, dejando como saldo una persona lesionada, además de daños en la infraestructura ferroviaria. De acuerdo con los hechos, el vagón salió parcialmente de la vía, pero pudo reanudar actividades tras labores del personal del tren y la ayuda de una grúa.[Publicidad] El incidente se difundió rápidamente en redes sociales, donde se observaron imágenes del vagón volcado, el cual transportaba alrededor deuna tonelada de balasto. Al lugar acudieron cuerpos de seguridad y habitantes de la zona para atender la emergencia.[Publicidad] Los incidentes también alcanzaron al Tren Interoceánico. El 10 de julio de 2025, una de sus unidades chocó contra un tráiler que presuntamente intentó ganarle el paso en un cruce a nivel cercano a la estación Pino Suárez, en lalínea FA. Ante este percance, arribaron al sitio autoridades de seguridad y protección civil, así como personal del mismo tren para valorar los daños y atender la situación. A pesar de lo aparatoso del percance, no se reportaron lesionados ni víctimas mortales. El 19 de agosto del 2025, un vagón del Tren Maya se descarriló en la estación deIzamaltras chocar con otra unidad, según relatan los usuarios que iban a bordo. Una de las pasajeras relató a EL UNIVERSAL que el impacto del choque se sintió contundente y fue provocado por una falla que hubo al momento decambiar las víasdel tren, según le informaron las autoridades. No se reportaron personas lesionadas del incidente El 20 de diciembre de 2025, se registró otro percance en el corredor interoceánico, cuando una unidad del Tren Interoceánicoseimpactó con una pipa de asfaltoque habría intentado ganarle el paso a la altura del kilómetro 174, en la Estación Cardona, sobre la rutaCoatzacoalcos–Pakal Ná. Autoridades federales reportaron que ninguno de los 148pasajerosque viajaban en el tren, que cubría laruta Coatzacoalcos-Pakal Ná, ni la tripulación resultaron lesionados; no se registran pérdidas humanas, destacaron. Por otro lado, el chofer del tráiler que impactó el Tren resultó lesionado al intentar ganarle el paso. Finalmente, el 28 de diciembre de 2025, una unidad de laLínea ZdelTren Interoceánicose descarriló cerca de la estaciónChivela, en la comunidad de Nizanda en Oaxaca, a unos 99 kilómetros de la terminal Salina Cruz. El tren, con241 pasajerosy 9 tripulantes, se volcó hacía el barranco, provocando 13 personas fallecidas y 98 están lesionadas, según lo informó la Secretaría de Marina. Las causas del incidente aun no han sido reveladas.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5" s="15">
        <f>IFERROR(__xludf.DUMMYFUNCTION("""COMPUTED_VALUE"""),1.0)</f>
        <v>1</v>
      </c>
      <c r="P35" s="2"/>
      <c r="Q35" s="17">
        <f>IFERROR(__xludf.DUMMYFUNCTION("""COMPUTED_VALUE"""),5.0)</f>
        <v>5</v>
      </c>
      <c r="R35" s="2" t="str">
        <f>IFERROR(__xludf.DUMMYFUNCTION("""COMPUTED_VALUE"""),"High")</f>
        <v>High</v>
      </c>
      <c r="S35" s="17">
        <f>IFERROR(__xludf.DUMMYFUNCTION("""COMPUTED_VALUE"""),2.0)</f>
        <v>2</v>
      </c>
      <c r="T35" s="17">
        <f>IFERROR(__xludf.DUMMYFUNCTION("""COMPUTED_VALUE"""),0.0)</f>
        <v>0</v>
      </c>
      <c r="U35" s="14">
        <f>IFERROR(__xludf.DUMMYFUNCTION("""COMPUTED_VALUE"""),3.0)</f>
        <v>3</v>
      </c>
      <c r="V35" s="14">
        <v>2025.0</v>
      </c>
      <c r="W35" s="2" t="s">
        <v>1168</v>
      </c>
      <c r="X35" s="2" t="s">
        <v>1169</v>
      </c>
      <c r="Y35" s="13" t="s">
        <v>23</v>
      </c>
      <c r="Z35" s="14">
        <v>0.0</v>
      </c>
      <c r="AA35" s="14">
        <v>0.0</v>
      </c>
      <c r="AB35" s="14">
        <v>0.0</v>
      </c>
      <c r="AC35" s="14">
        <v>0.0</v>
      </c>
      <c r="AD35" s="2">
        <v>0.0</v>
      </c>
      <c r="AE35" s="2">
        <v>1.0</v>
      </c>
      <c r="AF35" s="2">
        <v>12.0</v>
      </c>
      <c r="AG35" s="2" t="s">
        <v>1182</v>
      </c>
      <c r="AH35" s="2">
        <v>0.0</v>
      </c>
    </row>
    <row r="36" ht="15.75" customHeight="1">
      <c r="A36" s="2" t="str">
        <f>IFERROR(__xludf.DUMMYFUNCTION("""COMPUTED_VALUE"""),"El Universal")</f>
        <v>El Universal</v>
      </c>
      <c r="B36" s="12" t="str">
        <f>IFERROR(__xludf.DUMMYFUNCTION("""COMPUTED_VALUE"""),"Encuentran sin vida a Nataly Montserrat en área verde de Cancún; llevaba cuatro días desaparecida")</f>
        <v>Encuentran sin vida a Nataly Montserrat en área verde de Cancún; llevaba cuatro días desaparecida</v>
      </c>
      <c r="C36" s="13" t="str">
        <f>IFERROR(__xludf.DUMMYFUNCTION("""COMPUTED_VALUE"""),"2025-12-28")</f>
        <v>2025-12-28</v>
      </c>
      <c r="D36" s="14">
        <f>IFERROR(__xludf.DUMMYFUNCTION("""COMPUTED_VALUE"""),1.0)</f>
        <v>1</v>
      </c>
      <c r="E36" s="15">
        <f>IFERROR(__xludf.DUMMYFUNCTION("""COMPUTED_VALUE"""),0.0)</f>
        <v>0</v>
      </c>
      <c r="F36" s="2" t="str">
        <f>IFERROR(__xludf.DUMMYFUNCTION("""COMPUTED_VALUE"""),"Neutral")</f>
        <v>Neutral</v>
      </c>
      <c r="G36" s="15">
        <f>IFERROR(__xludf.DUMMYFUNCTION("""COMPUTED_VALUE"""),0.5685)</f>
        <v>0.5685</v>
      </c>
      <c r="H36" s="2" t="str">
        <f>IFERROR(__xludf.DUMMYFUNCTION("""COMPUTED_VALUE"""),"Otros temas generales")</f>
        <v>Otros temas generales</v>
      </c>
      <c r="I36" s="2" t="str">
        <f>IFERROR(__xludf.DUMMYFUNCTION("""COMPUTED_VALUE"""),"N/A")</f>
        <v>N/A</v>
      </c>
      <c r="J36" s="2" t="str">
        <f>IFERROR(__xludf.DUMMYFUNCTION("""COMPUTED_VALUE"""),"Descartar / Baja prioridad.")</f>
        <v>Descartar / Baja prioridad.</v>
      </c>
      <c r="K36" s="2" t="str">
        <f>IFERROR(__xludf.DUMMYFUNCTION("""COMPUTED_VALUE"""),"Cancún")</f>
        <v>Cancún</v>
      </c>
      <c r="L36" s="2" t="str">
        <f>IFERROR(__xludf.DUMMYFUNCTION("""COMPUTED_VALUE"""),"Quintana Roo")</f>
        <v>Quintana Roo</v>
      </c>
      <c r="M36" s="16" t="str">
        <f>IFERROR(__xludf.DUMMYFUNCTION("""COMPUTED_VALUE"""),"https://www.eluniversal.com.mx/estados/encuentran-sin-vida-a-nataly-montserrat-en-area-verde-de-cancun-llevaba-cuatro-dias-desaparecida/")</f>
        <v>https://www.eluniversal.com.mx/estados/encuentran-sin-vida-a-nataly-montserrat-en-area-verde-de-cancun-llevaba-cuatro-dias-desaparecida/</v>
      </c>
      <c r="N36" s="2" t="str">
        <f>IFERROR(__xludf.DUMMYFUNCTION("""COMPUTED_VALUE"""),"Cancún, Quintana Roo.- El cuerpo deNataly Montserrat González Barro, cuya ausencia había activado unaficha de búsquedabajo elProtocolo Alba, fue encontrado en unárea verdelocalizada frente alfraccionamiento Jardines del Sur 6, en la ciudad deCancún. Confo"&amp;"rme a la versión de la Fiscalía General del Estado de Quintana Roo (FGE), al momento del hallazgo no se observaron signos deviolencia. La institución informó que las investigaciones se desarrollan conforme a los protocolos establecidos, con enfoque depers"&amp;"pectiva de género, a fin de esclarecer lo ocurrido. Añadió que se llevan a cabo las diligencias correspondientes con el fin de integrar lacarpeta de investigacióny analizar los indicios recabados en el lugar. Los familiares de la víctima reciben acompañam"&amp;"iento y atención integral durante el desarrollo del proceso ministerial, según lo manifestado por laFGE. Esta joven, familiar de la influencerItzel Barro, pareja del comedianteCarlos ""El Capi"" Pérez, había desaparecido el pasado 25 de diciembre, pero el"&amp;" reporte de no localización se inició el 27.[Publicidad] Este domingo autoridades de Cancún informaron que el Grupo de Búsqueda del municipio se había puesto en marcha para buscar a la joven, en coordinación con otras instituciones que forman parte delOpe"&amp;"rativo Enjambre. Barroconfirmó el hallazgo en sus redes sociales y señaló que por indicaciones de la familia no brindarían detalles del suceso.[Publicidad] Copyright © Todos los derechos reservados | EL UNIVERSAL, Compañía Periodística Nacional. De no exi"&amp;"stir previa autorización, queda expresamente prohibida la Publicación, retransmisión, edición y cualquier otro uso de los contenidos Al navegar en este sitio aceptas las cookies que utilizamos para mejorar tu experiencia")</f>
        <v>Cancún, Quintana Roo.- El cuerpo deNataly Montserrat González Barro, cuya ausencia había activado unaficha de búsquedabajo elProtocolo Alba, fue encontrado en unárea verdelocalizada frente alfraccionamiento Jardines del Sur 6, en la ciudad deCancún. Conforme a la versión de la Fiscalía General del Estado de Quintana Roo (FGE), al momento del hallazgo no se observaron signos deviolencia. La institución informó que las investigaciones se desarrollan conforme a los protocolos establecidos, con enfoque deperspectiva de género, a fin de esclarecer lo ocurrido. Añadió que se llevan a cabo las diligencias correspondientes con el fin de integrar lacarpeta de investigacióny analizar los indicios recabados en el lugar. Los familiares de la víctima reciben acompañamiento y atención integral durante el desarrollo del proceso ministerial, según lo manifestado por laFGE. Esta joven, familiar de la influencerItzel Barro, pareja del comedianteCarlos "El Capi" Pérez, había desaparecido el pasado 25 de diciembre, pero el reporte de no localización se inició el 27.[Publicidad] Este domingo autoridades de Cancún informaron que el Grupo de Búsqueda del municipio se había puesto en marcha para buscar a la joven, en coordinación con otras instituciones que forman parte delOperativo Enjambre. Barroconfirmó el hallazgo en sus redes sociales y señaló que por indicaciones de la familia no brindarían detalles del suceso.[Publicidad]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6" s="15">
        <f>IFERROR(__xludf.DUMMYFUNCTION("""COMPUTED_VALUE"""),0.4112)</f>
        <v>0.4112</v>
      </c>
      <c r="P36" s="2"/>
      <c r="Q36" s="17">
        <f>IFERROR(__xludf.DUMMYFUNCTION("""COMPUTED_VALUE"""),8.5)</f>
        <v>8.5</v>
      </c>
      <c r="R36" s="2" t="str">
        <f>IFERROR(__xludf.DUMMYFUNCTION("""COMPUTED_VALUE"""),"High")</f>
        <v>High</v>
      </c>
      <c r="S36" s="17">
        <f>IFERROR(__xludf.DUMMYFUNCTION("""COMPUTED_VALUE"""),3.5)</f>
        <v>3.5</v>
      </c>
      <c r="T36" s="17">
        <f>IFERROR(__xludf.DUMMYFUNCTION("""COMPUTED_VALUE"""),0.0)</f>
        <v>0</v>
      </c>
      <c r="U36" s="14">
        <f>IFERROR(__xludf.DUMMYFUNCTION("""COMPUTED_VALUE"""),3.0)</f>
        <v>3</v>
      </c>
      <c r="V36" s="14">
        <v>2025.0</v>
      </c>
      <c r="W36" s="2" t="s">
        <v>1168</v>
      </c>
      <c r="X36" s="2" t="s">
        <v>1188</v>
      </c>
      <c r="Y36" s="13" t="s">
        <v>171</v>
      </c>
      <c r="Z36" s="14">
        <v>0.0</v>
      </c>
      <c r="AA36" s="14">
        <v>0.0</v>
      </c>
      <c r="AB36" s="14">
        <v>0.0</v>
      </c>
      <c r="AC36" s="14">
        <v>0.0</v>
      </c>
      <c r="AD36" s="2">
        <v>0.0</v>
      </c>
      <c r="AE36" s="2">
        <v>0.0</v>
      </c>
      <c r="AF36" s="2">
        <v>12.0</v>
      </c>
      <c r="AG36" s="2" t="s">
        <v>1171</v>
      </c>
      <c r="AH36" s="2">
        <v>0.0</v>
      </c>
    </row>
    <row r="37" ht="15.75" customHeight="1">
      <c r="A37" s="2" t="str">
        <f>IFERROR(__xludf.DUMMYFUNCTION("""COMPUTED_VALUE"""),"El Universal")</f>
        <v>El Universal</v>
      </c>
      <c r="B37" s="12" t="str">
        <f>IFERROR(__xludf.DUMMYFUNCTION("""COMPUTED_VALUE"""),"""El tren venía muy fuerte, no sabemos si se quedó sin frenos""; pasajero narra momento del descarrilamiento del Tren Interoceánico")</f>
        <v>"El tren venía muy fuerte, no sabemos si se quedó sin frenos"; pasajero narra momento del descarrilamiento del Tren Interoceánico</v>
      </c>
      <c r="C37" s="13" t="str">
        <f>IFERROR(__xludf.DUMMYFUNCTION("""COMPUTED_VALUE"""),"2025-12-28")</f>
        <v>2025-12-28</v>
      </c>
      <c r="D37" s="14">
        <f>IFERROR(__xludf.DUMMYFUNCTION("""COMPUTED_VALUE"""),2.0)</f>
        <v>2</v>
      </c>
      <c r="E37" s="15">
        <f>IFERROR(__xludf.DUMMYFUNCTION("""COMPUTED_VALUE"""),0.0)</f>
        <v>0</v>
      </c>
      <c r="F37" s="2" t="str">
        <f>IFERROR(__xludf.DUMMYFUNCTION("""COMPUTED_VALUE"""),"Neutral")</f>
        <v>Neutral</v>
      </c>
      <c r="G37" s="15">
        <f>IFERROR(__xludf.DUMMYFUNCTION("""COMPUTED_VALUE"""),0.6665)</f>
        <v>0.6665</v>
      </c>
      <c r="H37" s="2" t="str">
        <f>IFERROR(__xludf.DUMMYFUNCTION("""COMPUTED_VALUE"""),"Accidente de tránsito o choque vial")</f>
        <v>Accidente de tránsito o choque vial</v>
      </c>
      <c r="I37" s="2" t="str">
        <f>IFERROR(__xludf.DUMMYFUNCTION("""COMPUTED_VALUE"""),"N/A")</f>
        <v>N/A</v>
      </c>
      <c r="J37" s="2" t="str">
        <f>IFERROR(__xludf.DUMMYFUNCTION("""COMPUTED_VALUE"""),"Seguridad Vial: Monitoreo de zona.")</f>
        <v>Seguridad Vial: Monitoreo de zona.</v>
      </c>
      <c r="K37" s="2" t="str">
        <f>IFERROR(__xludf.DUMMYFUNCTION("""COMPUTED_VALUE"""),"Sinaloa")</f>
        <v>Sinaloa</v>
      </c>
      <c r="L37" s="2" t="str">
        <f>IFERROR(__xludf.DUMMYFUNCTION("""COMPUTED_VALUE"""),"Sinaloa")</f>
        <v>Sinaloa</v>
      </c>
      <c r="M37" s="16" t="str">
        <f>IFERROR(__xludf.DUMMYFUNCTION("""COMPUTED_VALUE"""),"https://www.eluniversal.com.mx/estados/el-tren-venia-muy-fuerte-no-sabemos-si-se-quedo-sin-frenos-pasajero-narra-momento-del-descarrilamiento-del-tren-interoceanico/")</f>
        <v>https://www.eluniversal.com.mx/estados/el-tren-venia-muy-fuerte-no-sabemos-si-se-quedo-sin-frenos-pasajero-narra-momento-del-descarrilamiento-del-tren-interoceanico/</v>
      </c>
      <c r="N37" s="2" t="str">
        <f>IFERROR(__xludf.DUMMYFUNCTION("""COMPUTED_VALUE"""),"Un testimonio del accidente delTren Interoceánicocompartió a través de un video difundido en redes sociales su experiencia tras los hechos. En las imágenes de observa como algunas vagones se encuentranvolcados. El testigo informó que viajaba en compañía d"&amp;"e su familia en el último vagón. ""Sentimos que el trenvenía muy fuertey no sabemos si se quedó sin frenos"" mencionó el hombre durante la grabación. Finalizó mencionado que solo tienegolpes levesy que continuarán auxiliando a las personas que lo requiera"&amp;"n. Otro video muestra cómo elementos deProtección Civilretiran en camilla a una mujer lesionada, quien porta collarín. Alrededor se observan más elementos de este servicio público, además de elementos de la Marina y otros ciudadanos.[Publicidad] Copyright"&amp;" © Todos los derechos reservados | EL UNIVERSAL, Compañía Periodística Nacional. De no existir previa autorización, queda expresamente prohibida la Publicación, retransmisión, edición y cualquier otro uso de los contenidos Al navegar en este sitio aceptas"&amp;" las cookies que utilizamos para mejorar tu experiencia")</f>
        <v>Un testimonio del accidente delTren Interoceánicocompartió a través de un video difundido en redes sociales su experiencia tras los hechos. En las imágenes de observa como algunas vagones se encuentranvolcados. El testigo informó que viajaba en compañía de su familia en el último vagón. "Sentimos que el trenvenía muy fuertey no sabemos si se quedó sin frenos" mencionó el hombre durante la grabación. Finalizó mencionado que solo tienegolpes levesy que continuarán auxiliando a las personas que lo requieran. Otro video muestra cómo elementos deProtección Civilretiran en camilla a una mujer lesionada, quien porta collarín. Alrededor se observan más elementos de este servicio público, además de elementos de la Marina y otros ciudadanos.[Publicidad]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7" s="15">
        <f>IFERROR(__xludf.DUMMYFUNCTION("""COMPUTED_VALUE"""),0.7029)</f>
        <v>0.7029</v>
      </c>
      <c r="P37" s="2"/>
      <c r="Q37" s="17">
        <f>IFERROR(__xludf.DUMMYFUNCTION("""COMPUTED_VALUE"""),4.0)</f>
        <v>4</v>
      </c>
      <c r="R37" s="2" t="str">
        <f>IFERROR(__xludf.DUMMYFUNCTION("""COMPUTED_VALUE"""),"Low")</f>
        <v>Low</v>
      </c>
      <c r="S37" s="17">
        <f>IFERROR(__xludf.DUMMYFUNCTION("""COMPUTED_VALUE"""),0.0)</f>
        <v>0</v>
      </c>
      <c r="T37" s="17">
        <f>IFERROR(__xludf.DUMMYFUNCTION("""COMPUTED_VALUE"""),0.0)</f>
        <v>0</v>
      </c>
      <c r="U37" s="14">
        <f>IFERROR(__xludf.DUMMYFUNCTION("""COMPUTED_VALUE"""),3.0)</f>
        <v>3</v>
      </c>
      <c r="V37" s="14">
        <v>2025.0</v>
      </c>
      <c r="W37" s="2" t="s">
        <v>1168</v>
      </c>
      <c r="X37" s="2" t="s">
        <v>1188</v>
      </c>
      <c r="Y37" s="13" t="s">
        <v>171</v>
      </c>
      <c r="Z37" s="14">
        <v>0.0</v>
      </c>
      <c r="AA37" s="14">
        <v>0.0</v>
      </c>
      <c r="AB37" s="14">
        <v>0.0</v>
      </c>
      <c r="AC37" s="14">
        <v>0.0</v>
      </c>
      <c r="AD37" s="2">
        <v>0.0</v>
      </c>
      <c r="AE37" s="2">
        <v>0.0</v>
      </c>
      <c r="AF37" s="2">
        <v>12.0</v>
      </c>
      <c r="AG37" s="2" t="s">
        <v>1172</v>
      </c>
      <c r="AH37" s="2">
        <v>0.0</v>
      </c>
    </row>
    <row r="38" ht="15.75" customHeight="1">
      <c r="A38" s="2" t="str">
        <f>IFERROR(__xludf.DUMMYFUNCTION("""COMPUTED_VALUE"""),"El Universal")</f>
        <v>El Universal</v>
      </c>
      <c r="B38" s="12" t="str">
        <f>IFERROR(__xludf.DUMMYFUNCTION("""COMPUTED_VALUE"""),"Identifican a dos de los tres estudiantes desaparecidos en Acapulco; restos tenían señas de tortura")</f>
        <v>Identifican a dos de los tres estudiantes desaparecidos en Acapulco; restos tenían señas de tortura</v>
      </c>
      <c r="C38" s="13" t="str">
        <f>IFERROR(__xludf.DUMMYFUNCTION("""COMPUTED_VALUE"""),"2025-12-28")</f>
        <v>2025-12-28</v>
      </c>
      <c r="D38" s="14">
        <f>IFERROR(__xludf.DUMMYFUNCTION("""COMPUTED_VALUE"""),5.0)</f>
        <v>5</v>
      </c>
      <c r="E38" s="15">
        <f>IFERROR(__xludf.DUMMYFUNCTION("""COMPUTED_VALUE"""),-0.4899)</f>
        <v>-0.4899</v>
      </c>
      <c r="F38" s="2" t="str">
        <f>IFERROR(__xludf.DUMMYFUNCTION("""COMPUTED_VALUE"""),"Negativo")</f>
        <v>Negativo</v>
      </c>
      <c r="G38" s="15">
        <f>IFERROR(__xludf.DUMMYFUNCTION("""COMPUTED_VALUE"""),0.4899)</f>
        <v>0.4899</v>
      </c>
      <c r="H38" s="2" t="str">
        <f>IFERROR(__xludf.DUMMYFUNCTION("""COMPUTED_VALUE"""),"Otros temas generales")</f>
        <v>Otros temas generales</v>
      </c>
      <c r="I38" s="2" t="str">
        <f>IFERROR(__xludf.DUMMYFUNCTION("""COMPUTED_VALUE"""),"N/A")</f>
        <v>N/A</v>
      </c>
      <c r="J38" s="2" t="str">
        <f>IFERROR(__xludf.DUMMYFUNCTION("""COMPUTED_VALUE"""),"Descartar / Baja prioridad.")</f>
        <v>Descartar / Baja prioridad.</v>
      </c>
      <c r="K38" s="2" t="str">
        <f>IFERROR(__xludf.DUMMYFUNCTION("""COMPUTED_VALUE"""),"Acapulco de Juárez")</f>
        <v>Acapulco de Juárez</v>
      </c>
      <c r="L38" s="2" t="str">
        <f>IFERROR(__xludf.DUMMYFUNCTION("""COMPUTED_VALUE"""),"Guerrero")</f>
        <v>Guerrero</v>
      </c>
      <c r="M38" s="16" t="str">
        <f>IFERROR(__xludf.DUMMYFUNCTION("""COMPUTED_VALUE"""),"https://www.eluniversal.com.mx/estados/identifican-cadaveres-de-estudiantes-desaparecidos-en-acapulco-restos-tenian-senas-de-tortura/")</f>
        <v>https://www.eluniversal.com.mx/estados/identifican-cadaveres-de-estudiantes-desaparecidos-en-acapulco-restos-tenian-senas-de-tortura/</v>
      </c>
      <c r="N38" s="2" t="str">
        <f>IFERROR(__xludf.DUMMYFUNCTION("""COMPUTED_VALUE"""),"Chilpancingo.- Dos de los tresestudiantesdel Instituto Tecnológico de Acapulco (ITA),desaparecidosel 20 de diciembre, fueron identificados entre lostres cadávereshallados hace tres días en un paraje en la colonia Silvestre Castro, al poniente de Acapulco."&amp;" Este domingo en sus redes sociales, el ITA publicó dos esquelas por elasesinatode los estudiantes Irving Antonio Cebrero y Víctor Mendoza García. Fuentes de la Fiscalía General del Estado (FGE) confirmaron la identificación de los dos jóvenes. Además inf"&amp;"ormaron que están en espera de los resultados de ADN para confirmar si el tercer cadáver corresponde al estudiante,Raymundo Ramos Soto. El crimen de los estudiantes provocó indignación entre los acapulqueños. El 26 de diciembre, alrededor del mediodía, en"&amp;" un paraje de la colonia Silvestre Castro, en la parte alta de la zona poniente del puerto, fueron hallados tres cadáveres dentro debolsas negrasde plástico. Según el reporte los cadáveres estaban en estado dedescomposicióny tenía señas detortura.[Publici"&amp;"dad] Al lugar de los hechos arribaron peritos de la FGE y después fueron levantados por personal del Servicio Médico Forense (Semefo). Tras el hallazgo, comenzó a circular la versión de que los tres cadáveres correspondían a los tres estudiantes del Insti"&amp;"tuto Tecnológico de Acapulco (ITA) que fueron desaparecidos el20 de diciembreen la zona poniente del puerto, cerca del paraje donde fueron hallados los cadáveres. Los tres estudiantes fueron vistos por última vez la tarde del 20 de diciembre rumbo en la p"&amp;"laya Mimosa cerca del poblado Pie de la Cuesta, al poniente de Acapulco. Fuentes de la fiscalía informaron que la tarde del jueves, en el poblado de San Isidro, también en la zona poniente del puerto, fueron detenidas tres personas presuntamente implicada"&amp;"s en ladesapariciónde los tres estudiantes. Tras la detención, choferes de la urvan en la zona poniente bloquearon la carretera Acapulco-Zihuatanejo para impedir el traslado de los detenidos. El miércoles, en la víspera de Navidad, los familiares, amigos "&amp;"y vecinos bloquearon un carril de la avenida Costera Miguel Alemán, a la altura de el Asta Bandera para exigir la presentación de los jóvenes. La protesta duró unas cuatro horas, de 2 de la tarde a 7 de la noche. Al final los familiares fueron atendidos p"&amp;"or el subsecretario de Desarrollo Político de gobierno del estado,Francisco Rodríguez Cisnerosy personal de la FGE. De acuerdo a los familiares, las autoridades se comprometieron a intensificar la búsqueda de los tres estudiantes. Copyright © Todos los de"&amp;"rechos reservados | EL UNIVERSAL, Compañía Periodística Nacional. De no existir previa autorización, queda expresamente prohibida la Publicación, retransmisión, edición y cualquier otro uso de los contenidos Al navegar en este sitio aceptas las cookies qu"&amp;"e utilizamos para mejorar tu experiencia")</f>
        <v>Chilpancingo.- Dos de los tresestudiantesdel Instituto Tecnológico de Acapulco (ITA),desaparecidosel 20 de diciembre, fueron identificados entre lostres cadávereshallados hace tres días en un paraje en la colonia Silvestre Castro, al poniente de Acapulco. Este domingo en sus redes sociales, el ITA publicó dos esquelas por elasesinatode los estudiantes Irving Antonio Cebrero y Víctor Mendoza García. Fuentes de la Fiscalía General del Estado (FGE) confirmaron la identificación de los dos jóvenes. Además informaron que están en espera de los resultados de ADN para confirmar si el tercer cadáver corresponde al estudiante,Raymundo Ramos Soto. El crimen de los estudiantes provocó indignación entre los acapulqueños. El 26 de diciembre, alrededor del mediodía, en un paraje de la colonia Silvestre Castro, en la parte alta de la zona poniente del puerto, fueron hallados tres cadáveres dentro debolsas negrasde plástico. Según el reporte los cadáveres estaban en estado dedescomposicióny tenía señas detortura.[Publicidad] Al lugar de los hechos arribaron peritos de la FGE y después fueron levantados por personal del Servicio Médico Forense (Semefo). Tras el hallazgo, comenzó a circular la versión de que los tres cadáveres correspondían a los tres estudiantes del Instituto Tecnológico de Acapulco (ITA) que fueron desaparecidos el20 de diciembreen la zona poniente del puerto, cerca del paraje donde fueron hallados los cadáveres. Los tres estudiantes fueron vistos por última vez la tarde del 20 de diciembre rumbo en la playa Mimosa cerca del poblado Pie de la Cuesta, al poniente de Acapulco. Fuentes de la fiscalía informaron que la tarde del jueves, en el poblado de San Isidro, también en la zona poniente del puerto, fueron detenidas tres personas presuntamente implicadas en ladesapariciónde los tres estudiantes. Tras la detención, choferes de la urvan en la zona poniente bloquearon la carretera Acapulco-Zihuatanejo para impedir el traslado de los detenidos. El miércoles, en la víspera de Navidad, los familiares, amigos y vecinos bloquearon un carril de la avenida Costera Miguel Alemán, a la altura de el Asta Bandera para exigir la presentación de los jóvenes. La protesta duró unas cuatro horas, de 2 de la tarde a 7 de la noche. Al final los familiares fueron atendidos por el subsecretario de Desarrollo Político de gobierno del estado,Francisco Rodríguez Cisnerosy personal de la FGE. De acuerdo a los familiares, las autoridades se comprometieron a intensificar la búsqueda de los tres estudiantes.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8" s="15">
        <f>IFERROR(__xludf.DUMMYFUNCTION("""COMPUTED_VALUE"""),0.4283)</f>
        <v>0.4283</v>
      </c>
      <c r="P38" s="2"/>
      <c r="Q38" s="17">
        <f>IFERROR(__xludf.DUMMYFUNCTION("""COMPUTED_VALUE"""),8.0)</f>
        <v>8</v>
      </c>
      <c r="R38" s="2" t="str">
        <f>IFERROR(__xludf.DUMMYFUNCTION("""COMPUTED_VALUE"""),"High")</f>
        <v>High</v>
      </c>
      <c r="S38" s="17">
        <f>IFERROR(__xludf.DUMMYFUNCTION("""COMPUTED_VALUE"""),8.0)</f>
        <v>8</v>
      </c>
      <c r="T38" s="17">
        <f>IFERROR(__xludf.DUMMYFUNCTION("""COMPUTED_VALUE"""),0.0)</f>
        <v>0</v>
      </c>
      <c r="U38" s="14">
        <f>IFERROR(__xludf.DUMMYFUNCTION("""COMPUTED_VALUE"""),3.0)</f>
        <v>3</v>
      </c>
      <c r="V38" s="14">
        <v>2025.0</v>
      </c>
      <c r="W38" s="2" t="s">
        <v>1168</v>
      </c>
      <c r="X38" s="2" t="s">
        <v>1188</v>
      </c>
      <c r="Y38" s="13" t="s">
        <v>171</v>
      </c>
      <c r="Z38" s="14">
        <v>0.0</v>
      </c>
      <c r="AA38" s="14">
        <v>0.0</v>
      </c>
      <c r="AB38" s="14">
        <v>0.0</v>
      </c>
      <c r="AC38" s="14">
        <v>0.0</v>
      </c>
      <c r="AD38" s="2">
        <v>0.0</v>
      </c>
      <c r="AE38" s="2">
        <v>1.0</v>
      </c>
      <c r="AF38" s="2">
        <v>12.0</v>
      </c>
      <c r="AG38" s="2" t="s">
        <v>1189</v>
      </c>
      <c r="AH38" s="2">
        <v>0.0</v>
      </c>
    </row>
    <row r="39" ht="15.75" customHeight="1">
      <c r="A39" s="2" t="str">
        <f>IFERROR(__xludf.DUMMYFUNCTION("""COMPUTED_VALUE"""),"El Universal")</f>
        <v>El Universal</v>
      </c>
      <c r="B39" s="12" t="str">
        <f>IFERROR(__xludf.DUMMYFUNCTION("""COMPUTED_VALUE"""),"¿Dónde descarriló el Tren Interoceánico? Mapa muestra ruta y zona donde ocurrió la tragedia")</f>
        <v>¿Dónde descarriló el Tren Interoceánico? Mapa muestra ruta y zona donde ocurrió la tragedia</v>
      </c>
      <c r="C39" s="13" t="str">
        <f>IFERROR(__xludf.DUMMYFUNCTION("""COMPUTED_VALUE"""),"2025-12-28")</f>
        <v>2025-12-28</v>
      </c>
      <c r="D39" s="14">
        <f>IFERROR(__xludf.DUMMYFUNCTION("""COMPUTED_VALUE"""),2.0)</f>
        <v>2</v>
      </c>
      <c r="E39" s="15">
        <f>IFERROR(__xludf.DUMMYFUNCTION("""COMPUTED_VALUE"""),-0.5448)</f>
        <v>-0.5448</v>
      </c>
      <c r="F39" s="2" t="str">
        <f>IFERROR(__xludf.DUMMYFUNCTION("""COMPUTED_VALUE"""),"Negativo")</f>
        <v>Negativo</v>
      </c>
      <c r="G39" s="15">
        <f>IFERROR(__xludf.DUMMYFUNCTION("""COMPUTED_VALUE"""),0.5448)</f>
        <v>0.5448</v>
      </c>
      <c r="H39" s="2" t="str">
        <f>IFERROR(__xludf.DUMMYFUNCTION("""COMPUTED_VALUE"""),"Accidente de tránsito o choque vial")</f>
        <v>Accidente de tránsito o choque vial</v>
      </c>
      <c r="I39" s="2" t="str">
        <f>IFERROR(__xludf.DUMMYFUNCTION("""COMPUTED_VALUE"""),"N/A")</f>
        <v>N/A</v>
      </c>
      <c r="J39" s="2" t="str">
        <f>IFERROR(__xludf.DUMMYFUNCTION("""COMPUTED_VALUE"""),"Soporte DRV: Seguros/Guía post-siniestro.")</f>
        <v>Soporte DRV: Seguros/Guía post-siniestro.</v>
      </c>
      <c r="K39" s="2" t="str">
        <f>IFERROR(__xludf.DUMMYFUNCTION("""COMPUTED_VALUE"""),"Veracruz")</f>
        <v>Veracruz</v>
      </c>
      <c r="L39" s="2" t="str">
        <f>IFERROR(__xludf.DUMMYFUNCTION("""COMPUTED_VALUE"""),"Veracruz")</f>
        <v>Veracruz</v>
      </c>
      <c r="M39" s="16" t="str">
        <f>IFERROR(__xludf.DUMMYFUNCTION("""COMPUTED_VALUE"""),"https://www.eluniversal.com.mx/estados/donde-descarrilo-el-tren-interoceanico-mapa-muestra-ruta-y-zona-donde-ocurrio-la-tragedia/")</f>
        <v>https://www.eluniversal.com.mx/estados/donde-descarrilo-el-tren-interoceanico-mapa-muestra-ruta-y-zona-donde-ocurrio-la-tragedia/</v>
      </c>
      <c r="N39" s="2" t="str">
        <f>IFERROR(__xludf.DUMMYFUNCTION("""COMPUTED_VALUE"""),"Este domingo se reportó el descarrilamiento delTren Interoceánicocon destino a Coatzacoalcos, Veracruz. El tren, con241 pasajeros y 9 tripulantes, se volcó hacía el barranco, provocando13 personas fallecidasy 98 están lesionadas, según lo informó la Secre"&amp;"taría de Marina. La presidentaClaudia Sheinbauminformó que la Semar acudió a la zona para apoyar a los usuarios que requirieran algún tipo de asistencia. La zona del incidente esta ubicada cerca de la estaciónChivela, en la comunidad de Nizanda en Oaxaca,"&amp;" a unos 99 kilómetros de la terminal Salina Cruz. La estación Chivela es la tercera en recorrerse en laLínea Zdirección a Coatzacoalcos, Veracruz. El tren provenía de la estación Ixtepec y pretendía atravesar la zona cerca aNizandacon normalidad, aunque e"&amp;"n la zona de vías se observa una curva pronunciada.[Publicidad] Nizanda es un pequeño pueblo ubicado a 17 kilómetros de la carretera Transístmica.[Publicidad] El Corredor Interoceánico fue inaugurado por diversas etapas y actualmente cuenta contres líneas"&amp;". La línea Z cuenta con diez estaciones, las cuales van desde Veracruz hasta Oaxaca: La línea FA conecta Coatzacoalcos con Pakal Ná en Chiapas, e incluye paradas en: Por último, la línea K recorre desde Salina Cruz hasta Tonalá, Chiapas, con un total de 1"&amp;"1 paradas Copyright © Todos los derechos reservados | EL UNIVERSAL, Compañía Periodística Nacional. De no existir previa autorización, queda expresamente prohibida la Publicación, retransmisión, edición y cualquier otro uso de los contenidos Al navegar en"&amp;" este sitio aceptas las cookies que utilizamos para mejorar tu experiencia")</f>
        <v>Este domingo se reportó el descarrilamiento delTren Interoceánicocon destino a Coatzacoalcos, Veracruz. El tren, con241 pasajeros y 9 tripulantes, se volcó hacía el barranco, provocando13 personas fallecidasy 98 están lesionadas, según lo informó la Secretaría de Marina. La presidentaClaudia Sheinbauminformó que la Semar acudió a la zona para apoyar a los usuarios que requirieran algún tipo de asistencia. La zona del incidente esta ubicada cerca de la estaciónChivela, en la comunidad de Nizanda en Oaxaca, a unos 99 kilómetros de la terminal Salina Cruz. La estación Chivela es la tercera en recorrerse en laLínea Zdirección a Coatzacoalcos, Veracruz. El tren provenía de la estación Ixtepec y pretendía atravesar la zona cerca aNizandacon normalidad, aunque en la zona de vías se observa una curva pronunciada.[Publicidad] Nizanda es un pequeño pueblo ubicado a 17 kilómetros de la carretera Transístmica.[Publicidad] El Corredor Interoceánico fue inaugurado por diversas etapas y actualmente cuenta contres líneas. La línea Z cuenta con diez estaciones, las cuales van desde Veracruz hasta Oaxaca: La línea FA conecta Coatzacoalcos con Pakal Ná en Chiapas, e incluye paradas en: Por último, la línea K recorre desde Salina Cruz hasta Tonalá, Chiapas, con un total de 11 paradas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39" s="15">
        <f>IFERROR(__xludf.DUMMYFUNCTION("""COMPUTED_VALUE"""),0.2887)</f>
        <v>0.2887</v>
      </c>
      <c r="P39" s="2"/>
      <c r="Q39" s="17">
        <f>IFERROR(__xludf.DUMMYFUNCTION("""COMPUTED_VALUE"""),5.0)</f>
        <v>5</v>
      </c>
      <c r="R39" s="2" t="str">
        <f>IFERROR(__xludf.DUMMYFUNCTION("""COMPUTED_VALUE"""),"Medium")</f>
        <v>Medium</v>
      </c>
      <c r="S39" s="17">
        <f>IFERROR(__xludf.DUMMYFUNCTION("""COMPUTED_VALUE"""),1.0)</f>
        <v>1</v>
      </c>
      <c r="T39" s="17">
        <f>IFERROR(__xludf.DUMMYFUNCTION("""COMPUTED_VALUE"""),0.0)</f>
        <v>0</v>
      </c>
      <c r="U39" s="14">
        <f>IFERROR(__xludf.DUMMYFUNCTION("""COMPUTED_VALUE"""),3.0)</f>
        <v>3</v>
      </c>
      <c r="V39" s="14">
        <v>2025.0</v>
      </c>
      <c r="W39" s="2" t="s">
        <v>1168</v>
      </c>
      <c r="X39" s="2" t="s">
        <v>1188</v>
      </c>
      <c r="Y39" s="13" t="s">
        <v>171</v>
      </c>
      <c r="Z39" s="14">
        <v>0.0</v>
      </c>
      <c r="AA39" s="14">
        <v>0.0</v>
      </c>
      <c r="AB39" s="14">
        <v>0.0</v>
      </c>
      <c r="AC39" s="14">
        <v>0.0</v>
      </c>
      <c r="AD39" s="2">
        <v>0.0</v>
      </c>
      <c r="AE39" s="2">
        <v>0.0</v>
      </c>
      <c r="AF39" s="2">
        <v>12.0</v>
      </c>
      <c r="AG39" s="2" t="s">
        <v>1183</v>
      </c>
      <c r="AH39" s="2">
        <v>0.0</v>
      </c>
    </row>
    <row r="40" ht="15.75" customHeight="1">
      <c r="A40" s="2" t="str">
        <f>IFERROR(__xludf.DUMMYFUNCTION("""COMPUTED_VALUE"""),"El Universal")</f>
        <v>El Universal</v>
      </c>
      <c r="B40" s="12" t="str">
        <f>IFERROR(__xludf.DUMMYFUNCTION("""COMPUTED_VALUE"""),"Reportan tres asesinatos en Sinaloa; una de las víctimas es un adolescente de 15 años")</f>
        <v>Reportan tres asesinatos en Sinaloa; una de las víctimas es un adolescente de 15 años</v>
      </c>
      <c r="C40" s="13" t="str">
        <f>IFERROR(__xludf.DUMMYFUNCTION("""COMPUTED_VALUE"""),"2025-12-28")</f>
        <v>2025-12-28</v>
      </c>
      <c r="D40" s="14">
        <f>IFERROR(__xludf.DUMMYFUNCTION("""COMPUTED_VALUE"""),5.0)</f>
        <v>5</v>
      </c>
      <c r="E40" s="15">
        <f>IFERROR(__xludf.DUMMYFUNCTION("""COMPUTED_VALUE"""),-0.8982)</f>
        <v>-0.8982</v>
      </c>
      <c r="F40" s="2" t="str">
        <f>IFERROR(__xludf.DUMMYFUNCTION("""COMPUTED_VALUE"""),"Negativo")</f>
        <v>Negativo</v>
      </c>
      <c r="G40" s="15">
        <f>IFERROR(__xludf.DUMMYFUNCTION("""COMPUTED_VALUE"""),0.8982)</f>
        <v>0.8982</v>
      </c>
      <c r="H40" s="2" t="str">
        <f>IFERROR(__xludf.DUMMYFUNCTION("""COMPUTED_VALUE"""),"Delito violento, robo o asalto")</f>
        <v>Delito violento, robo o asalto</v>
      </c>
      <c r="I40" s="2" t="str">
        <f>IFERROR(__xludf.DUMMYFUNCTION("""COMPUTED_VALUE"""),"asesinado")</f>
        <v>asesinado</v>
      </c>
      <c r="J40" s="2" t="str">
        <f>IFERROR(__xludf.DUMMYFUNCTION("""COMPUTED_VALUE"""),"Prevención Nocturna: Alerta de zona de riesgo.")</f>
        <v>Prevención Nocturna: Alerta de zona de riesgo.</v>
      </c>
      <c r="K40" s="2" t="str">
        <f>IFERROR(__xludf.DUMMYFUNCTION("""COMPUTED_VALUE"""),"Sinaloa")</f>
        <v>Sinaloa</v>
      </c>
      <c r="L40" s="2" t="str">
        <f>IFERROR(__xludf.DUMMYFUNCTION("""COMPUTED_VALUE"""),"Sinaloa")</f>
        <v>Sinaloa</v>
      </c>
      <c r="M40" s="16" t="str">
        <f>IFERROR(__xludf.DUMMYFUNCTION("""COMPUTED_VALUE"""),"https://www.eluniversal.com.mx/estados/reportan-tres-asesinatos-en-sinaloa-una-de-las-victimas-es-un-adolescente-de-15-anos/")</f>
        <v>https://www.eluniversal.com.mx/estados/reportan-tres-asesinatos-en-sinaloa-una-de-las-victimas-es-un-adolescente-de-15-anos/</v>
      </c>
      <c r="N40" s="2" t="str">
        <f>IFERROR(__xludf.DUMMYFUNCTION("""COMPUTED_VALUE"""),"Culiacán, Sin.- Los actos deviolenciacontinúan en el estado contres nuevos asesinatos, una de las victimas es unadolescentede nombre Diego “N”, de 15 años de edad, el cual fue encontrado atado de pies y manos, con los ojos vendados e impactos de bala, en "&amp;"una de las calles de la colonia Cuatro de Marzo, en Culiacán. También, en la sindicatura de Villa Juárez, Navolato, donde en transcurso de esta semana se han suscitadoenfrentamientos entre grupos rivalesy asesinatos, elementos del ejército y la Policía Es"&amp;"tatal en un patrullaje por campos agrícolas descubrió una caja de cartón abandonada con cinco explosivos artesanales. Ante este hallazgo, se notificó al Ministerio Público Federal y se solicitó la presencia de una de lascélulas militares especializadasen "&amp;"el manejo de explosivos, para que procedieran a inhabilitarlos en una zona despejada. Sobre los homicidios, las autoridades judiciales fueron notificados que el adolescente que fue encontradoasesinado a balazos, atado de pies y manos, con los ojos cubiert"&amp;"os, tenia su domicilio en la comunidad de Bellavista, en la sindicatura de Culiacancito. En la colonia Juntas de Humaya, en la capital del estado, el joven Kevin Omar “N”, de 21 años de edad, quien se encontraba sentado en una silla de plástico, en el pat"&amp;"io de su casa fue asesinado de varios disparos, por personas queviajaban en una motocicleta. Los agresores, le dispararon desde el exterior del inmueble, ubicado por la calle Ajonjolí, para despuéshuirrápidamente del lugar, sin ser detenidos por la policí"&amp;"a, pese al operativo que se puso en marcha.[Publicidad] En la comunidad del Ranchito de Castro, en el municipio de Guasave, una persona del sexo masculino de nombre, Antonio “N” de 46 años de edad, fueencontrado muerto, con varias heridas en su cuerpo pro"&amp;"ducidas con machete.[Publicidad] Sus familiares al llegar a visitarlo, lo encontraron tirado dentro de su vivienda conrestos de sangre, por lo que notificaron a los cuerpos de auxilio y a la policía, sin embargo, al revisarlo, determinaron que no presenta"&amp;"ba signos vitales. Copyright © Todos los derechos reservados | EL UNIVERSAL, Compañía Periodística Nacional. De no existir previa autorización, queda expresamente prohibida la Publicación, retransmisión, edición y cualquier otro uso de los contenidos Al n"&amp;"avegar en este sitio aceptas las cookies que utilizamos para mejorar tu experiencia")</f>
        <v>Culiacán, Sin.- Los actos deviolenciacontinúan en el estado contres nuevos asesinatos, una de las victimas es unadolescentede nombre Diego “N”, de 15 años de edad, el cual fue encontrado atado de pies y manos, con los ojos vendados e impactos de bala, en una de las calles de la colonia Cuatro de Marzo, en Culiacán. También, en la sindicatura de Villa Juárez, Navolato, donde en transcurso de esta semana se han suscitadoenfrentamientos entre grupos rivalesy asesinatos, elementos del ejército y la Policía Estatal en un patrullaje por campos agrícolas descubrió una caja de cartón abandonada con cinco explosivos artesanales. Ante este hallazgo, se notificó al Ministerio Público Federal y se solicitó la presencia de una de lascélulas militares especializadasen el manejo de explosivos, para que procedieran a inhabilitarlos en una zona despejada. Sobre los homicidios, las autoridades judiciales fueron notificados que el adolescente que fue encontradoasesinado a balazos, atado de pies y manos, con los ojos cubiertos, tenia su domicilio en la comunidad de Bellavista, en la sindicatura de Culiacancito. En la colonia Juntas de Humaya, en la capital del estado, el joven Kevin Omar “N”, de 21 años de edad, quien se encontraba sentado en una silla de plástico, en el patio de su casa fue asesinado de varios disparos, por personas queviajaban en una motocicleta. Los agresores, le dispararon desde el exterior del inmueble, ubicado por la calle Ajonjolí, para despuéshuirrápidamente del lugar, sin ser detenidos por la policía, pese al operativo que se puso en marcha.[Publicidad] En la comunidad del Ranchito de Castro, en el municipio de Guasave, una persona del sexo masculino de nombre, Antonio “N” de 46 años de edad, fueencontrado muerto, con varias heridas en su cuerpo producidas con machete.[Publicidad] Sus familiares al llegar a visitarlo, lo encontraron tirado dentro de su vivienda conrestos de sangre, por lo que notificaron a los cuerpos de auxilio y a la policía, sin embargo, al revisarlo, determinaron que no presentaba signos vitales.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0" s="15">
        <f>IFERROR(__xludf.DUMMYFUNCTION("""COMPUTED_VALUE"""),1.0)</f>
        <v>1</v>
      </c>
      <c r="P40" s="2"/>
      <c r="Q40" s="17">
        <f>IFERROR(__xludf.DUMMYFUNCTION("""COMPUTED_VALUE"""),8.5)</f>
        <v>8.5</v>
      </c>
      <c r="R40" s="2" t="str">
        <f>IFERROR(__xludf.DUMMYFUNCTION("""COMPUTED_VALUE"""),"Low")</f>
        <v>Low</v>
      </c>
      <c r="S40" s="17">
        <f>IFERROR(__xludf.DUMMYFUNCTION("""COMPUTED_VALUE"""),0.5)</f>
        <v>0.5</v>
      </c>
      <c r="T40" s="17">
        <f>IFERROR(__xludf.DUMMYFUNCTION("""COMPUTED_VALUE"""),0.0)</f>
        <v>0</v>
      </c>
      <c r="U40" s="14">
        <f>IFERROR(__xludf.DUMMYFUNCTION("""COMPUTED_VALUE"""),3.0)</f>
        <v>3</v>
      </c>
      <c r="V40" s="14">
        <v>2025.0</v>
      </c>
      <c r="W40" s="2" t="s">
        <v>1168</v>
      </c>
      <c r="X40" s="2" t="s">
        <v>1188</v>
      </c>
      <c r="Y40" s="13" t="s">
        <v>171</v>
      </c>
      <c r="Z40" s="14">
        <v>0.0</v>
      </c>
      <c r="AA40" s="14">
        <v>0.0</v>
      </c>
      <c r="AB40" s="14">
        <v>0.0</v>
      </c>
      <c r="AC40" s="14">
        <v>0.0</v>
      </c>
      <c r="AD40" s="2">
        <v>0.0</v>
      </c>
      <c r="AE40" s="2">
        <v>1.0</v>
      </c>
      <c r="AF40" s="2">
        <v>12.0</v>
      </c>
      <c r="AG40" s="2" t="s">
        <v>1172</v>
      </c>
      <c r="AH40" s="2">
        <v>0.0</v>
      </c>
    </row>
    <row r="41" ht="15.75" customHeight="1">
      <c r="A41" s="2" t="str">
        <f>IFERROR(__xludf.DUMMYFUNCTION("""COMPUTED_VALUE"""),"El Universal")</f>
        <v>El Universal</v>
      </c>
      <c r="B41" s="12" t="str">
        <f>IFERROR(__xludf.DUMMYFUNCTION("""COMPUTED_VALUE"""),"Descarrilamiento del Tren Interoceánico en Oaxaca deja 20 heridos")</f>
        <v>Descarrilamiento del Tren Interoceánico en Oaxaca deja 20 heridos</v>
      </c>
      <c r="C41" s="13" t="str">
        <f>IFERROR(__xludf.DUMMYFUNCTION("""COMPUTED_VALUE"""),"Sin Fecha")</f>
        <v>Sin Fecha</v>
      </c>
      <c r="D41" s="14">
        <f>IFERROR(__xludf.DUMMYFUNCTION("""COMPUTED_VALUE"""),2.0)</f>
        <v>2</v>
      </c>
      <c r="E41" s="15">
        <f>IFERROR(__xludf.DUMMYFUNCTION("""COMPUTED_VALUE"""),-0.6723)</f>
        <v>-0.6723</v>
      </c>
      <c r="F41" s="2" t="str">
        <f>IFERROR(__xludf.DUMMYFUNCTION("""COMPUTED_VALUE"""),"Negativo")</f>
        <v>Negativo</v>
      </c>
      <c r="G41" s="15">
        <f>IFERROR(__xludf.DUMMYFUNCTION("""COMPUTED_VALUE"""),0.6723)</f>
        <v>0.6723</v>
      </c>
      <c r="H41" s="2" t="str">
        <f>IFERROR(__xludf.DUMMYFUNCTION("""COMPUTED_VALUE"""),"Accidente de tránsito o choque vial")</f>
        <v>Accidente de tránsito o choque vial</v>
      </c>
      <c r="I41" s="2" t="str">
        <f>IFERROR(__xludf.DUMMYFUNCTION("""COMPUTED_VALUE"""),"N/A")</f>
        <v>N/A</v>
      </c>
      <c r="J41" s="2" t="str">
        <f>IFERROR(__xludf.DUMMYFUNCTION("""COMPUTED_VALUE"""),"Seguridad Vial: Monitoreo de zona.")</f>
        <v>Seguridad Vial: Monitoreo de zona.</v>
      </c>
      <c r="K41" s="2" t="str">
        <f>IFERROR(__xludf.DUMMYFUNCTION("""COMPUTED_VALUE"""),"Oaxaca")</f>
        <v>Oaxaca</v>
      </c>
      <c r="L41" s="2" t="str">
        <f>IFERROR(__xludf.DUMMYFUNCTION("""COMPUTED_VALUE"""),"Oaxaca")</f>
        <v>Oaxaca</v>
      </c>
      <c r="M41" s="16" t="str">
        <f>IFERROR(__xludf.DUMMYFUNCTION("""COMPUTED_VALUE"""),"https://www.eluniversal.com.mx/estados/descarrilamiento-del-tren-interoceanico-en-oaxaca-deja-20-heridos-sigue-en-vivo-la-cobertura/")</f>
        <v>https://www.eluniversal.com.mx/estados/descarrilamiento-del-tren-interoceanico-en-oaxaca-deja-20-heridos-sigue-en-vivo-la-cobertura/</v>
      </c>
      <c r="N41" s="2" t="str">
        <f>IFERROR(__xludf.DUMMYFUNCTION("""COMPUTED_VALUE"""),"Este domingo, 28 de diciembre, se reportó un accidente ferroviario en elCorredor Interoceánicodel Istmo de Tehuantepec, tras salir de laestación Salina Cruzcon destino aCoatzacoalcos, Veracruz. Tras los hechos, elementos de seguridad arribaron a la zona p"&amp;"ara atender alesionados. La presidentaClaudia Sheinbaum Pardoafirmó a través de su cuenta de X que la Secretaría de Marina (Semar) se encuentra apoyando a los usuarios del Corredor Interoceánico tras el accidente. La jefa de Gobierno, Clara Brugada, lamen"&amp;"tó el descarrilamiento del Tren Interoceánico, que dejó 13 personas fallecidas y 98 lesionadas en el estado de Oaxaca.En su cuenta de X, la mandataria capitalina externó sus respeto y solidaridad a las familias afectadas por el accidente ocurrido este dom"&amp;"ingo 28 de diciembre.Asimismo, externó su respaldo y confianza a la Presidenta Claudia Sheinbaum, tras los sucedido. La presidenta del Senado, Laura Itzel Castillo, lamentó el fallecimiento de pasajeros a causa del descarrilamiento del Tren Interoceánico,"&amp;" en Oaxaca. En redes sociales, la legisladora envío un mensaje con motivo del accidente ocurrido este domingo.“Lamento profundamente la pérdida de vidas, así como la afectación a las personas que resultaron heridas tras el descarrilamiento del Tren Intero"&amp;"ceánico, ocurrido en el tramo que atraviesa el estado de Oaxaca”, expresó.Laura Itzel Castillo confió en que la atención médica y el acompañamiento a las víctimas y a sus familiares se mantenga de manera permanente, y se realice una investigación exhausti"&amp;"va que permita esclarecer lo ocurrido. La presidenta de Morena, Luisa María Alcalde, expresó su solidaridad con las familias que perdieron a un ser querido y aquellos que están en recuperación tras el descarrilamiento del Tren Interoceánico en Oaxaca.“Rec"&amp;"onocemos la pronta atención de las autoridades y confiamos en que seguirán actuando con profesionalismo como ha sido el compromiso de la Presidenta”, señaló en sus redes sociales. A través de una publicación de X, José Ramón López Beltrán lamentó los hech"&amp;"os del Tren Transístmico. ""Mi abrazo a las madres, padres, hijas, hijos, familiares y amigos de quienes fallecieron. Deseo pronta recuperación a todas las personas que resultaron heridas"". Finalizó recalcando que lo más importantes es dar acompañamiento"&amp;" a las víctimas, demás de agradecer a los elementos de auxilio. La presidente Claudia Sheinbaum anunció a través de redes sociales que los heridos se encuentran en hospitales del IMSS en Matías Romero y Salina Cruz, así como de IMSS-Bienestar en Juchitán "&amp;"e Ixtepec.Informó que ha dado instrucciones para que el secretario de Marina y el subsecretario de Derechos Humanos de la Secretaría de Gobernación se trasladen al lugar y atiendan a las familias de manera personal; también los delegados de IMSS e IMSS-Bi"&amp;"enestar. Ernestina Godoy Ramos, titular de la Fiscalía General de la República (FGR), informó que se inició una carpeta de investigación por el descarrilamiento del Tren Interoceánico en el estado de Oaxaca, para conocer las causas de lo sucedido.A través"&amp;" de mensaje difundido en una red social, la fiscal reportó que agentes ministeriales, peritos y agentes ministeriales de la Delegación de la FGR en la entidad, se coordinan con autoridades federales y estatales para realizar las indagatorias. La Secretarí"&amp;"a de Marina informó que por los hechos se contabilizan20 personas lesionadasque ya se encuentras siendo trasladadas a hospitales Además, se mencionó que se mantiene en la zona un despliegue de apoyo de cinco ambulancias terrestres, una aérea y alrededor d"&amp;"e 40 elementos de sanidad naval, así mismo, se encuentran en desarrollo maniobras de rescate. Copyright © Todos los derechos reservados | EL UNIVERSAL, Compañía Periodística Nacional. De no existir previa autorización, queda expresamente prohibida la Publ"&amp;"icación, retransmisión, edición y cualquier otro uso de los contenidos Al navegar en este sitio aceptas las cookies que utilizamos para mejorar tu experiencia")</f>
        <v>Este domingo, 28 de diciembre, se reportó un accidente ferroviario en elCorredor Interoceánicodel Istmo de Tehuantepec, tras salir de laestación Salina Cruzcon destino aCoatzacoalcos, Veracruz. Tras los hechos, elementos de seguridad arribaron a la zona para atender alesionados. La presidentaClaudia Sheinbaum Pardoafirmó a través de su cuenta de X que la Secretaría de Marina (Semar) se encuentra apoyando a los usuarios del Corredor Interoceánico tras el accidente. La jefa de Gobierno, Clara Brugada, lamentó el descarrilamiento del Tren Interoceánico, que dejó 13 personas fallecidas y 98 lesionadas en el estado de Oaxaca.En su cuenta de X, la mandataria capitalina externó sus respeto y solidaridad a las familias afectadas por el accidente ocurrido este domingo 28 de diciembre.Asimismo, externó su respaldo y confianza a la Presidenta Claudia Sheinbaum, tras los sucedido. La presidenta del Senado, Laura Itzel Castillo, lamentó el fallecimiento de pasajeros a causa del descarrilamiento del Tren Interoceánico, en Oaxaca. En redes sociales, la legisladora envío un mensaje con motivo del accidente ocurrido este domingo.“Lamento profundamente la pérdida de vidas, así como la afectación a las personas que resultaron heridas tras el descarrilamiento del Tren Interoceánico, ocurrido en el tramo que atraviesa el estado de Oaxaca”, expresó.Laura Itzel Castillo confió en que la atención médica y el acompañamiento a las víctimas y a sus familiares se mantenga de manera permanente, y se realice una investigación exhaustiva que permita esclarecer lo ocurrido. La presidenta de Morena, Luisa María Alcalde, expresó su solidaridad con las familias que perdieron a un ser querido y aquellos que están en recuperación tras el descarrilamiento del Tren Interoceánico en Oaxaca.“Reconocemos la pronta atención de las autoridades y confiamos en que seguirán actuando con profesionalismo como ha sido el compromiso de la Presidenta”, señaló en sus redes sociales. A través de una publicación de X, José Ramón López Beltrán lamentó los hechos del Tren Transístmico. "Mi abrazo a las madres, padres, hijas, hijos, familiares y amigos de quienes fallecieron. Deseo pronta recuperación a todas las personas que resultaron heridas". Finalizó recalcando que lo más importantes es dar acompañamiento a las víctimas, demás de agradecer a los elementos de auxilio. La presidente Claudia Sheinbaum anunció a través de redes sociales que los heridos se encuentran en hospitales del IMSS en Matías Romero y Salina Cruz, así como de IMSS-Bienestar en Juchitán e Ixtepec.Informó que ha dado instrucciones para que el secretario de Marina y el subsecretario de Derechos Humanos de la Secretaría de Gobernación se trasladen al lugar y atiendan a las familias de manera personal; también los delegados de IMSS e IMSS-Bienestar. Ernestina Godoy Ramos, titular de la Fiscalía General de la República (FGR), informó que se inició una carpeta de investigación por el descarrilamiento del Tren Interoceánico en el estado de Oaxaca, para conocer las causas de lo sucedido.A través de mensaje difundido en una red social, la fiscal reportó que agentes ministeriales, peritos y agentes ministeriales de la Delegación de la FGR en la entidad, se coordinan con autoridades federales y estatales para realizar las indagatorias. La Secretaría de Marina informó que por los hechos se contabilizan20 personas lesionadasque ya se encuentras siendo trasladadas a hospitales Además, se mencionó que se mantiene en la zona un despliegue de apoyo de cinco ambulancias terrestres, una aérea y alrededor de 40 elementos de sanidad naval, así mismo, se encuentran en desarrollo maniobras de rescate.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1" s="15">
        <f>IFERROR(__xludf.DUMMYFUNCTION("""COMPUTED_VALUE"""),0.3334)</f>
        <v>0.3334</v>
      </c>
      <c r="P41" s="2"/>
      <c r="Q41" s="17">
        <f>IFERROR(__xludf.DUMMYFUNCTION("""COMPUTED_VALUE"""),6.5)</f>
        <v>6.5</v>
      </c>
      <c r="R41" s="2" t="str">
        <f>IFERROR(__xludf.DUMMYFUNCTION("""COMPUTED_VALUE"""),"Low")</f>
        <v>Low</v>
      </c>
      <c r="S41" s="17">
        <f>IFERROR(__xludf.DUMMYFUNCTION("""COMPUTED_VALUE"""),0.5)</f>
        <v>0.5</v>
      </c>
      <c r="T41" s="17">
        <f>IFERROR(__xludf.DUMMYFUNCTION("""COMPUTED_VALUE"""),0.0)</f>
        <v>0</v>
      </c>
      <c r="U41" s="14">
        <f>IFERROR(__xludf.DUMMYFUNCTION("""COMPUTED_VALUE"""),3.0)</f>
        <v>3</v>
      </c>
      <c r="V41" s="14" t="s">
        <v>1186</v>
      </c>
      <c r="W41" s="2" t="s">
        <v>190</v>
      </c>
      <c r="X41" s="2" t="s">
        <v>190</v>
      </c>
      <c r="Y41" s="13"/>
      <c r="Z41" s="14">
        <v>0.0</v>
      </c>
      <c r="AA41" s="14">
        <v>0.0</v>
      </c>
      <c r="AB41" s="14">
        <v>0.0</v>
      </c>
      <c r="AC41" s="14">
        <v>0.0</v>
      </c>
      <c r="AD41" s="2">
        <v>0.0</v>
      </c>
      <c r="AE41" s="2">
        <v>0.0</v>
      </c>
      <c r="AF41" s="2" t="s">
        <v>1186</v>
      </c>
      <c r="AG41" s="2" t="s">
        <v>1176</v>
      </c>
      <c r="AH41" s="2">
        <v>0.0</v>
      </c>
    </row>
    <row r="42" ht="15.75" customHeight="1">
      <c r="A42" s="2" t="str">
        <f>IFERROR(__xludf.DUMMYFUNCTION("""COMPUTED_VALUE"""),"El Universal")</f>
        <v>El Universal</v>
      </c>
      <c r="B42" s="12" t="str">
        <f>IFERROR(__xludf.DUMMYFUNCTION("""COMPUTED_VALUE"""),"Intensifican búsqueda de adulta mayor desaparecida en Yucatán; participaron 51 cuadrillas de rastreo")</f>
        <v>Intensifican búsqueda de adulta mayor desaparecida en Yucatán; participaron 51 cuadrillas de rastreo</v>
      </c>
      <c r="C42" s="13" t="str">
        <f>IFERROR(__xludf.DUMMYFUNCTION("""COMPUTED_VALUE"""),"2025-12-28")</f>
        <v>2025-12-28</v>
      </c>
      <c r="D42" s="14">
        <f>IFERROR(__xludf.DUMMYFUNCTION("""COMPUTED_VALUE"""),2.0)</f>
        <v>2</v>
      </c>
      <c r="E42" s="15">
        <f>IFERROR(__xludf.DUMMYFUNCTION("""COMPUTED_VALUE"""),0.0)</f>
        <v>0</v>
      </c>
      <c r="F42" s="2" t="str">
        <f>IFERROR(__xludf.DUMMYFUNCTION("""COMPUTED_VALUE"""),"Neutral")</f>
        <v>Neutral</v>
      </c>
      <c r="G42" s="15">
        <f>IFERROR(__xludf.DUMMYFUNCTION("""COMPUTED_VALUE"""),0.5722)</f>
        <v>0.5722</v>
      </c>
      <c r="H42" s="2" t="str">
        <f>IFERROR(__xludf.DUMMYFUNCTION("""COMPUTED_VALUE"""),"Operativo policial o detención")</f>
        <v>Operativo policial o detención</v>
      </c>
      <c r="I42" s="2" t="str">
        <f>IFERROR(__xludf.DUMMYFUNCTION("""COMPUTED_VALUE"""),"N/A")</f>
        <v>N/A</v>
      </c>
      <c r="J42" s="2" t="str">
        <f>IFERROR(__xludf.DUMMYFUNCTION("""COMPUTED_VALUE"""),"Monitoreo general.")</f>
        <v>Monitoreo general.</v>
      </c>
      <c r="K42" s="2" t="str">
        <f>IFERROR(__xludf.DUMMYFUNCTION("""COMPUTED_VALUE"""),"Yucatán")</f>
        <v>Yucatán</v>
      </c>
      <c r="L42" s="2" t="str">
        <f>IFERROR(__xludf.DUMMYFUNCTION("""COMPUTED_VALUE"""),"Yucatán")</f>
        <v>Yucatán</v>
      </c>
      <c r="M42" s="16" t="str">
        <f>IFERROR(__xludf.DUMMYFUNCTION("""COMPUTED_VALUE"""),"https://www.eluniversal.com.mx/estados/intensifican-busqueda-de-adulta-mayor-desaparecida-en-yucatan-participaron-51-cuadrillas-de-rastreo/")</f>
        <v>https://www.eluniversal.com.mx/estados/intensifican-busqueda-de-adulta-mayor-desaparecida-en-yucatan-participaron-51-cuadrillas-de-rastreo/</v>
      </c>
      <c r="N42" s="2" t="str">
        <f>IFERROR(__xludf.DUMMYFUNCTION("""COMPUTED_VALUE"""),"Mérida, Yucatán.- Familiares, voluntarios a moto y en caballos y elementos de la Secretaría de Seguridad Pública (SSP) y la Policía Estatal de Investigación (PEI) se reunieron en dos puntos estratégicos de Mérida para intensificar labúsquedade la señoraMi"&amp;"rna del Socorro Barrera Vera, quien lleva20 días desapareciday cuyo último avistamiento fue en la zona poniente del Anillo Periférico. En entrevista, Lizeth Arceo Barrera, hija de la señora Mirna, comentó que este domingo se realizó un segundo esfuerzocol"&amp;"ectivo de búsquedaque cubrió una amplia zona que abarca desde Tixcacal hasta el municipio de Kanasín. “No perdemos la esperanza; la Policía y la Fiscalía también nos están apoyando"". ""Afortunadamente, hemos tenido respuesta por parte de personas de todo"&amp;" Mérida, quienes se han unido para ayudarnos en nuestra búsqueda”, comentó. Recordó que durante la noche de Navidad se la pasó en recorridos para localizarla y señaló que si alguien vio lo que le ocurrió a su madre que no tenga miedo de hablar, “pues no e"&amp;"stán buscandoculpables, solo pidiendo saber dónde está y encontrarla”. ""Gracias y millones de gracias a todos los que se sumaron hoy a su búsqueda Muchas oraciones, abrazos y deseos de que ella pronto esté en casa. Me dan fuerza para continuar en este ca"&amp;"mino nada fácil, pero nada me detendrá hasta tenerla de nuevo conmigo"", compartió Lizette.[Publicidad] Este domingo, en total se conformaron51 cuadrillasentre familiares, vecinos, voluntarios y agencias estatales de seguridad con el objetivo de dar con e"&amp;"l paradero de la mujer.[Publicidad] Los participantes en el operativo de búsqueda se reunieron en el Parque del Ejército Mexicano en la zona sur poniente de la ciudad, así como en el Fraccionamiento Pensiones para llevar a cabo este segundo esfuerzo de lo"&amp;"calizar a la señora Mirna, de 86 años, quien desapareció el pasado 9 de diciembre mientras se dirigía al Issste de Lindavista. Copyright © Todos los derechos reservados | EL UNIVERSAL, Compañía Periodística Nacional. De no existir previa autorización, que"&amp;"da expresamente prohibida la Publicación, retransmisión, edición y cualquier otro uso de los contenidos Al navegar en este sitio aceptas las cookies que utilizamos para mejorar tu experiencia")</f>
        <v>Mérida, Yucatán.- Familiares, voluntarios a moto y en caballos y elementos de la Secretaría de Seguridad Pública (SSP) y la Policía Estatal de Investigación (PEI) se reunieron en dos puntos estratégicos de Mérida para intensificar labúsquedade la señoraMirna del Socorro Barrera Vera, quien lleva20 días desapareciday cuyo último avistamiento fue en la zona poniente del Anillo Periférico. En entrevista, Lizeth Arceo Barrera, hija de la señora Mirna, comentó que este domingo se realizó un segundo esfuerzocolectivo de búsquedaque cubrió una amplia zona que abarca desde Tixcacal hasta el municipio de Kanasín. “No perdemos la esperanza; la Policía y la Fiscalía también nos están apoyando". "Afortunadamente, hemos tenido respuesta por parte de personas de todo Mérida, quienes se han unido para ayudarnos en nuestra búsqueda”, comentó. Recordó que durante la noche de Navidad se la pasó en recorridos para localizarla y señaló que si alguien vio lo que le ocurrió a su madre que no tenga miedo de hablar, “pues no están buscandoculpables, solo pidiendo saber dónde está y encontrarla”. "Gracias y millones de gracias a todos los que se sumaron hoy a su búsqueda Muchas oraciones, abrazos y deseos de que ella pronto esté en casa. Me dan fuerza para continuar en este camino nada fácil, pero nada me detendrá hasta tenerla de nuevo conmigo", compartió Lizette.[Publicidad] Este domingo, en total se conformaron51 cuadrillasentre familiares, vecinos, voluntarios y agencias estatales de seguridad con el objetivo de dar con el paradero de la mujer.[Publicidad] Los participantes en el operativo de búsqueda se reunieron en el Parque del Ejército Mexicano en la zona sur poniente de la ciudad, así como en el Fraccionamiento Pensiones para llevar a cabo este segundo esfuerzo de localizar a la señora Mirna, de 86 años, quien desapareció el pasado 9 de diciembre mientras se dirigía al Issste de Lindavista.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2" s="15">
        <f>IFERROR(__xludf.DUMMYFUNCTION("""COMPUTED_VALUE"""),0.3381)</f>
        <v>0.3381</v>
      </c>
      <c r="P42" s="2"/>
      <c r="Q42" s="17">
        <f>IFERROR(__xludf.DUMMYFUNCTION("""COMPUTED_VALUE"""),8.5)</f>
        <v>8.5</v>
      </c>
      <c r="R42" s="2" t="str">
        <f>IFERROR(__xludf.DUMMYFUNCTION("""COMPUTED_VALUE"""),"Low")</f>
        <v>Low</v>
      </c>
      <c r="S42" s="17">
        <f>IFERROR(__xludf.DUMMYFUNCTION("""COMPUTED_VALUE"""),0.5)</f>
        <v>0.5</v>
      </c>
      <c r="T42" s="17">
        <f>IFERROR(__xludf.DUMMYFUNCTION("""COMPUTED_VALUE"""),0.0)</f>
        <v>0</v>
      </c>
      <c r="U42" s="14">
        <f>IFERROR(__xludf.DUMMYFUNCTION("""COMPUTED_VALUE"""),3.0)</f>
        <v>3</v>
      </c>
      <c r="V42" s="14">
        <v>2025.0</v>
      </c>
      <c r="W42" s="2" t="s">
        <v>1168</v>
      </c>
      <c r="X42" s="2" t="s">
        <v>1188</v>
      </c>
      <c r="Y42" s="13" t="s">
        <v>171</v>
      </c>
      <c r="Z42" s="14">
        <v>0.0</v>
      </c>
      <c r="AA42" s="14">
        <v>0.0</v>
      </c>
      <c r="AB42" s="14">
        <v>0.0</v>
      </c>
      <c r="AC42" s="14">
        <v>0.0</v>
      </c>
      <c r="AD42" s="2">
        <v>0.0</v>
      </c>
      <c r="AE42" s="2">
        <v>0.0</v>
      </c>
      <c r="AF42" s="2">
        <v>12.0</v>
      </c>
      <c r="AG42" s="2" t="s">
        <v>1181</v>
      </c>
      <c r="AH42" s="2">
        <v>0.0</v>
      </c>
    </row>
    <row r="43" ht="15.75" customHeight="1">
      <c r="A43" s="2" t="str">
        <f>IFERROR(__xludf.DUMMYFUNCTION("""COMPUTED_VALUE"""),"El Universal")</f>
        <v>El Universal</v>
      </c>
      <c r="B43" s="12" t="str">
        <f>IFERROR(__xludf.DUMMYFUNCTION("""COMPUTED_VALUE"""),"Hallan tres camionetas del Ejército clonadas en Chiapas; presuntamente pertenecen al CJNG")</f>
        <v>Hallan tres camionetas del Ejército clonadas en Chiapas; presuntamente pertenecen al CJNG</v>
      </c>
      <c r="C43" s="13" t="str">
        <f>IFERROR(__xludf.DUMMYFUNCTION("""COMPUTED_VALUE"""),"2025-12-28")</f>
        <v>2025-12-28</v>
      </c>
      <c r="D43" s="14">
        <f>IFERROR(__xludf.DUMMYFUNCTION("""COMPUTED_VALUE"""),4.0)</f>
        <v>4</v>
      </c>
      <c r="E43" s="15">
        <f>IFERROR(__xludf.DUMMYFUNCTION("""COMPUTED_VALUE"""),0.0)</f>
        <v>0</v>
      </c>
      <c r="F43" s="2" t="str">
        <f>IFERROR(__xludf.DUMMYFUNCTION("""COMPUTED_VALUE"""),"Neutral")</f>
        <v>Neutral</v>
      </c>
      <c r="G43" s="15">
        <f>IFERROR(__xludf.DUMMYFUNCTION("""COMPUTED_VALUE"""),0.6586)</f>
        <v>0.6586</v>
      </c>
      <c r="H43" s="2" t="str">
        <f>IFERROR(__xludf.DUMMYFUNCTION("""COMPUTED_VALUE"""),"Delito violento, robo o asalto")</f>
        <v>Delito violento, robo o asalto</v>
      </c>
      <c r="I43" s="2" t="str">
        <f>IFERROR(__xludf.DUMMYFUNCTION("""COMPUTED_VALUE"""),"sicarios")</f>
        <v>sicarios</v>
      </c>
      <c r="J43" s="2" t="str">
        <f>IFERROR(__xludf.DUMMYFUNCTION("""COMPUTED_VALUE"""),"Prevención Nocturna: Alerta de zona de riesgo.")</f>
        <v>Prevención Nocturna: Alerta de zona de riesgo.</v>
      </c>
      <c r="K43" s="2" t="str">
        <f>IFERROR(__xludf.DUMMYFUNCTION("""COMPUTED_VALUE"""),"Chiapas")</f>
        <v>Chiapas</v>
      </c>
      <c r="L43" s="2" t="str">
        <f>IFERROR(__xludf.DUMMYFUNCTION("""COMPUTED_VALUE"""),"Chiapas")</f>
        <v>Chiapas</v>
      </c>
      <c r="M43" s="16" t="str">
        <f>IFERROR(__xludf.DUMMYFUNCTION("""COMPUTED_VALUE"""),"https://www.eluniversal.com.mx/estados/hallan-tres-camionetas-del-ejercito-clonadas-en-chiapas-presuntamente-pertenecen-al-cjng/")</f>
        <v>https://www.eluniversal.com.mx/estados/hallan-tres-camionetas-del-ejercito-clonadas-en-chiapas-presuntamente-pertenecen-al-cjng/</v>
      </c>
      <c r="N43" s="2" t="str">
        <f>IFERROR(__xludf.DUMMYFUNCTION("""COMPUTED_VALUE"""),"San Cristóbal de las Casas, Chis.- El Cártel Jalisco Nueva Generación (CJNG)-Cártel Chiapas y Guatemala (CCyG) usapatrullas clonadasdel Ejército, para movilizarse por varias regiones de Chiapas, donde opera desde hace más de cuatro años. Durante los opera"&amp;"tivos que realizan tropas de la VII Región Militar, Marina Armada de México, Guardia Nacional, Policía Federal Ministerial, Guardia Estatal y Fuerza de Reacción Inmediata Pakal (FRIP) fueron halladas trescamionetas clonadasdel 100 Batallón de Infantería, "&amp;"que se ubica en la comunidad Chiapas Nuevo, de Jiquipilas, uno de los cuatro municipios donde se han desplegado más de500 soldadosy policías en busca de sicarios del CJNG y CCyG que incendiaron dos bares y se llevaron ocho hombres. Una de las unidades hal"&amp;"ladas tiene la matrícula 8100146, pero las otras no contaban con números o tenían cintas para cubrir los números. También han sido localizados otros cuatro vehículos, otro conblindajey una motocicleta, pero se han asegurado dos armas cortas y un fusil. En"&amp;" una de las camionetas de color blanco, fue hallado el cuerpo deSergio Enrique Pereda Tamayo, de 30 años de edad, propietario de unos de los dos bares que fueron incendiados en la madrugada del sábado. Por lo que ha dicho el Fiscal de Chiapas, Jorge Luis "&amp;"Llaven Abarca, Pereda Tamayo, tenía undisparo en la pierna izquierday probablemente haya afectado una arteria importante y se desangró.[Publicidad] Hasta ahora, siete personas han sidodetenidas, cinco hombres y dos mujeres, que han quedado a disposición d"&amp;"e un Juez.[Publicidad] El operativo se realiza en los municipios de Villaflores, Ocozocoautla, Cintalapa y Jiquipilas, un territorio de más de 7 mil 706 kilómetros, que limita con la costa, el centro y los estados de Oaxaca y Veracruz. Copyright © Todos l"&amp;"os derechos reservados | EL UNIVERSAL, Compañía Periodística Nacional. De no existir previa autorización, queda expresamente prohibida la Publicación, retransmisión, edición y cualquier otro uso de los contenidos Al navegar en este sitio aceptas las cooki"&amp;"es que utilizamos para mejorar tu experiencia")</f>
        <v>San Cristóbal de las Casas, Chis.- El Cártel Jalisco Nueva Generación (CJNG)-Cártel Chiapas y Guatemala (CCyG) usapatrullas clonadasdel Ejército, para movilizarse por varias regiones de Chiapas, donde opera desde hace más de cuatro años. Durante los operativos que realizan tropas de la VII Región Militar, Marina Armada de México, Guardia Nacional, Policía Federal Ministerial, Guardia Estatal y Fuerza de Reacción Inmediata Pakal (FRIP) fueron halladas trescamionetas clonadasdel 100 Batallón de Infantería, que se ubica en la comunidad Chiapas Nuevo, de Jiquipilas, uno de los cuatro municipios donde se han desplegado más de500 soldadosy policías en busca de sicarios del CJNG y CCyG que incendiaron dos bares y se llevaron ocho hombres. Una de las unidades halladas tiene la matrícula 8100146, pero las otras no contaban con números o tenían cintas para cubrir los números. También han sido localizados otros cuatro vehículos, otro conblindajey una motocicleta, pero se han asegurado dos armas cortas y un fusil. En una de las camionetas de color blanco, fue hallado el cuerpo deSergio Enrique Pereda Tamayo, de 30 años de edad, propietario de unos de los dos bares que fueron incendiados en la madrugada del sábado. Por lo que ha dicho el Fiscal de Chiapas, Jorge Luis Llaven Abarca, Pereda Tamayo, tenía undisparo en la pierna izquierday probablemente haya afectado una arteria importante y se desangró.[Publicidad] Hasta ahora, siete personas han sidodetenidas, cinco hombres y dos mujeres, que han quedado a disposición de un Juez.[Publicidad] El operativo se realiza en los municipios de Villaflores, Ocozocoautla, Cintalapa y Jiquipilas, un territorio de más de 7 mil 706 kilómetros, que limita con la costa, el centro y los estados de Oaxaca y Veracruz.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3" s="15">
        <f>IFERROR(__xludf.DUMMYFUNCTION("""COMPUTED_VALUE"""),1.0)</f>
        <v>1</v>
      </c>
      <c r="P43" s="2"/>
      <c r="Q43" s="17">
        <f>IFERROR(__xludf.DUMMYFUNCTION("""COMPUTED_VALUE"""),8.5)</f>
        <v>8.5</v>
      </c>
      <c r="R43" s="2" t="str">
        <f>IFERROR(__xludf.DUMMYFUNCTION("""COMPUTED_VALUE"""),"Low")</f>
        <v>Low</v>
      </c>
      <c r="S43" s="17">
        <f>IFERROR(__xludf.DUMMYFUNCTION("""COMPUTED_VALUE"""),0.5)</f>
        <v>0.5</v>
      </c>
      <c r="T43" s="17">
        <f>IFERROR(__xludf.DUMMYFUNCTION("""COMPUTED_VALUE"""),0.0)</f>
        <v>0</v>
      </c>
      <c r="U43" s="14">
        <f>IFERROR(__xludf.DUMMYFUNCTION("""COMPUTED_VALUE"""),3.0)</f>
        <v>3</v>
      </c>
      <c r="V43" s="14">
        <v>2025.0</v>
      </c>
      <c r="W43" s="2" t="s">
        <v>1168</v>
      </c>
      <c r="X43" s="2" t="s">
        <v>1188</v>
      </c>
      <c r="Y43" s="13" t="s">
        <v>171</v>
      </c>
      <c r="Z43" s="14">
        <v>0.0</v>
      </c>
      <c r="AA43" s="14">
        <v>0.0</v>
      </c>
      <c r="AB43" s="14">
        <v>0.0</v>
      </c>
      <c r="AC43" s="14">
        <v>0.0</v>
      </c>
      <c r="AD43" s="2">
        <v>0.0</v>
      </c>
      <c r="AE43" s="2">
        <v>1.0</v>
      </c>
      <c r="AF43" s="2">
        <v>12.0</v>
      </c>
      <c r="AG43" s="2" t="s">
        <v>1190</v>
      </c>
      <c r="AH43" s="2">
        <v>0.0</v>
      </c>
    </row>
    <row r="44" ht="15.75" customHeight="1">
      <c r="A44" s="2" t="str">
        <f>IFERROR(__xludf.DUMMYFUNCTION("""COMPUTED_VALUE"""),"El Universal")</f>
        <v>El Universal</v>
      </c>
      <c r="B44" s="12" t="str">
        <f>IFERROR(__xludf.DUMMYFUNCTION("""COMPUTED_VALUE"""),"Hallan sin vida a joven desaparecida en Hidalgo; sospechan atentado en su contra")</f>
        <v>Hallan sin vida a joven desaparecida en Hidalgo; sospechan atentado en su contra</v>
      </c>
      <c r="C44" s="13" t="str">
        <f>IFERROR(__xludf.DUMMYFUNCTION("""COMPUTED_VALUE"""),"2025-12-28")</f>
        <v>2025-12-28</v>
      </c>
      <c r="D44" s="14">
        <f>IFERROR(__xludf.DUMMYFUNCTION("""COMPUTED_VALUE"""),5.0)</f>
        <v>5</v>
      </c>
      <c r="E44" s="15">
        <f>IFERROR(__xludf.DUMMYFUNCTION("""COMPUTED_VALUE"""),-0.5711)</f>
        <v>-0.5711</v>
      </c>
      <c r="F44" s="2" t="str">
        <f>IFERROR(__xludf.DUMMYFUNCTION("""COMPUTED_VALUE"""),"Negativo")</f>
        <v>Negativo</v>
      </c>
      <c r="G44" s="15">
        <f>IFERROR(__xludf.DUMMYFUNCTION("""COMPUTED_VALUE"""),0.5711)</f>
        <v>0.5711</v>
      </c>
      <c r="H44" s="2" t="str">
        <f>IFERROR(__xludf.DUMMYFUNCTION("""COMPUTED_VALUE"""),"Acoso o agresión sexual")</f>
        <v>Acoso o agresión sexual</v>
      </c>
      <c r="I44" s="2" t="str">
        <f>IFERROR(__xludf.DUMMYFUNCTION("""COMPUTED_VALUE"""),"feminicidio")</f>
        <v>feminicidio</v>
      </c>
      <c r="J44" s="2" t="str">
        <f>IFERROR(__xludf.DUMMYFUNCTION("""COMPUTED_VALUE"""),"INTEGRIDAD / GÉNERO: Cero Tolerancia.")</f>
        <v>INTEGRIDAD / GÉNERO: Cero Tolerancia.</v>
      </c>
      <c r="K44" s="2" t="str">
        <f>IFERROR(__xludf.DUMMYFUNCTION("""COMPUTED_VALUE"""),"Hidalgo")</f>
        <v>Hidalgo</v>
      </c>
      <c r="L44" s="2" t="str">
        <f>IFERROR(__xludf.DUMMYFUNCTION("""COMPUTED_VALUE"""),"Hidalgo")</f>
        <v>Hidalgo</v>
      </c>
      <c r="M44" s="16" t="str">
        <f>IFERROR(__xludf.DUMMYFUNCTION("""COMPUTED_VALUE"""),"https://www.eluniversal.com.mx/estados/hallan-sin-vida-a-joven-desaparecida-en-hidalgo-sospechan-atentado-en-su-contra/")</f>
        <v>https://www.eluniversal.com.mx/estados/hallan-sin-vida-a-joven-desaparecida-en-hidalgo-sospechan-atentado-en-su-contra/</v>
      </c>
      <c r="N44" s="2" t="str">
        <f>IFERROR(__xludf.DUMMYFUNCTION("""COMPUTED_VALUE"""),"Pachuca.-Localizan sin vidaa una joven que se encontraba reportada comodesaparecidadesde el pasado 23 de diciembre, en el municipio de Atitalaquia, en el estado de Hidalgo. La víctima, identificada comoFátima Ramírez Izquierdo,desapareció el 23 de diciemb"&amp;"re de su domicilio, ubicado en dicho municipio, motivo por el cual se difundió unaficha de búsqueda. De acuerdo con la información proporcionada, la última vez fue vista en esa demarcación, por lo que sus familiares emprendieron diversasacciones de rastre"&amp;"otanto en la región como mediante una campaña de difusión en redes sociales. Este día se dio a conocer que la joven fue localizada sin vida en la localidad de Tlalminulpa. Según autoridades de la Procuraduría de Justicia, de manera preliminar se informó q"&amp;"ue Fátima Ramírez habríaatentado contra su vida; no obstante, se precisó que se llevan a cabo las investigaciones correspondientes bajo el protocolo de feminicidio. El hallazgo generó una fuerte conmoción entre los habitantes de la región, quienes exigier"&amp;"on el esclarecimiento total de los hechos. Copyright © Todos los derechos reservados | EL UNIVERSAL, Compañía Periodística Nacional. De no existir previa autorización, queda expresamente prohibida la Publicación, retransmisión, edición y cualquier otro us"&amp;"o de los contenidos Al navegar en este sitio aceptas las cookies que utilizamos para mejorar tu experiencia")</f>
        <v>Pachuca.-Localizan sin vidaa una joven que se encontraba reportada comodesaparecidadesde el pasado 23 de diciembre, en el municipio de Atitalaquia, en el estado de Hidalgo. La víctima, identificada comoFátima Ramírez Izquierdo,desapareció el 23 de diciembre de su domicilio, ubicado en dicho municipio, motivo por el cual se difundió unaficha de búsqueda. De acuerdo con la información proporcionada, la última vez fue vista en esa demarcación, por lo que sus familiares emprendieron diversasacciones de rastreotanto en la región como mediante una campaña de difusión en redes sociales. Este día se dio a conocer que la joven fue localizada sin vida en la localidad de Tlalminulpa. Según autoridades de la Procuraduría de Justicia, de manera preliminar se informó que Fátima Ramírez habríaatentado contra su vida; no obstante, se precisó que se llevan a cabo las investigaciones correspondientes bajo el protocolo de feminicidio. El hallazgo generó una fuerte conmoción entre los habitantes de la región, quienes exigieron el esclarecimiento total de los hechos.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4" s="15">
        <f>IFERROR(__xludf.DUMMYFUNCTION("""COMPUTED_VALUE"""),1.0)</f>
        <v>1</v>
      </c>
      <c r="P44" s="2"/>
      <c r="Q44" s="17">
        <f>IFERROR(__xludf.DUMMYFUNCTION("""COMPUTED_VALUE"""),8.5)</f>
        <v>8.5</v>
      </c>
      <c r="R44" s="2" t="str">
        <f>IFERROR(__xludf.DUMMYFUNCTION("""COMPUTED_VALUE"""),"Medium")</f>
        <v>Medium</v>
      </c>
      <c r="S44" s="17">
        <f>IFERROR(__xludf.DUMMYFUNCTION("""COMPUTED_VALUE"""),1.5)</f>
        <v>1.5</v>
      </c>
      <c r="T44" s="17">
        <f>IFERROR(__xludf.DUMMYFUNCTION("""COMPUTED_VALUE"""),0.0)</f>
        <v>0</v>
      </c>
      <c r="U44" s="14">
        <f>IFERROR(__xludf.DUMMYFUNCTION("""COMPUTED_VALUE"""),3.0)</f>
        <v>3</v>
      </c>
      <c r="V44" s="14">
        <v>2025.0</v>
      </c>
      <c r="W44" s="2" t="s">
        <v>1168</v>
      </c>
      <c r="X44" s="2" t="s">
        <v>1188</v>
      </c>
      <c r="Y44" s="13" t="s">
        <v>171</v>
      </c>
      <c r="Z44" s="14">
        <v>0.0</v>
      </c>
      <c r="AA44" s="14">
        <v>0.0</v>
      </c>
      <c r="AB44" s="14">
        <v>0.0</v>
      </c>
      <c r="AC44" s="14">
        <v>0.0</v>
      </c>
      <c r="AD44" s="2">
        <v>0.0</v>
      </c>
      <c r="AE44" s="2">
        <v>1.0</v>
      </c>
      <c r="AF44" s="2">
        <v>12.0</v>
      </c>
      <c r="AG44" s="2" t="s">
        <v>1178</v>
      </c>
      <c r="AH44" s="2">
        <v>0.0</v>
      </c>
    </row>
    <row r="45" ht="15.75" customHeight="1">
      <c r="A45" s="2" t="str">
        <f>IFERROR(__xludf.DUMMYFUNCTION("""COMPUTED_VALUE"""),"El Universal")</f>
        <v>El Universal</v>
      </c>
      <c r="B45" s="12" t="str">
        <f>IFERROR(__xludf.DUMMYFUNCTION("""COMPUTED_VALUE"""),"Sube a 20 la cifra de heridos tras descarrilamiento del Tren Interoceánico en Oaxaca; víctimas son trasladadas a hospitales cercanos")</f>
        <v>Sube a 20 la cifra de heridos tras descarrilamiento del Tren Interoceánico en Oaxaca; víctimas son trasladadas a hospitales cercanos</v>
      </c>
      <c r="C45" s="13" t="str">
        <f>IFERROR(__xludf.DUMMYFUNCTION("""COMPUTED_VALUE"""),"2025-12-28")</f>
        <v>2025-12-28</v>
      </c>
      <c r="D45" s="14">
        <f>IFERROR(__xludf.DUMMYFUNCTION("""COMPUTED_VALUE"""),1.0)</f>
        <v>1</v>
      </c>
      <c r="E45" s="15">
        <f>IFERROR(__xludf.DUMMYFUNCTION("""COMPUTED_VALUE"""),0.0)</f>
        <v>0</v>
      </c>
      <c r="F45" s="2" t="str">
        <f>IFERROR(__xludf.DUMMYFUNCTION("""COMPUTED_VALUE"""),"Neutral")</f>
        <v>Neutral</v>
      </c>
      <c r="G45" s="15">
        <f>IFERROR(__xludf.DUMMYFUNCTION("""COMPUTED_VALUE"""),0.6271)</f>
        <v>0.6271</v>
      </c>
      <c r="H45" s="2" t="str">
        <f>IFERROR(__xludf.DUMMYFUNCTION("""COMPUTED_VALUE"""),"Noticia corporativa o regulación de transporte")</f>
        <v>Noticia corporativa o regulación de transporte</v>
      </c>
      <c r="I45" s="2" t="str">
        <f>IFERROR(__xludf.DUMMYFUNCTION("""COMPUTED_VALUE"""),"N/A")</f>
        <v>N/A</v>
      </c>
      <c r="J45" s="2" t="str">
        <f>IFERROR(__xludf.DUMMYFUNCTION("""COMPUTED_VALUE"""),"Monitoreo general.")</f>
        <v>Monitoreo general.</v>
      </c>
      <c r="K45" s="2" t="str">
        <f>IFERROR(__xludf.DUMMYFUNCTION("""COMPUTED_VALUE"""),"Oaxaca")</f>
        <v>Oaxaca</v>
      </c>
      <c r="L45" s="2" t="str">
        <f>IFERROR(__xludf.DUMMYFUNCTION("""COMPUTED_VALUE"""),"Oaxaca")</f>
        <v>Oaxaca</v>
      </c>
      <c r="M45" s="16" t="str">
        <f>IFERROR(__xludf.DUMMYFUNCTION("""COMPUTED_VALUE"""),"https://www.eluniversal.com.mx/estados/autoridades-confirman-15-heridos-tras-descarrilamiento-del-tren-interoceanico-en-oaxaca-victimas-son-trasladadas-a-hospitales-cercanos/")</f>
        <v>https://www.eluniversal.com.mx/estados/autoridades-confirman-15-heridos-tras-descarrilamiento-del-tren-interoceanico-en-oaxaca-victimas-son-trasladadas-a-hospitales-cercanos/</v>
      </c>
      <c r="N45" s="2" t="str">
        <f>IFERROR(__xludf.DUMMYFUNCTION("""COMPUTED_VALUE"""),"LaSecretaría de Marina (Semar)informó que hasta el momentose contabilizan 20 personas lesionadas, quienes están siendo trasladadas a hospitales locales para su oportuna atención médica, de igual forma, por parte de esta Institución, se mantiene un desplie"&amp;"gue de apoyo de cinco ambulancias terrestres, una aérea yalrededor de 40 elementos de sanidad naval, así mismo, se encuentranen desarrollo maniobras de rescateen coordinación con autoridades de los tres órdenes de gobierno para auxiliar a quienes cayeron "&amp;"a un talud de aproximadamente siete metros de altura. Anteriormente el gobernador de Oaxaca,Salomón Jara Cruz, había confirmado que15 personas resultaron lesionadastras eldescarrilamiento del Tren Interoceánicoen la región del Istmo de Tehuantepec. De acu"&amp;"erdo con laSecretaría de Marina (Semar), en el tren viajaban nueve integrantes de la tripulación y241 personas pasajeras, a bordo dedos locomotorasycuatro vagones de pasajeros. El descarrilamiento ocurrió entre laspoblaciones de Chívela y Nizanda, en elki"&amp;"lómetro Z-230+290, con dirección almunicipio de Matías Romero Avendaño, sobre laLínea Z. Laspersonas lesionadasfuerontrasladadas en ambulancia a hospitales cercanosy, hasta el momento,se desconoce su estado de salud, informaron las autoridades. El mandata"&amp;"rio estatal indicó que se instaló un módulo operativo de atención a la emergencia, en un trabajo coordinado entre el Gobierno del Estado, el Gobierno Municipal y dependencias federales, con el objetivo de atender de manera oportuna la emergencia y salvagu"&amp;"ardar la integridad de la población.[Publicidad] En el operativo participan laSecretaría de Gobierno, laGuardia Nacional, laSecretaría de la Defensa Nacional (Sedena), la Secretaría de Marina (Semar), la Coordinación de Delegados de Paz,Capufe, elCuerpo d"&amp;"e Bomberosde Matías Romero yparamédicos, entre otras instituciones de emergencia. “De manera preliminar, se reportan15 personas lesionadas, quienes fueronatendidas de forma inmediataconforme a los protocolos de emergencia y canalizadas para su valoración "&amp;"médica”, detalló Salomón Jara a través de sus redes sociales.[Publicidad] Copyright © Todos los derechos reservados | EL UNIVERSAL, Compañía Periodística Nacional. De no existir previa autorización, queda expresamente prohibida la Publicación, retransmisi"&amp;"ón, edición y cualquier otro uso de los contenidos Al navegar en este sitio aceptas las cookies que utilizamos para mejorar tu experiencia")</f>
        <v>LaSecretaría de Marina (Semar)informó que hasta el momentose contabilizan 20 personas lesionadas, quienes están siendo trasladadas a hospitales locales para su oportuna atención médica, de igual forma, por parte de esta Institución, se mantiene un despliegue de apoyo de cinco ambulancias terrestres, una aérea yalrededor de 40 elementos de sanidad naval, así mismo, se encuentranen desarrollo maniobras de rescateen coordinación con autoridades de los tres órdenes de gobierno para auxiliar a quienes cayeron a un talud de aproximadamente siete metros de altura. Anteriormente el gobernador de Oaxaca,Salomón Jara Cruz, había confirmado que15 personas resultaron lesionadastras eldescarrilamiento del Tren Interoceánicoen la región del Istmo de Tehuantepec. De acuerdo con laSecretaría de Marina (Semar), en el tren viajaban nueve integrantes de la tripulación y241 personas pasajeras, a bordo dedos locomotorasycuatro vagones de pasajeros. El descarrilamiento ocurrió entre laspoblaciones de Chívela y Nizanda, en elkilómetro Z-230+290, con dirección almunicipio de Matías Romero Avendaño, sobre laLínea Z. Laspersonas lesionadasfuerontrasladadas en ambulancia a hospitales cercanosy, hasta el momento,se desconoce su estado de salud, informaron las autoridades. El mandatario estatal indicó que se instaló un módulo operativo de atención a la emergencia, en un trabajo coordinado entre el Gobierno del Estado, el Gobierno Municipal y dependencias federales, con el objetivo de atender de manera oportuna la emergencia y salvaguardar la integridad de la población.[Publicidad] En el operativo participan laSecretaría de Gobierno, laGuardia Nacional, laSecretaría de la Defensa Nacional (Sedena), la Secretaría de Marina (Semar), la Coordinación de Delegados de Paz,Capufe, elCuerpo de Bomberosde Matías Romero yparamédicos, entre otras instituciones de emergencia. “De manera preliminar, se reportan15 personas lesionadas, quienes fueronatendidas de forma inmediataconforme a los protocolos de emergencia y canalizadas para su valoración médica”, detalló Salomón Jara a través de sus redes sociales.[Publicidad]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5" s="15">
        <f>IFERROR(__xludf.DUMMYFUNCTION("""COMPUTED_VALUE"""),0.2756)</f>
        <v>0.2756</v>
      </c>
      <c r="P45" s="2"/>
      <c r="Q45" s="17">
        <f>IFERROR(__xludf.DUMMYFUNCTION("""COMPUTED_VALUE"""),6.5)</f>
        <v>6.5</v>
      </c>
      <c r="R45" s="2" t="str">
        <f>IFERROR(__xludf.DUMMYFUNCTION("""COMPUTED_VALUE"""),"High")</f>
        <v>High</v>
      </c>
      <c r="S45" s="17">
        <f>IFERROR(__xludf.DUMMYFUNCTION("""COMPUTED_VALUE"""),2.5)</f>
        <v>2.5</v>
      </c>
      <c r="T45" s="17">
        <f>IFERROR(__xludf.DUMMYFUNCTION("""COMPUTED_VALUE"""),0.0)</f>
        <v>0</v>
      </c>
      <c r="U45" s="14">
        <f>IFERROR(__xludf.DUMMYFUNCTION("""COMPUTED_VALUE"""),3.0)</f>
        <v>3</v>
      </c>
      <c r="V45" s="14">
        <v>2025.0</v>
      </c>
      <c r="W45" s="2" t="s">
        <v>1168</v>
      </c>
      <c r="X45" s="2" t="s">
        <v>1188</v>
      </c>
      <c r="Y45" s="13" t="s">
        <v>171</v>
      </c>
      <c r="Z45" s="14">
        <v>0.0</v>
      </c>
      <c r="AA45" s="14">
        <v>0.0</v>
      </c>
      <c r="AB45" s="14">
        <v>0.0</v>
      </c>
      <c r="AC45" s="14">
        <v>0.0</v>
      </c>
      <c r="AD45" s="2">
        <v>0.0</v>
      </c>
      <c r="AE45" s="2">
        <v>0.0</v>
      </c>
      <c r="AF45" s="2">
        <v>12.0</v>
      </c>
      <c r="AG45" s="2" t="s">
        <v>1176</v>
      </c>
      <c r="AH45" s="2">
        <v>0.0</v>
      </c>
    </row>
    <row r="46" ht="15.75" customHeight="1">
      <c r="A46" s="2" t="str">
        <f>IFERROR(__xludf.DUMMYFUNCTION("""COMPUTED_VALUE"""),"El Universal")</f>
        <v>El Universal</v>
      </c>
      <c r="B46" s="12" t="str">
        <f>IFERROR(__xludf.DUMMYFUNCTION("""COMPUTED_VALUE"""),"Despliegan megaoperativo en Chiapas tras quema de bares y secuestro de ocho personas; uno fue hallado sin vida")</f>
        <v>Despliegan megaoperativo en Chiapas tras quema de bares y secuestro de ocho personas; uno fue hallado sin vida</v>
      </c>
      <c r="C46" s="13" t="str">
        <f>IFERROR(__xludf.DUMMYFUNCTION("""COMPUTED_VALUE"""),"2025-12-28")</f>
        <v>2025-12-28</v>
      </c>
      <c r="D46" s="14">
        <f>IFERROR(__xludf.DUMMYFUNCTION("""COMPUTED_VALUE"""),5.0)</f>
        <v>5</v>
      </c>
      <c r="E46" s="15">
        <f>IFERROR(__xludf.DUMMYFUNCTION("""COMPUTED_VALUE"""),0.0)</f>
        <v>0</v>
      </c>
      <c r="F46" s="2" t="str">
        <f>IFERROR(__xludf.DUMMYFUNCTION("""COMPUTED_VALUE"""),"Neutral")</f>
        <v>Neutral</v>
      </c>
      <c r="G46" s="15">
        <f>IFERROR(__xludf.DUMMYFUNCTION("""COMPUTED_VALUE"""),0.5438)</f>
        <v>0.5438</v>
      </c>
      <c r="H46" s="2" t="str">
        <f>IFERROR(__xludf.DUMMYFUNCTION("""COMPUTED_VALUE"""),"Operativo policial o detención")</f>
        <v>Operativo policial o detención</v>
      </c>
      <c r="I46" s="2" t="str">
        <f>IFERROR(__xludf.DUMMYFUNCTION("""COMPUTED_VALUE"""),"N/A")</f>
        <v>N/A</v>
      </c>
      <c r="J46" s="2" t="str">
        <f>IFERROR(__xludf.DUMMYFUNCTION("""COMPUTED_VALUE"""),"Monitoreo general.")</f>
        <v>Monitoreo general.</v>
      </c>
      <c r="K46" s="2" t="str">
        <f>IFERROR(__xludf.DUMMYFUNCTION("""COMPUTED_VALUE"""),"Chiapas")</f>
        <v>Chiapas</v>
      </c>
      <c r="L46" s="2" t="str">
        <f>IFERROR(__xludf.DUMMYFUNCTION("""COMPUTED_VALUE"""),"Chiapas")</f>
        <v>Chiapas</v>
      </c>
      <c r="M46" s="16" t="str">
        <f>IFERROR(__xludf.DUMMYFUNCTION("""COMPUTED_VALUE"""),"https://www.eluniversal.com.mx/estados/despliegan-megaoperativo-en-chiapas-tras-quema-de-bares-y-secuestro-de-ocho-personas-uno-fue-hallado-sin-vida/")</f>
        <v>https://www.eluniversal.com.mx/estados/despliegan-megaoperativo-en-chiapas-tras-quema-de-bares-y-secuestro-de-ocho-personas-uno-fue-hallado-sin-vida/</v>
      </c>
      <c r="N46" s="2" t="str">
        <f>IFERROR(__xludf.DUMMYFUNCTION("""COMPUTED_VALUE"""),"Más de500 elementos del Ejército,Guardia Nacional,Marina Armada de México,Guardia Estatal,Policía Federal Ministerialy laFuerza de Reacción Inmediata Pakal(FRIP) mantienen unoperativo de seguridaden los municipios de Villaflores, Jiquipilas, Ocozocoautla "&amp;"y Cintalapa, tras laquema de dos baresy elrapto de ocho hombresocurrido durante la madrugada del sábado. Hasta este domingo,uno de los secuestrados fue localizado sin vida. El secretario de Seguridad Pública del Pueblo, Óscar Aparicio Avendaño, informó qu"&amp;"e fuehallado sin vida Sergio Enrique Pereda Tamayo, de30 años de edad,dueño del bar Kabala, quien formaba parte de los ocho hombres privados de la libertad porsujetos armadosque se desplazaban en tres camionetas. El funcionario recordó que Pereda Tamayo h"&amp;"abía sido detenido en agosto de 2025 pordelitos contra la saluden su modalidad denarcomenudeo, recluido en elpenal de Villaflores, pero fue liberado en noviembre de 2025 tras un cambio de medida cautelar. Como resultado del operativo, las autoridades han "&amp;"logrado ladetención de siete personas,cinco hombres y dos mujeres, además del aseguramiento de dos armas cortas y un arma larga, siete vehículos, entre ellos tres camionetas clonadas como patrullas del Ejército, una unidad blindada y una motocicleta. Elop"&amp;"erativo de seguridadseextendió hasta la frontera con Oaxaca, donde participandos helicópterosy unavión no tripuladopara reforzar las labores debúsqueda y vigilancia. Durante las acciones, fuerescatado un hombreque se encontrabacon manos y pies atados y lo"&amp;"s ojos vendados, abandonado en un bosque. Las autoridades informaron queya fue reunido con su familia, aunque no se reveló su identidad.[Publicidad] En el caso deSergio Enrique Pereda Tamayo, su cuerpo fue localizado dentro de una camioneta blanca, abando"&amp;"nada en una zona boscosa, con unaherida de arma de fuego en la pierna izquierda. Elfiscal general de Chiapas,Jorge Luis Llaven Abarca, detalló que la causa de muerte fue una hemorragia aguda, secundaria a una herida por proyectil de arma de fuego en el mu"&amp;"slo izquierdo.[Publicidad] Hasta este domingo, se contabilizanocho denuncias de personas desaparecidas. La lista incluye a Sergio Enrique Pereda Tamayo (localizado sin vida),José Armando Coutiño Ruiz, de 28 años, dueño del bar Anubis’s Discoclub;José Ánge"&amp;"l Martínez Marina, de 45 años;Mauricio Camilo Girón, de 26 años;Juan Ovani CamiloGirón, de 20 años;Luis Rubiel Constantino Rodríguez, de 33 años;Luis Fernando Fernández Ramírez, de 30 años; yFernando Daniel García Pérez, de 23 años. “Vamos a continuar con"&amp;" los operativos en las próximas horas para dar con el paradero de las otras siete personas desaparecidas”, aseguró el funcionario. En cuanto a lasmujeres que resultaron con quemaduras, identificadas comoNayeli, Citlali y Jazmín, las autoridades informaron"&amp;" que fuerontrasladadas de Villaflores a Tuxtlay se reportanestables de salud, bajo atención médica hospitalaria. Finalmente, el fiscal Jorge Luis Llaven Abarca afirmó que los operativos de seguridad continuarán en los cuatro municipios como parte de la es"&amp;"trategia de contención ylocalización de responsables. Copyright © Todos los derechos reservados | EL UNIVERSAL, Compañía Periodística Nacional. De no existir previa autorización, queda expresamente prohibida la Publicación, retransmisión, edición y cualqu"&amp;"ier otro uso de los contenidos Al navegar en este sitio aceptas las cookies que utilizamos para mejorar tu experiencia")</f>
        <v>Más de500 elementos del Ejército,Guardia Nacional,Marina Armada de México,Guardia Estatal,Policía Federal Ministerialy laFuerza de Reacción Inmediata Pakal(FRIP) mantienen unoperativo de seguridaden los municipios de Villaflores, Jiquipilas, Ocozocoautla y Cintalapa, tras laquema de dos baresy elrapto de ocho hombresocurrido durante la madrugada del sábado. Hasta este domingo,uno de los secuestrados fue localizado sin vida. El secretario de Seguridad Pública del Pueblo, Óscar Aparicio Avendaño, informó que fuehallado sin vida Sergio Enrique Pereda Tamayo, de30 años de edad,dueño del bar Kabala, quien formaba parte de los ocho hombres privados de la libertad porsujetos armadosque se desplazaban en tres camionetas. El funcionario recordó que Pereda Tamayo había sido detenido en agosto de 2025 pordelitos contra la saluden su modalidad denarcomenudeo, recluido en elpenal de Villaflores, pero fue liberado en noviembre de 2025 tras un cambio de medida cautelar. Como resultado del operativo, las autoridades han logrado ladetención de siete personas,cinco hombres y dos mujeres, además del aseguramiento de dos armas cortas y un arma larga, siete vehículos, entre ellos tres camionetas clonadas como patrullas del Ejército, una unidad blindada y una motocicleta. Eloperativo de seguridadseextendió hasta la frontera con Oaxaca, donde participandos helicópterosy unavión no tripuladopara reforzar las labores debúsqueda y vigilancia. Durante las acciones, fuerescatado un hombreque se encontrabacon manos y pies atados y los ojos vendados, abandonado en un bosque. Las autoridades informaron queya fue reunido con su familia, aunque no se reveló su identidad.[Publicidad] En el caso deSergio Enrique Pereda Tamayo, su cuerpo fue localizado dentro de una camioneta blanca, abandonada en una zona boscosa, con unaherida de arma de fuego en la pierna izquierda. Elfiscal general de Chiapas,Jorge Luis Llaven Abarca, detalló que la causa de muerte fue una hemorragia aguda, secundaria a una herida por proyectil de arma de fuego en el muslo izquierdo.[Publicidad] Hasta este domingo, se contabilizanocho denuncias de personas desaparecidas. La lista incluye a Sergio Enrique Pereda Tamayo (localizado sin vida),José Armando Coutiño Ruiz, de 28 años, dueño del bar Anubis’s Discoclub;José Ángel Martínez Marina, de 45 años;Mauricio Camilo Girón, de 26 años;Juan Ovani CamiloGirón, de 20 años;Luis Rubiel Constantino Rodríguez, de 33 años;Luis Fernando Fernández Ramírez, de 30 años; yFernando Daniel García Pérez, de 23 años. “Vamos a continuar con los operativos en las próximas horas para dar con el paradero de las otras siete personas desaparecidas”, aseguró el funcionario. En cuanto a lasmujeres que resultaron con quemaduras, identificadas comoNayeli, Citlali y Jazmín, las autoridades informaron que fuerontrasladadas de Villaflores a Tuxtlay se reportanestables de salud, bajo atención médica hospitalaria. Finalmente, el fiscal Jorge Luis Llaven Abarca afirmó que los operativos de seguridad continuarán en los cuatro municipios como parte de la estrategia de contención ylocalización de responsables.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6" s="15">
        <f>IFERROR(__xludf.DUMMYFUNCTION("""COMPUTED_VALUE"""),0.6306)</f>
        <v>0.6306</v>
      </c>
      <c r="P46" s="2"/>
      <c r="Q46" s="17">
        <f>IFERROR(__xludf.DUMMYFUNCTION("""COMPUTED_VALUE"""),6.5)</f>
        <v>6.5</v>
      </c>
      <c r="R46" s="2" t="str">
        <f>IFERROR(__xludf.DUMMYFUNCTION("""COMPUTED_VALUE"""),"Low")</f>
        <v>Low</v>
      </c>
      <c r="S46" s="17">
        <f>IFERROR(__xludf.DUMMYFUNCTION("""COMPUTED_VALUE"""),0.5)</f>
        <v>0.5</v>
      </c>
      <c r="T46" s="17">
        <f>IFERROR(__xludf.DUMMYFUNCTION("""COMPUTED_VALUE"""),0.0)</f>
        <v>0</v>
      </c>
      <c r="U46" s="14">
        <f>IFERROR(__xludf.DUMMYFUNCTION("""COMPUTED_VALUE"""),3.0)</f>
        <v>3</v>
      </c>
      <c r="V46" s="14">
        <v>2025.0</v>
      </c>
      <c r="W46" s="2" t="s">
        <v>1168</v>
      </c>
      <c r="X46" s="2" t="s">
        <v>1188</v>
      </c>
      <c r="Y46" s="13" t="s">
        <v>171</v>
      </c>
      <c r="Z46" s="14">
        <v>0.0</v>
      </c>
      <c r="AA46" s="14">
        <v>0.0</v>
      </c>
      <c r="AB46" s="14">
        <v>0.0</v>
      </c>
      <c r="AC46" s="14">
        <v>0.0</v>
      </c>
      <c r="AD46" s="2">
        <v>0.0</v>
      </c>
      <c r="AE46" s="2">
        <v>1.0</v>
      </c>
      <c r="AF46" s="2">
        <v>12.0</v>
      </c>
      <c r="AG46" s="2" t="s">
        <v>1190</v>
      </c>
      <c r="AH46" s="2">
        <v>0.0</v>
      </c>
    </row>
    <row r="47" ht="15.75" customHeight="1">
      <c r="A47" s="2" t="str">
        <f>IFERROR(__xludf.DUMMYFUNCTION("""COMPUTED_VALUE"""),"El Universal")</f>
        <v>El Universal</v>
      </c>
      <c r="B47" s="12" t="str">
        <f>IFERROR(__xludf.DUMMYFUNCTION("""COMPUTED_VALUE"""),"Tren Interoceánico se descarrila con 250 personas a bordo en Oaxaca; Sheinbaum reporta atención inmediata")</f>
        <v>Tren Interoceánico se descarrila con 250 personas a bordo en Oaxaca; Sheinbaum reporta atención inmediata</v>
      </c>
      <c r="C47" s="13" t="str">
        <f>IFERROR(__xludf.DUMMYFUNCTION("""COMPUTED_VALUE"""),"2025-12-28")</f>
        <v>2025-12-28</v>
      </c>
      <c r="D47" s="14">
        <f>IFERROR(__xludf.DUMMYFUNCTION("""COMPUTED_VALUE"""),2.0)</f>
        <v>2</v>
      </c>
      <c r="E47" s="15">
        <f>IFERROR(__xludf.DUMMYFUNCTION("""COMPUTED_VALUE"""),-0.571)</f>
        <v>-0.571</v>
      </c>
      <c r="F47" s="2" t="str">
        <f>IFERROR(__xludf.DUMMYFUNCTION("""COMPUTED_VALUE"""),"Negativo")</f>
        <v>Negativo</v>
      </c>
      <c r="G47" s="15">
        <f>IFERROR(__xludf.DUMMYFUNCTION("""COMPUTED_VALUE"""),0.571)</f>
        <v>0.571</v>
      </c>
      <c r="H47" s="2" t="str">
        <f>IFERROR(__xludf.DUMMYFUNCTION("""COMPUTED_VALUE"""),"Accidente de tránsito o choque vial")</f>
        <v>Accidente de tránsito o choque vial</v>
      </c>
      <c r="I47" s="2" t="str">
        <f>IFERROR(__xludf.DUMMYFUNCTION("""COMPUTED_VALUE"""),"N/A")</f>
        <v>N/A</v>
      </c>
      <c r="J47" s="2" t="str">
        <f>IFERROR(__xludf.DUMMYFUNCTION("""COMPUTED_VALUE"""),"Soporte DRV: Seguros/Guía post-siniestro.")</f>
        <v>Soporte DRV: Seguros/Guía post-siniestro.</v>
      </c>
      <c r="K47" s="2" t="str">
        <f>IFERROR(__xludf.DUMMYFUNCTION("""COMPUTED_VALUE"""),"Oaxaca")</f>
        <v>Oaxaca</v>
      </c>
      <c r="L47" s="2" t="str">
        <f>IFERROR(__xludf.DUMMYFUNCTION("""COMPUTED_VALUE"""),"Oaxaca")</f>
        <v>Oaxaca</v>
      </c>
      <c r="M47" s="16" t="str">
        <f>IFERROR(__xludf.DUMMYFUNCTION("""COMPUTED_VALUE"""),"https://www.eluniversal.com.mx/estados/descarrila-tren-transistmico-de-pasajeros-en-oaxaca-se-desconoce-el-numero-de-personas-lesionadas/")</f>
        <v>https://www.eluniversal.com.mx/estados/descarrila-tren-transistmico-de-pasajeros-en-oaxaca-se-desconoce-el-numero-de-personas-lesionadas/</v>
      </c>
      <c r="N47" s="2" t="str">
        <f>IFERROR(__xludf.DUMMYFUNCTION("""COMPUTED_VALUE"""),"Eltren transístmico de pasajeros, inaugurado en diciembre de 2023,descarrilóla mañana de este día en las inmediaciones de lacomunidad de Nizanda, luego de salir de laestación de Salina Cruzcondestino a Coatzacoalcos, Veracruz. De acuerdo con reportes degr"&amp;"upos de emergencia,bomberosyProtección Civil, se solicitó el apoyo de ambulancias para el rescate depersonas lesionadastras el incidente. Una persona que viajaba en el tren relató queuno de los vagones cayó a un barranco, lo que provocó la movilización de"&amp;" los servicios de auxilio en la zona. El ferrocarril transístmico de pasajeros fue inaugurado el 22 de diciembre de 2023 por el entonces presidente de México,Andrés Manuel López Obrador, durante un acto realizado en Salina Cruz, al que asistieron elgobern"&amp;"ador de Oaxaca, Salomón Jara, y el exgobernador de Veracruz, Cuitláhuac García. Según la dependencia, viajaban nueve integrantes de la tripulación y241 pasajeros, a bordo de dos locomotoras ycuatro vagones de pasajeros. “En dicho evento se presentó el des"&amp;"carrilamiento de la máquina principal”, reportó mediante un mensaje en redes sociales. El Corredor Interoceánico del Istmo de Tehuantepec aseguró que desde el primer momento, se brinda atención inmediata a las personas usuarias y se mantiene coordinación "&amp;"con las autoridades locales para la atención del suceso, así como para el levantamiento de información técnica y operativa correspondiente.[Publicidad] “Conforme se cuente con datos confirmados y completos, se ampliará la información por los canales ofici"&amp;"ales, a fin de mantener informada a la población con responsabilidad y transparencia”, señaló. La presidentaClaudia Sheinbaum Pardoafirmó que la Secretaría de Marina (Semar) se encuentra apoyando a los usuarios del Corredor Interoceánico, tras el accident"&amp;"e donde se descarriló uno de los vagones principales.[Publicidad] Por medio de su cuenta de X, la Presidenta mencionó que se encuentran atentos a los trabajos que se realizan. El gobernador de Oaxaca,Salomón Jara Cruz, informó que se desplegó a todas las "&amp;"corporaciones de seguridad pública y protección civil para atender el descarrilamiento del Tren Interoceánico del Istmo de Tehuantepec. A través de sus redes sociales, dijo que el descarrilamiento ocurrió este domingo entre laspoblaciones Chívela y Nizand"&amp;"a. De manera preliminar se reporta que se registró en elkilómetro Z-230+290, con dirección al municipio Matías Romero Avendaño. ""Al lugar se ha movilizado personal de la Coordinación Estatal de Protección Civil y Gestión de Riesgos (CEPCyGR), Policía Via"&amp;"l Estatal, así como ambulancias para brindar auxilio"", detalló. Y agregó queel gobierno del estado dará seguimiento puntual al desarrollo de los hechosy ""se informará oportunamente sobre el estado de las personas involucradas, conforme se cuente con inf"&amp;"ormación confirmada por las autoridades competentes"". A través de susredes sociales,Ernestina Godoyinformó queagentes ministeriales de la Fiscalía Federal en Oaxaca, en coordinación conpersonal pericial y policial de la Agencia de Investigación Criminal "&amp;"(AIC), trabajan de manera conjunta conautoridades federales y estatalespara llevar a cabo lasindagatorias correspondientes. “Luego de los hechos ocurridos en el Corredor Interoceánico, laFGR Méxicoinició unacarpeta de investigaciónpara conocer las causas "&amp;"de lo sucedido.Agentes ministeriales, así comopersonal pericial y de la AIC, se coordinan con autoridades para realizar las investigaciones respectivas”, señaló. Copyright © Todos los derechos reservados | EL UNIVERSAL, Compañía Periodística Nacional. De "&amp;"no existir previa autorización, queda expresamente prohibida la Publicación, retransmisión, edición y cualquier otro uso de los contenidos Al navegar en este sitio aceptas las cookies que utilizamos para mejorar tu experiencia")</f>
        <v>Eltren transístmico de pasajeros, inaugurado en diciembre de 2023,descarrilóla mañana de este día en las inmediaciones de lacomunidad de Nizanda, luego de salir de laestación de Salina Cruzcondestino a Coatzacoalcos, Veracruz. De acuerdo con reportes degrupos de emergencia,bomberosyProtección Civil, se solicitó el apoyo de ambulancias para el rescate depersonas lesionadastras el incidente. Una persona que viajaba en el tren relató queuno de los vagones cayó a un barranco, lo que provocó la movilización de los servicios de auxilio en la zona. El ferrocarril transístmico de pasajeros fue inaugurado el 22 de diciembre de 2023 por el entonces presidente de México,Andrés Manuel López Obrador, durante un acto realizado en Salina Cruz, al que asistieron elgobernador de Oaxaca, Salomón Jara, y el exgobernador de Veracruz, Cuitláhuac García. Según la dependencia, viajaban nueve integrantes de la tripulación y241 pasajeros, a bordo de dos locomotoras ycuatro vagones de pasajeros. “En dicho evento se presentó el descarrilamiento de la máquina principal”, reportó mediante un mensaje en redes sociales. El Corredor Interoceánico del Istmo de Tehuantepec aseguró que desde el primer momento, se brinda atención inmediata a las personas usuarias y se mantiene coordinación con las autoridades locales para la atención del suceso, así como para el levantamiento de información técnica y operativa correspondiente.[Publicidad] “Conforme se cuente con datos confirmados y completos, se ampliará la información por los canales oficiales, a fin de mantener informada a la población con responsabilidad y transparencia”, señaló. La presidentaClaudia Sheinbaum Pardoafirmó que la Secretaría de Marina (Semar) se encuentra apoyando a los usuarios del Corredor Interoceánico, tras el accidente donde se descarriló uno de los vagones principales.[Publicidad] Por medio de su cuenta de X, la Presidenta mencionó que se encuentran atentos a los trabajos que se realizan. El gobernador de Oaxaca,Salomón Jara Cruz, informó que se desplegó a todas las corporaciones de seguridad pública y protección civil para atender el descarrilamiento del Tren Interoceánico del Istmo de Tehuantepec. A través de sus redes sociales, dijo que el descarrilamiento ocurrió este domingo entre laspoblaciones Chívela y Nizanda. De manera preliminar se reporta que se registró en elkilómetro Z-230+290, con dirección al municipio Matías Romero Avendaño. "Al lugar se ha movilizado personal de la Coordinación Estatal de Protección Civil y Gestión de Riesgos (CEPCyGR), Policía Vial Estatal, así como ambulancias para brindar auxilio", detalló. Y agregó queel gobierno del estado dará seguimiento puntual al desarrollo de los hechosy "se informará oportunamente sobre el estado de las personas involucradas, conforme se cuente con información confirmada por las autoridades competentes". A través de susredes sociales,Ernestina Godoyinformó queagentes ministeriales de la Fiscalía Federal en Oaxaca, en coordinación conpersonal pericial y policial de la Agencia de Investigación Criminal (AIC), trabajan de manera conjunta conautoridades federales y estatalespara llevar a cabo lasindagatorias correspondientes. “Luego de los hechos ocurridos en el Corredor Interoceánico, laFGR Méxicoinició unacarpeta de investigaciónpara conocer las causas de lo sucedido.Agentes ministeriales, así comopersonal pericial y de la AIC, se coordinan con autoridades para realizar las investigaciones respectivas”, señaló.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7" s="15">
        <f>IFERROR(__xludf.DUMMYFUNCTION("""COMPUTED_VALUE"""),0.3952)</f>
        <v>0.3952</v>
      </c>
      <c r="P47" s="2"/>
      <c r="Q47" s="17">
        <f>IFERROR(__xludf.DUMMYFUNCTION("""COMPUTED_VALUE"""),6.5)</f>
        <v>6.5</v>
      </c>
      <c r="R47" s="2" t="str">
        <f>IFERROR(__xludf.DUMMYFUNCTION("""COMPUTED_VALUE"""),"Low")</f>
        <v>Low</v>
      </c>
      <c r="S47" s="17">
        <f>IFERROR(__xludf.DUMMYFUNCTION("""COMPUTED_VALUE"""),0.5)</f>
        <v>0.5</v>
      </c>
      <c r="T47" s="17">
        <f>IFERROR(__xludf.DUMMYFUNCTION("""COMPUTED_VALUE"""),0.0)</f>
        <v>0</v>
      </c>
      <c r="U47" s="14">
        <f>IFERROR(__xludf.DUMMYFUNCTION("""COMPUTED_VALUE"""),3.0)</f>
        <v>3</v>
      </c>
      <c r="V47" s="14">
        <v>2025.0</v>
      </c>
      <c r="W47" s="2" t="s">
        <v>1168</v>
      </c>
      <c r="X47" s="2" t="s">
        <v>1188</v>
      </c>
      <c r="Y47" s="13" t="s">
        <v>171</v>
      </c>
      <c r="Z47" s="14">
        <v>0.0</v>
      </c>
      <c r="AA47" s="14">
        <v>0.0</v>
      </c>
      <c r="AB47" s="14">
        <v>0.0</v>
      </c>
      <c r="AC47" s="14">
        <v>0.0</v>
      </c>
      <c r="AD47" s="2">
        <v>0.0</v>
      </c>
      <c r="AE47" s="2">
        <v>0.0</v>
      </c>
      <c r="AF47" s="2">
        <v>12.0</v>
      </c>
      <c r="AG47" s="2" t="s">
        <v>1176</v>
      </c>
      <c r="AH47" s="2">
        <v>0.0</v>
      </c>
    </row>
    <row r="48" ht="15.75" customHeight="1">
      <c r="A48" s="2" t="str">
        <f>IFERROR(__xludf.DUMMYFUNCTION("""COMPUTED_VALUE"""),"El Universal")</f>
        <v>El Universal</v>
      </c>
      <c r="B48" s="12" t="str">
        <f>IFERROR(__xludf.DUMMYFUNCTION("""COMPUTED_VALUE"""),"Enfrentamiento armado en Aguascalientes deja un muerto; AIC repele agresión en Villa Montaña")</f>
        <v>Enfrentamiento armado en Aguascalientes deja un muerto; AIC repele agresión en Villa Montaña</v>
      </c>
      <c r="C48" s="13" t="str">
        <f>IFERROR(__xludf.DUMMYFUNCTION("""COMPUTED_VALUE"""),"2025-12-28")</f>
        <v>2025-12-28</v>
      </c>
      <c r="D48" s="14">
        <f>IFERROR(__xludf.DUMMYFUNCTION("""COMPUTED_VALUE"""),4.0)</f>
        <v>4</v>
      </c>
      <c r="E48" s="15">
        <f>IFERROR(__xludf.DUMMYFUNCTION("""COMPUTED_VALUE"""),-0.5431)</f>
        <v>-0.5431</v>
      </c>
      <c r="F48" s="2" t="str">
        <f>IFERROR(__xludf.DUMMYFUNCTION("""COMPUTED_VALUE"""),"Negativo")</f>
        <v>Negativo</v>
      </c>
      <c r="G48" s="15">
        <f>IFERROR(__xludf.DUMMYFUNCTION("""COMPUTED_VALUE"""),0.5431)</f>
        <v>0.5431</v>
      </c>
      <c r="H48" s="2" t="str">
        <f>IFERROR(__xludf.DUMMYFUNCTION("""COMPUTED_VALUE"""),"Operativo policial o detención")</f>
        <v>Operativo policial o detención</v>
      </c>
      <c r="I48" s="2" t="str">
        <f>IFERROR(__xludf.DUMMYFUNCTION("""COMPUTED_VALUE"""),"N/A")</f>
        <v>N/A</v>
      </c>
      <c r="J48" s="2" t="str">
        <f>IFERROR(__xludf.DUMMYFUNCTION("""COMPUTED_VALUE"""),"Monitoreo general.")</f>
        <v>Monitoreo general.</v>
      </c>
      <c r="K48" s="2" t="str">
        <f>IFERROR(__xludf.DUMMYFUNCTION("""COMPUTED_VALUE"""),"Aguascalientes")</f>
        <v>Aguascalientes</v>
      </c>
      <c r="L48" s="2" t="str">
        <f>IFERROR(__xludf.DUMMYFUNCTION("""COMPUTED_VALUE"""),"Aguascalientes")</f>
        <v>Aguascalientes</v>
      </c>
      <c r="M48" s="16" t="str">
        <f>IFERROR(__xludf.DUMMYFUNCTION("""COMPUTED_VALUE"""),"https://www.eluniversal.com.mx/estados/enfrentamiento-armado-en-aguascalientes-deja-un-muerto-aic-repele-agresion-en-villa-montana/")</f>
        <v>https://www.eluniversal.com.mx/estados/enfrentamiento-armado-en-aguascalientes-deja-un-muerto-aic-repele-agresion-en-villa-montana/</v>
      </c>
      <c r="N48" s="2" t="str">
        <f>IFERROR(__xludf.DUMMYFUNCTION("""COMPUTED_VALUE"""),"Unhombre murióydos más resultaron heridostras unenfrentamiento armadocon un elemento de la Agencia de Investigación Criminal(AIC), quien se encontraba en su día de descanso, en el fraccionamiento Villa Montaña, dentro del Polígono Villas de Nuestra Señora"&amp;" de la Asunción, en la ciudad deAguascalientes. Luego deltiroteo, más de30 patrullasde los tres niveles de Gobierno se desplazaron al lugar de los hechos, junto con ambulancias, el secretario de Seguridad Pública del Estado, Antonio Martínez Romo, y dos u"&amp;"nidades del Servicio Médico Forense(Semefo). Durante unoperativo de búsqueda, policías municipales y estatales lograron la detención de dos personas más, presuntamente implicadas en el suceso, quienes fueron puestas a disposición delMinisterio Público. De"&amp;" acuerdo con la Fiscalía General del Estado(FGE), alrededor de las 19:00 horas del 27 de diciembre, el agente de laAICdetectó que varios individuos intentaban ingresar de manera violenta a un domicilio ubicado en el cruce de las calles Francisco López Med"&amp;"rano y Francisco J. Herrera, en el Sector Estación, con la aparente intención deagredir a un ciudadano. Al notar la presencia del agente, losagresorescomenzaron a disparar armas de fuego. Ante el riesgo inminente, el elemento intervino de manera inmediata"&amp;" para salvaguardar laintegridad de la víctima, indicó la FGE. La dependencia señaló que los presuntos responsables realizaron detonaciones contra el elemento de Investigación Criminal, quien repelió la agresión en ejercicio de sus funciones y enlegítima d"&amp;"efensa.[Publicidad] Como resultado delenfrentamiento, dos presuntos agresores resultaron lesionados y una persona perdió la vida en el lugar.[Publicidad] En la escena, las autoridadesaseguraron una camionetaKia color rojo, mientras que personal del Instit"&amp;"uto de Ciencias Forenses y de la Policía Científica se encargó de recopilar indicios. El cuerpo del fallecido fue trasladado a las instalaciones del Semefo, mientras que los dos lesionados detenidos reciben atención médica hospitalaria bajo custodia polic"&amp;"ial. Además, otros dos detenidos permanecen en los separos de Seguridad. Labalacera, así como el despliegue de ambulancias y patrullas, generó alarma entre los vecinos, quienes se resguardaron en sus viviendas y realizaron múltiples llamadas al Sistema de"&amp;" Emergencias911. Copyright © Todos los derechos reservados | EL UNIVERSAL, Compañía Periodística Nacional. De no existir previa autorización, queda expresamente prohibida la Publicación, retransmisión, edición y cualquier otro uso de los contenidos Al nav"&amp;"egar en este sitio aceptas las cookies que utilizamos para mejorar tu experiencia")</f>
        <v>Unhombre murióydos más resultaron heridostras unenfrentamiento armadocon un elemento de la Agencia de Investigación Criminal(AIC), quien se encontraba en su día de descanso, en el fraccionamiento Villa Montaña, dentro del Polígono Villas de Nuestra Señora de la Asunción, en la ciudad deAguascalientes. Luego deltiroteo, más de30 patrullasde los tres niveles de Gobierno se desplazaron al lugar de los hechos, junto con ambulancias, el secretario de Seguridad Pública del Estado, Antonio Martínez Romo, y dos unidades del Servicio Médico Forense(Semefo). Durante unoperativo de búsqueda, policías municipales y estatales lograron la detención de dos personas más, presuntamente implicadas en el suceso, quienes fueron puestas a disposición delMinisterio Público. De acuerdo con la Fiscalía General del Estado(FGE), alrededor de las 19:00 horas del 27 de diciembre, el agente de laAICdetectó que varios individuos intentaban ingresar de manera violenta a un domicilio ubicado en el cruce de las calles Francisco López Medrano y Francisco J. Herrera, en el Sector Estación, con la aparente intención deagredir a un ciudadano. Al notar la presencia del agente, losagresorescomenzaron a disparar armas de fuego. Ante el riesgo inminente, el elemento intervino de manera inmediata para salvaguardar laintegridad de la víctima, indicó la FGE. La dependencia señaló que los presuntos responsables realizaron detonaciones contra el elemento de Investigación Criminal, quien repelió la agresión en ejercicio de sus funciones y enlegítima defensa.[Publicidad] Como resultado delenfrentamiento, dos presuntos agresores resultaron lesionados y una persona perdió la vida en el lugar.[Publicidad] En la escena, las autoridadesaseguraron una camionetaKia color rojo, mientras que personal del Instituto de Ciencias Forenses y de la Policía Científica se encargó de recopilar indicios. El cuerpo del fallecido fue trasladado a las instalaciones del Semefo, mientras que los dos lesionados detenidos reciben atención médica hospitalaria bajo custodia policial. Además, otros dos detenidos permanecen en los separos de Seguridad. Labalacera, así como el despliegue de ambulancias y patrullas, generó alarma entre los vecinos, quienes se resguardaron en sus viviendas y realizaron múltiples llamadas al Sistema de Emergencias911.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8" s="15">
        <f>IFERROR(__xludf.DUMMYFUNCTION("""COMPUTED_VALUE"""),0.5062)</f>
        <v>0.5062</v>
      </c>
      <c r="P48" s="2"/>
      <c r="Q48" s="17">
        <f>IFERROR(__xludf.DUMMYFUNCTION("""COMPUTED_VALUE"""),6.5)</f>
        <v>6.5</v>
      </c>
      <c r="R48" s="2" t="str">
        <f>IFERROR(__xludf.DUMMYFUNCTION("""COMPUTED_VALUE"""),"Low")</f>
        <v>Low</v>
      </c>
      <c r="S48" s="17">
        <f>IFERROR(__xludf.DUMMYFUNCTION("""COMPUTED_VALUE"""),0.0)</f>
        <v>0</v>
      </c>
      <c r="T48" s="17">
        <f>IFERROR(__xludf.DUMMYFUNCTION("""COMPUTED_VALUE"""),0.0)</f>
        <v>0</v>
      </c>
      <c r="U48" s="14">
        <f>IFERROR(__xludf.DUMMYFUNCTION("""COMPUTED_VALUE"""),3.0)</f>
        <v>3</v>
      </c>
      <c r="V48" s="14">
        <v>2025.0</v>
      </c>
      <c r="W48" s="2" t="s">
        <v>1168</v>
      </c>
      <c r="X48" s="2" t="s">
        <v>1188</v>
      </c>
      <c r="Y48" s="13" t="s">
        <v>171</v>
      </c>
      <c r="Z48" s="14">
        <v>0.0</v>
      </c>
      <c r="AA48" s="14">
        <v>0.0</v>
      </c>
      <c r="AB48" s="14">
        <v>0.0</v>
      </c>
      <c r="AC48" s="14">
        <v>0.0</v>
      </c>
      <c r="AD48" s="2">
        <v>0.0</v>
      </c>
      <c r="AE48" s="2">
        <v>1.0</v>
      </c>
      <c r="AF48" s="2">
        <v>12.0</v>
      </c>
      <c r="AG48" s="2" t="s">
        <v>1191</v>
      </c>
      <c r="AH48" s="2">
        <v>0.0</v>
      </c>
    </row>
    <row r="49" ht="15.75" customHeight="1">
      <c r="A49" s="2" t="str">
        <f>IFERROR(__xludf.DUMMYFUNCTION("""COMPUTED_VALUE"""),"El Universal")</f>
        <v>El Universal</v>
      </c>
      <c r="B49" s="12" t="str">
        <f>IFERROR(__xludf.DUMMYFUNCTION("""COMPUTED_VALUE"""),"Activan alertas por personas desaparecidas en Mazatlán; buscan a dos mujeres y dos adolescentes")</f>
        <v>Activan alertas por personas desaparecidas en Mazatlán; buscan a dos mujeres y dos adolescentes</v>
      </c>
      <c r="C49" s="13" t="str">
        <f>IFERROR(__xludf.DUMMYFUNCTION("""COMPUTED_VALUE"""),"2025-12-28")</f>
        <v>2025-12-28</v>
      </c>
      <c r="D49" s="14">
        <f>IFERROR(__xludf.DUMMYFUNCTION("""COMPUTED_VALUE"""),2.0)</f>
        <v>2</v>
      </c>
      <c r="E49" s="15">
        <f>IFERROR(__xludf.DUMMYFUNCTION("""COMPUTED_VALUE"""),-0.517)</f>
        <v>-0.517</v>
      </c>
      <c r="F49" s="2" t="str">
        <f>IFERROR(__xludf.DUMMYFUNCTION("""COMPUTED_VALUE"""),"Negativo")</f>
        <v>Negativo</v>
      </c>
      <c r="G49" s="15">
        <f>IFERROR(__xludf.DUMMYFUNCTION("""COMPUTED_VALUE"""),0.517)</f>
        <v>0.517</v>
      </c>
      <c r="H49" s="2" t="str">
        <f>IFERROR(__xludf.DUMMYFUNCTION("""COMPUTED_VALUE"""),"Operativo policial o detención")</f>
        <v>Operativo policial o detención</v>
      </c>
      <c r="I49" s="2" t="str">
        <f>IFERROR(__xludf.DUMMYFUNCTION("""COMPUTED_VALUE"""),"N/A")</f>
        <v>N/A</v>
      </c>
      <c r="J49" s="2" t="str">
        <f>IFERROR(__xludf.DUMMYFUNCTION("""COMPUTED_VALUE"""),"Monitoreo general.")</f>
        <v>Monitoreo general.</v>
      </c>
      <c r="K49" s="2" t="str">
        <f>IFERROR(__xludf.DUMMYFUNCTION("""COMPUTED_VALUE"""),"Mazatlán")</f>
        <v>Mazatlán</v>
      </c>
      <c r="L49" s="2" t="str">
        <f>IFERROR(__xludf.DUMMYFUNCTION("""COMPUTED_VALUE"""),"Sinaloa")</f>
        <v>Sinaloa</v>
      </c>
      <c r="M49" s="16" t="str">
        <f>IFERROR(__xludf.DUMMYFUNCTION("""COMPUTED_VALUE"""),"https://www.eluniversal.com.mx/estados/activan-alertas-por-personas-desaparecidas-en-mazatlan-buscan-a-dos-mujeres-y-dos-adolescentes/")</f>
        <v>https://www.eluniversal.com.mx/estados/activan-alertas-por-personas-desaparecidas-en-mazatlan-buscan-a-dos-mujeres-y-dos-adolescentes/</v>
      </c>
      <c r="N49" s="2" t="str">
        <f>IFERROR(__xludf.DUMMYFUNCTION("""COMPUTED_VALUE"""),"LaFiscalía General del Estadoemitiófichas de búsquedadedos mujeres y dos adolescentes, reportados comodesaparecidosen sectores y fechas distintas de laciudad de Mazatlán, y solicitó el apoyo de la ciudadanía para su localización, ante el riesgo de que sea"&amp;"nvíctimas de algún delito. Uno de los casos corresponde aSantos Alfredo Ramos Moreno, de17 años de edad, quiendesapareció el 18 de octubretras salir de su domicilio en lacolonia Francisco I. Madero, en el puerto de Mazatlán. Ladenuncia fue presentada el 2"&amp;"6 de diciembre, por lo que seactivó una Alerta Amber. El adolescente es decomplexión mediana,estatura de 1.68 metros,cabello ondulado negroyojos color café. Comoseñas particulares, presentacicatrices en las rodillas, unlunar en la pantorrilla izquierday u"&amp;"ntatuaje en la muñecacon la imagen de unabolsa con signos de pesos. Asimismo, laAlerta Amberfue emitida para lalocalización de Emanuel Álvarez Chávez, de16 años, decomplexión delgada,estatura de 1.65 metrosytez morena. Comoseña particular, tiene elpárpado"&amp;" derecho caído. Fuevisto por última vez el 4 de diciembreen lalocalidad de El Walamo, en el municipio deMazatlán, y sedesconoce la vestimentaque portaba. Por otro lado, mediante elProtocolo Alba, se reportó ladesaparición de Santa Evangelina López Sánchez"&amp;", de44 años, ocurrida el26 de diciembre. Es decomplexión mediana,estatura de 1.55 metros,tez clarayojos café oscuro. Fuevista por última vez en su domicilioen lacolonia Lomas del Mar, en Mazatlán, y tiene comoseña particularuntatuaje de una flor con enred"&amp;"adera en la pierna izquierda. Finalmente, laficha de búsquedadeSaida Anayeli Hernández Santos, de34 años, la describe como unamujer de 1.60 metros de estatura,complexión mediana,tez morena clara,cabello lacio negroycejas delgadas. Fuevista por última vez "&amp;"el 26 de diciembreen sudomicilio del fraccionamiento Valle de Urías, donde vestíapantalón negro, blusa negra y huaraches negros. Copyright © Todos los derechos reservados | EL UNIVERSAL, Compañía Periodística Nacional. De no existir previa autorización, q"&amp;"ueda expresamente prohibida la Publicación, retransmisión, edición y cualquier otro uso de los contenidos Al navegar en este sitio aceptas las cookies que utilizamos para mejorar tu experiencia")</f>
        <v>LaFiscalía General del Estadoemitiófichas de búsquedadedos mujeres y dos adolescentes, reportados comodesaparecidosen sectores y fechas distintas de laciudad de Mazatlán, y solicitó el apoyo de la ciudadanía para su localización, ante el riesgo de que seanvíctimas de algún delito. Uno de los casos corresponde aSantos Alfredo Ramos Moreno, de17 años de edad, quiendesapareció el 18 de octubretras salir de su domicilio en lacolonia Francisco I. Madero, en el puerto de Mazatlán. Ladenuncia fue presentada el 26 de diciembre, por lo que seactivó una Alerta Amber. El adolescente es decomplexión mediana,estatura de 1.68 metros,cabello ondulado negroyojos color café. Comoseñas particulares, presentacicatrices en las rodillas, unlunar en la pantorrilla izquierday untatuaje en la muñecacon la imagen de unabolsa con signos de pesos. Asimismo, laAlerta Amberfue emitida para lalocalización de Emanuel Álvarez Chávez, de16 años, decomplexión delgada,estatura de 1.65 metrosytez morena. Comoseña particular, tiene elpárpado derecho caído. Fuevisto por última vez el 4 de diciembreen lalocalidad de El Walamo, en el municipio deMazatlán, y sedesconoce la vestimentaque portaba. Por otro lado, mediante elProtocolo Alba, se reportó ladesaparición de Santa Evangelina López Sánchez, de44 años, ocurrida el26 de diciembre. Es decomplexión mediana,estatura de 1.55 metros,tez clarayojos café oscuro. Fuevista por última vez en su domicilioen lacolonia Lomas del Mar, en Mazatlán, y tiene comoseña particularuntatuaje de una flor con enredadera en la pierna izquierda. Finalmente, laficha de búsquedadeSaida Anayeli Hernández Santos, de34 años, la describe como unamujer de 1.60 metros de estatura,complexión mediana,tez morena clara,cabello lacio negroycejas delgadas. Fuevista por última vez el 26 de diciembreen sudomicilio del fraccionamiento Valle de Urías, donde vestíapantalón negro, blusa negra y huaraches negros.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49" s="15">
        <f>IFERROR(__xludf.DUMMYFUNCTION("""COMPUTED_VALUE"""),0.3252)</f>
        <v>0.3252</v>
      </c>
      <c r="P49" s="2"/>
      <c r="Q49" s="17">
        <f>IFERROR(__xludf.DUMMYFUNCTION("""COMPUTED_VALUE"""),8.5)</f>
        <v>8.5</v>
      </c>
      <c r="R49" s="2" t="str">
        <f>IFERROR(__xludf.DUMMYFUNCTION("""COMPUTED_VALUE"""),"Low")</f>
        <v>Low</v>
      </c>
      <c r="S49" s="17">
        <f>IFERROR(__xludf.DUMMYFUNCTION("""COMPUTED_VALUE"""),0.0)</f>
        <v>0</v>
      </c>
      <c r="T49" s="17">
        <f>IFERROR(__xludf.DUMMYFUNCTION("""COMPUTED_VALUE"""),0.0)</f>
        <v>0</v>
      </c>
      <c r="U49" s="14">
        <f>IFERROR(__xludf.DUMMYFUNCTION("""COMPUTED_VALUE"""),3.0)</f>
        <v>3</v>
      </c>
      <c r="V49" s="14">
        <v>2025.0</v>
      </c>
      <c r="W49" s="2" t="s">
        <v>1168</v>
      </c>
      <c r="X49" s="2" t="s">
        <v>1188</v>
      </c>
      <c r="Y49" s="13" t="s">
        <v>171</v>
      </c>
      <c r="Z49" s="14">
        <v>0.0</v>
      </c>
      <c r="AA49" s="14">
        <v>0.0</v>
      </c>
      <c r="AB49" s="14">
        <v>0.0</v>
      </c>
      <c r="AC49" s="14">
        <v>0.0</v>
      </c>
      <c r="AD49" s="2">
        <v>0.0</v>
      </c>
      <c r="AE49" s="2">
        <v>0.0</v>
      </c>
      <c r="AF49" s="2">
        <v>12.0</v>
      </c>
      <c r="AG49" s="2" t="s">
        <v>1192</v>
      </c>
      <c r="AH49" s="2">
        <v>0.0</v>
      </c>
    </row>
    <row r="50" ht="15.75" customHeight="1">
      <c r="A50" s="2" t="str">
        <f>IFERROR(__xludf.DUMMYFUNCTION("""COMPUTED_VALUE"""),"El Universal")</f>
        <v>El Universal</v>
      </c>
      <c r="B50" s="12" t="str">
        <f>IFERROR(__xludf.DUMMYFUNCTION("""COMPUTED_VALUE"""),"Ola de violencia sacude Culiacán; tres muertos, ataques armados e incendios")</f>
        <v>Ola de violencia sacude Culiacán; tres muertos, ataques armados e incendios</v>
      </c>
      <c r="C50" s="13" t="str">
        <f>IFERROR(__xludf.DUMMYFUNCTION("""COMPUTED_VALUE"""),"2025-12-28")</f>
        <v>2025-12-28</v>
      </c>
      <c r="D50" s="14">
        <f>IFERROR(__xludf.DUMMYFUNCTION("""COMPUTED_VALUE"""),4.0)</f>
        <v>4</v>
      </c>
      <c r="E50" s="15">
        <f>IFERROR(__xludf.DUMMYFUNCTION("""COMPUTED_VALUE"""),-0.8033)</f>
        <v>-0.8033</v>
      </c>
      <c r="F50" s="2" t="str">
        <f>IFERROR(__xludf.DUMMYFUNCTION("""COMPUTED_VALUE"""),"Negativo")</f>
        <v>Negativo</v>
      </c>
      <c r="G50" s="15">
        <f>IFERROR(__xludf.DUMMYFUNCTION("""COMPUTED_VALUE"""),0.8033)</f>
        <v>0.8033</v>
      </c>
      <c r="H50" s="2" t="str">
        <f>IFERROR(__xludf.DUMMYFUNCTION("""COMPUTED_VALUE"""),"Accidente de tránsito o choque vial")</f>
        <v>Accidente de tránsito o choque vial</v>
      </c>
      <c r="I50" s="2" t="str">
        <f>IFERROR(__xludf.DUMMYFUNCTION("""COMPUTED_VALUE"""),"N/A")</f>
        <v>N/A</v>
      </c>
      <c r="J50" s="2" t="str">
        <f>IFERROR(__xludf.DUMMYFUNCTION("""COMPUTED_VALUE"""),"Soporte DRV: Seguros/Guía post-siniestro.")</f>
        <v>Soporte DRV: Seguros/Guía post-siniestro.</v>
      </c>
      <c r="K50" s="2" t="str">
        <f>IFERROR(__xludf.DUMMYFUNCTION("""COMPUTED_VALUE"""),"Culiacán")</f>
        <v>Culiacán</v>
      </c>
      <c r="L50" s="2" t="str">
        <f>IFERROR(__xludf.DUMMYFUNCTION("""COMPUTED_VALUE"""),"Sinaloa")</f>
        <v>Sinaloa</v>
      </c>
      <c r="M50" s="16" t="str">
        <f>IFERROR(__xludf.DUMMYFUNCTION("""COMPUTED_VALUE"""),"https://www.eluniversal.com.mx/estados/ola-de-violencia-sacude-culiacan-tres-muertos-ataques-armados-e-incendios/")</f>
        <v>https://www.eluniversal.com.mx/estados/ola-de-violencia-sacude-culiacan-tres-muertos-ataques-armados-e-incendios/</v>
      </c>
      <c r="N50" s="2" t="str">
        <f>IFERROR(__xludf.DUMMYFUNCTION("""COMPUTED_VALUE"""),"Laviolenciano cesaen Culiacán, donde enpuntos distintosse registrarontres personas privadas de la vida, una de ellas mujer, además de un jovenmotociclista herido por impactos de balay uninmueble atacado e incendiado. Sobre laavenida Insurgentes, a dos cal"&amp;"les del Palacio de Gobierno, el conductor de un vehículo Kia color tinto fueatacado a balazospor desconocidos. Loscuerpos de auxiliolo trasladaron a un hospital, donde falleció. La víctima fue identificada como el exexpolicía municipal de Culiacán,Miguel "&amp;"“N”, de 55 años de edad. En otro hecho,Cristian Guadalupe “N”, de21 años, vecino de la sindicatura de Culiacancito, fue atacado a balazos por hombres armados que lo interceptaron en calles del fraccionamiento Valle Alto mientras conducía una motocicleta, "&amp;"acompañado de otra persona no identificada. Asimismo, sobre el boulevard Álvaro Portillo, autoridades fueron alertadas de que un motociclista había sido agredido con armas de fuego. Al arribar los cuerpos de auxilio, confirmaron que la víctima ya no prese"&amp;"ntaba signos vitales. En un predio desiembras agrícolas, en lasindicatura de Aguaruto, fue localizado el cuerpo de una mujer con múltiples impactos de bala. Cerca del sitio se encontró una identificación a nombre deNicolasa “N”, de48 años, sin que hasta e"&amp;"l momento se confirme oficialmente su identidad. Otro ataque ocurrió cerca del libramiento sur de la carretera estatal Benito Juárez, donde una persona joven que viajaba en motocicleta fue víctima de un atentado a balazos, lo que le provocó la muerte en e"&amp;"l lugar, mientras que su acompañante resultó ileso.[Publicidad] Además, casi frente a una de las entradas del complejo habitacional La Primavera, servicios de emergencia atendieron el reporte de una persona herida de bala, sin embargo, al llegar confirmar"&amp;"on que no presentaba signos vitales.[Publicidad] Finalmente, en la colonia San Rafael, hombres armados dispararon contra dos negocios inactivos, un lavado de autos y un local de venta de llantas, ubicados en una bodega. Posteriormente, los presuntos respo"&amp;"nsables regresaron e incendiaron los inmuebles, provocando daños materiales, pese a la intervención delcuerpo de bomberos. En el lugar acudieron elementos de laPolicía Estatal y el Ejército, sin que se reportaranpersonas lesionadas. Copyright © Todos los "&amp;"derechos reservados | EL UNIVERSAL, Compañía Periodística Nacional. De no existir previa autorización, queda expresamente prohibida la Publicación, retransmisión, edición y cualquier otro uso de los contenidos Al navegar en este sitio aceptas las cookies "&amp;"que utilizamos para mejorar tu experiencia")</f>
        <v>Laviolenciano cesaen Culiacán, donde enpuntos distintosse registrarontres personas privadas de la vida, una de ellas mujer, además de un jovenmotociclista herido por impactos de balay uninmueble atacado e incendiado. Sobre laavenida Insurgentes, a dos calles del Palacio de Gobierno, el conductor de un vehículo Kia color tinto fueatacado a balazospor desconocidos. Loscuerpos de auxiliolo trasladaron a un hospital, donde falleció. La víctima fue identificada como el exexpolicía municipal de Culiacán,Miguel “N”, de 55 años de edad. En otro hecho,Cristian Guadalupe “N”, de21 años, vecino de la sindicatura de Culiacancito, fue atacado a balazos por hombres armados que lo interceptaron en calles del fraccionamiento Valle Alto mientras conducía una motocicleta, acompañado de otra persona no identificada. Asimismo, sobre el boulevard Álvaro Portillo, autoridades fueron alertadas de que un motociclista había sido agredido con armas de fuego. Al arribar los cuerpos de auxilio, confirmaron que la víctima ya no presentaba signos vitales. En un predio desiembras agrícolas, en lasindicatura de Aguaruto, fue localizado el cuerpo de una mujer con múltiples impactos de bala. Cerca del sitio se encontró una identificación a nombre deNicolasa “N”, de48 años, sin que hasta el momento se confirme oficialmente su identidad. Otro ataque ocurrió cerca del libramiento sur de la carretera estatal Benito Juárez, donde una persona joven que viajaba en motocicleta fue víctima de un atentado a balazos, lo que le provocó la muerte en el lugar, mientras que su acompañante resultó ileso.[Publicidad] Además, casi frente a una de las entradas del complejo habitacional La Primavera, servicios de emergencia atendieron el reporte de una persona herida de bala, sin embargo, al llegar confirmaron que no presentaba signos vitales.[Publicidad] Finalmente, en la colonia San Rafael, hombres armados dispararon contra dos negocios inactivos, un lavado de autos y un local de venta de llantas, ubicados en una bodega. Posteriormente, los presuntos responsables regresaron e incendiaron los inmuebles, provocando daños materiales, pese a la intervención delcuerpo de bomberos. En el lugar acudieron elementos de laPolicía Estatal y el Ejército, sin que se reportaranpersonas lesionadas.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0" s="15">
        <f>IFERROR(__xludf.DUMMYFUNCTION("""COMPUTED_VALUE"""),0.3451)</f>
        <v>0.3451</v>
      </c>
      <c r="P50" s="2"/>
      <c r="Q50" s="17">
        <f>IFERROR(__xludf.DUMMYFUNCTION("""COMPUTED_VALUE"""),8.5)</f>
        <v>8.5</v>
      </c>
      <c r="R50" s="2" t="str">
        <f>IFERROR(__xludf.DUMMYFUNCTION("""COMPUTED_VALUE"""),"High")</f>
        <v>High</v>
      </c>
      <c r="S50" s="17">
        <f>IFERROR(__xludf.DUMMYFUNCTION("""COMPUTED_VALUE"""),6.5)</f>
        <v>6.5</v>
      </c>
      <c r="T50" s="17">
        <f>IFERROR(__xludf.DUMMYFUNCTION("""COMPUTED_VALUE"""),0.0)</f>
        <v>0</v>
      </c>
      <c r="U50" s="14">
        <f>IFERROR(__xludf.DUMMYFUNCTION("""COMPUTED_VALUE"""),3.0)</f>
        <v>3</v>
      </c>
      <c r="V50" s="14">
        <v>2025.0</v>
      </c>
      <c r="W50" s="2" t="s">
        <v>1168</v>
      </c>
      <c r="X50" s="2" t="s">
        <v>1188</v>
      </c>
      <c r="Y50" s="13" t="s">
        <v>171</v>
      </c>
      <c r="Z50" s="14">
        <v>0.0</v>
      </c>
      <c r="AA50" s="14">
        <v>0.0</v>
      </c>
      <c r="AB50" s="14">
        <v>0.0</v>
      </c>
      <c r="AC50" s="14">
        <v>0.0</v>
      </c>
      <c r="AD50" s="2">
        <v>0.0</v>
      </c>
      <c r="AE50" s="2">
        <v>1.0</v>
      </c>
      <c r="AF50" s="2">
        <v>12.0</v>
      </c>
      <c r="AG50" s="2" t="s">
        <v>1180</v>
      </c>
      <c r="AH50" s="2">
        <v>0.0</v>
      </c>
    </row>
    <row r="51" ht="15.75" customHeight="1">
      <c r="A51" s="2" t="str">
        <f>IFERROR(__xludf.DUMMYFUNCTION("""COMPUTED_VALUE"""),"El Universal")</f>
        <v>El Universal</v>
      </c>
      <c r="B51" s="12" t="str">
        <f>IFERROR(__xludf.DUMMYFUNCTION("""COMPUTED_VALUE"""),"Lo mejor de 2025: historias para recordar")</f>
        <v>Lo mejor de 2025: historias para recordar</v>
      </c>
      <c r="C51" s="13" t="str">
        <f>IFERROR(__xludf.DUMMYFUNCTION("""COMPUTED_VALUE"""),"2025-12-28")</f>
        <v>2025-12-28</v>
      </c>
      <c r="D51" s="14">
        <f>IFERROR(__xludf.DUMMYFUNCTION("""COMPUTED_VALUE"""),1.0)</f>
        <v>1</v>
      </c>
      <c r="E51" s="15">
        <f>IFERROR(__xludf.DUMMYFUNCTION("""COMPUTED_VALUE"""),-0.8224)</f>
        <v>-0.8224</v>
      </c>
      <c r="F51" s="2" t="str">
        <f>IFERROR(__xludf.DUMMYFUNCTION("""COMPUTED_VALUE"""),"Negativo")</f>
        <v>Negativo</v>
      </c>
      <c r="G51" s="15">
        <f>IFERROR(__xludf.DUMMYFUNCTION("""COMPUTED_VALUE"""),0.8224)</f>
        <v>0.8224</v>
      </c>
      <c r="H51" s="2" t="str">
        <f>IFERROR(__xludf.DUMMYFUNCTION("""COMPUTED_VALUE"""),"Otros temas generales")</f>
        <v>Otros temas generales</v>
      </c>
      <c r="I51" s="2" t="str">
        <f>IFERROR(__xludf.DUMMYFUNCTION("""COMPUTED_VALUE"""),"N/A")</f>
        <v>N/A</v>
      </c>
      <c r="J51" s="2" t="str">
        <f>IFERROR(__xludf.DUMMYFUNCTION("""COMPUTED_VALUE"""),"Descartar / Baja prioridad.")</f>
        <v>Descartar / Baja prioridad.</v>
      </c>
      <c r="K51" s="2" t="str">
        <f>IFERROR(__xludf.DUMMYFUNCTION("""COMPUTED_VALUE"""),"Guerrero")</f>
        <v>Guerrero</v>
      </c>
      <c r="L51" s="2" t="str">
        <f>IFERROR(__xludf.DUMMYFUNCTION("""COMPUTED_VALUE"""),"Guerrero")</f>
        <v>Guerrero</v>
      </c>
      <c r="M51" s="16" t="str">
        <f>IFERROR(__xludf.DUMMYFUNCTION("""COMPUTED_VALUE"""),"https://www.eluniversal.com.mx/estados/lo-mejor-de-2025-historias-para-recordar/")</f>
        <v>https://www.eluniversal.com.mx/estados/lo-mejor-de-2025-historias-para-recordar/</v>
      </c>
      <c r="N51" s="2" t="str">
        <f>IFERROR(__xludf.DUMMYFUNCTION("""COMPUTED_VALUE"""),"Este año,EL UNIVERSALdocumentó la voz de diversos actores que mediante sustradiciones, comida y ritosen estados comoOaxaca,Guerrero, Chihuahua,MichoacányTabascomostraron la diversidad cultural de nuestro país, desde ruinas no exploradas hasta la defensa d"&amp;"e un pueblo contra el plagio de su identidad o manjares propios de una región. Leer también:Reportan 7 personas desaparecidas tras quema de bares en Villaflores, Chiapas; Fiscalía vincula hechos a narcomenudeo Únete a nuestro canal¡EL UNIVERSAL ya está en"&amp;" Whatsapp!, desde tu dispositivo móvil entérate de las noticias más relevantes del día, artículos de opinión, entretenimiento, tendencias y más. Copyright © Todos los derechos reservados | EL UNIVERSAL, Compañía Periodística Nacional. De no existir previa"&amp;" autorización, queda expresamente prohibida la Publicación, retransmisión, edición y cualquier otro uso de los contenidos Al navegar en este sitio aceptas las cookies que utilizamos para mejorar tu experiencia")</f>
        <v>Este año,EL UNIVERSALdocumentó la voz de diversos actores que mediante sustradiciones, comida y ritosen estados comoOaxaca,Guerrero, Chihuahua,MichoacányTabascomostraron la diversidad cultural de nuestro país, desde ruinas no exploradas hasta la defensa de un pueblo contra el plagio de su identidad o manjares propios de una región. Leer también:Reportan 7 personas desaparecidas tras quema de bares en Villaflores, Chiapas; Fiscalía vincula hechos a narcomenudeo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1" s="15">
        <f>IFERROR(__xludf.DUMMYFUNCTION("""COMPUTED_VALUE"""),0.4503)</f>
        <v>0.4503</v>
      </c>
      <c r="P51" s="2"/>
      <c r="Q51" s="17">
        <f>IFERROR(__xludf.DUMMYFUNCTION("""COMPUTED_VALUE"""),4.0)</f>
        <v>4</v>
      </c>
      <c r="R51" s="2" t="str">
        <f>IFERROR(__xludf.DUMMYFUNCTION("""COMPUTED_VALUE"""),"Low")</f>
        <v>Low</v>
      </c>
      <c r="S51" s="17">
        <f>IFERROR(__xludf.DUMMYFUNCTION("""COMPUTED_VALUE"""),0.0)</f>
        <v>0</v>
      </c>
      <c r="T51" s="17">
        <f>IFERROR(__xludf.DUMMYFUNCTION("""COMPUTED_VALUE"""),0.0)</f>
        <v>0</v>
      </c>
      <c r="U51" s="14">
        <f>IFERROR(__xludf.DUMMYFUNCTION("""COMPUTED_VALUE"""),3.0)</f>
        <v>3</v>
      </c>
      <c r="V51" s="14">
        <v>2025.0</v>
      </c>
      <c r="W51" s="2" t="s">
        <v>1168</v>
      </c>
      <c r="X51" s="2" t="s">
        <v>1188</v>
      </c>
      <c r="Y51" s="13" t="s">
        <v>171</v>
      </c>
      <c r="Z51" s="14">
        <v>0.0</v>
      </c>
      <c r="AA51" s="14">
        <v>0.0</v>
      </c>
      <c r="AB51" s="14">
        <v>0.0</v>
      </c>
      <c r="AC51" s="14">
        <v>0.0</v>
      </c>
      <c r="AD51" s="2">
        <v>0.0</v>
      </c>
      <c r="AE51" s="2">
        <v>0.0</v>
      </c>
      <c r="AF51" s="2">
        <v>12.0</v>
      </c>
      <c r="AG51" s="2" t="s">
        <v>1193</v>
      </c>
      <c r="AH51" s="2">
        <v>0.0</v>
      </c>
    </row>
    <row r="52" ht="15.75" customHeight="1">
      <c r="A52" s="2" t="str">
        <f>IFERROR(__xludf.DUMMYFUNCTION("""COMPUTED_VALUE"""),"El Universal")</f>
        <v>El Universal</v>
      </c>
      <c r="B52" s="12" t="str">
        <f>IFERROR(__xludf.DUMMYFUNCTION("""COMPUTED_VALUE"""),"Alcaldes, bajo la mira de los grupos criminales")</f>
        <v>Alcaldes, bajo la mira de los grupos criminales</v>
      </c>
      <c r="C52" s="13" t="str">
        <f>IFERROR(__xludf.DUMMYFUNCTION("""COMPUTED_VALUE"""),"2025-12-28")</f>
        <v>2025-12-28</v>
      </c>
      <c r="D52" s="14">
        <f>IFERROR(__xludf.DUMMYFUNCTION("""COMPUTED_VALUE"""),5.0)</f>
        <v>5</v>
      </c>
      <c r="E52" s="15">
        <f>IFERROR(__xludf.DUMMYFUNCTION("""COMPUTED_VALUE"""),-0.8385)</f>
        <v>-0.8385</v>
      </c>
      <c r="F52" s="2" t="str">
        <f>IFERROR(__xludf.DUMMYFUNCTION("""COMPUTED_VALUE"""),"Negativo")</f>
        <v>Negativo</v>
      </c>
      <c r="G52" s="15">
        <f>IFERROR(__xludf.DUMMYFUNCTION("""COMPUTED_VALUE"""),0.8385)</f>
        <v>0.8385</v>
      </c>
      <c r="H52" s="2" t="str">
        <f>IFERROR(__xludf.DUMMYFUNCTION("""COMPUTED_VALUE"""),"Delito violento, robo o asalto")</f>
        <v>Delito violento, robo o asalto</v>
      </c>
      <c r="I52" s="2" t="str">
        <f>IFERROR(__xludf.DUMMYFUNCTION("""COMPUTED_VALUE"""),"asesinado")</f>
        <v>asesinado</v>
      </c>
      <c r="J52" s="2" t="str">
        <f>IFERROR(__xludf.DUMMYFUNCTION("""COMPUTED_VALUE"""),"Prevención PAX: Contactos de confianza.")</f>
        <v>Prevención PAX: Contactos de confianza.</v>
      </c>
      <c r="K52" s="2" t="str">
        <f>IFERROR(__xludf.DUMMYFUNCTION("""COMPUTED_VALUE"""),"Guerrero")</f>
        <v>Guerrero</v>
      </c>
      <c r="L52" s="2" t="str">
        <f>IFERROR(__xludf.DUMMYFUNCTION("""COMPUTED_VALUE"""),"Guerrero")</f>
        <v>Guerrero</v>
      </c>
      <c r="M52" s="16" t="str">
        <f>IFERROR(__xludf.DUMMYFUNCTION("""COMPUTED_VALUE"""),"https://www.eluniversal.com.mx/estados/alcaldes-bajo-la-mira-de-los-grupos-criminales/")</f>
        <v>https://www.eluniversal.com.mx/estados/alcaldes-bajo-la-mira-de-los-grupos-criminales/</v>
      </c>
      <c r="N52" s="2" t="str">
        <f>IFERROR(__xludf.DUMMYFUNCTION("""COMPUTED_VALUE"""),"A lo largo de 2025, losalcaldesestuvieron en lamira criminal. Siete fueronasesinadosen cuatro estados: tres enMichoacán, dos enOaxaca, uno enGuerreroy uno más enHidalgo. El 15 de mayo fue asesinadoMario Hernández, deSantiago Amoltepec, enOaxaca. Fue embos"&amp;"cado cuando viajaba en una camioneta de la policía municipal. El 28 de mayo fue baleado Isaías Rojas Ramírez, alcalde de Metlatónoc, Guerrero, cuando circulaba por la Autopista del Sol. Cinco días después falleció por las heridas. EnTacámbaro, Michoacán, "&amp;"el presidente municipalSalvador Bastida Garcíafue asesinado el 5 de junio afuera de su domicilio junto con su escolta.Lilia Gema García Soto, de San Mateo Piñas, Oaxaca, murió el 15 de junio dentro de la presidencia municipal, luego de que hombres armados"&amp;" entraron y abrieron fuego. Dos días después, el 17 de junio,Martha Laura Mendoza, presidenta municipal deTepalcatepec, Michoacán, fue asesinada junto con su esposo cuando llegaban a su domicilio. El 20 de octubre,Miguel Bahena Solórzano, alcalde dePisafl"&amp;"ores, Hidalgo, fue asesinado afuera de su casa. Carlos Manzo, alcalde deUruapan, fue, sin duda, el caso que mayor repercusión tuvo a nivel nacional. Fue ejecutado la noche del 1 de noviembre durante la inauguración del Festival de las Velas por un joven m"&amp;"enor de edad. El momento quedó grabado en video. Semanas antes había reclamado al gobierno federal el retiro de las fuerzas de seguridad del municipio. En varios casos, las víctimas teníanguardaespaldaso estaban en lugares vigilados, lo que no impidió que"&amp;" los criminales atacaran y, en su mayoría, se dieran a la fuga.[Publicidad] Si bien,autores materialesson detenidos, no se llega a losautores intelectuales reales, las personas que ordenaron el crimen y que guardan los motivos. “Para los cárteles es impor"&amp;"tante elcontrol de los gobiernos municipales, porque desean tener bajo su órbita las direcciones de policía, las de tránsito, y en casos extremos, a las direcciones de obra pública porque manejan un presupuesto robusto que sirve a los intereses de los cár"&amp;"teles”, comentaDavid Saucedo, especialista en seguridad, al hablar sobre la vulnerabilidad de los alcaldes y de la presión que ejercen los grupos criminales.[Publicidad] “Me pesa mucho comentarlo, pero lo de Carlos Manzo es una situación realmente excepci"&amp;"onal. Es decir, un alcalde que eligió enfrentar lapresión de los grupos criminalesy que debido a esta circunstancia la jefatura de plaza, en este caso elCártel Jalisco, da instrucciones para que se le asesine”, expone. El analista menciona que, en muchos "&amp;"casos, los alcaldes se doblegan a los intereses del crimen organizado y recuerda aNorma Otilia Hernández Martínez, quien fue alcaldesa deChilpancingode 2021 a 2024 y fue videograbada en reuniones con el presunto líder del grupo criminalLos Ardillos. Para "&amp;"David Saucedo, la razón principal del por qué los alcaldes son tan vulnerables radica básicamente en el poder, en el control geopolítico. De acuerdo con información de Data Cívica, en 2023 no se registró ningún asesinato de alcaldes, mientras que en 2024 "&amp;"mataron a nueve: dos de Oaxaca, dos en Michoacán, tres en Guerrero, uno en Puebla y uno más en San Luis Potosí. En 2025, la cifra se cerró en siete. Un caso que llama la atención es el deMiguel Bahena Solórzano, de Pisaflores, Hidalgo, cuyo crimen presunt"&amp;"amente se planeó dentro de su propio gobierno. Según las investigaciones, fue ejecutado por órdenes de quien fungía como presidente del Sistema DIF de ese ayuntamiento, identificado comoJohny “N”. De acuerdo con las indagatorias, uno de lospresuntos respo"&amp;"nsablesmateriales laboraba en el área de Comunicación Social del ayuntamiento. Durante la detención de Johny, por el delito de portación ilegal de arma de fuego, también fue capturada una mujer identificada comoHanna “N”, quien es hermana de Silvestre Gar"&amp;"cía, alcalde sustituto. Sin embargo, los asesinatos que ocurrieron en los estados de Guerrero, Oaxaca y Michoacán se dieron por una combinación de varios factores, menciona Saucedo. Por un lado, la comercialización de drogas al menudeo y el control de rut"&amp;"as. Es decir, hay ciertos municipios que son más importantes para lasactividades criminales. El especialista en seguridad refiere que cada municipio en donde hubo amenazas y ataques contra los alcaldes tiene alguna característica geopolítica que lo distin"&amp;"gue, ya sea un altoconsumo en drogas, ser un punto importante para las rutas de trasiego, o bien, ser un centro de producción de sustancias ilícitas. “Para que los cárteles hayan tomado la determinación de incluir en esta práctica elasesinato político, es"&amp;" porque ellos consideraban que era necesario proceder de este modo. También ha habido casos singulares en el que un grupo criminal asesina a un alcalde, como ejemplo para otros presidentes municipales que se resisten al control de parte de los grupos deli"&amp;"ctivos”, explica. David Saucedo refiere que, de manera previa, antes de que los alcaldes tomen posición en sus cargos, los grupos criminales ya hicieron su trabajo, es decir,financiaron campañas políticase incluso amedrentaron a candidatos que no son afin"&amp;"es a sus proyectos. “El asesinato político cometido por los grupos del narcotráfico es el último eslabón de la cadena, porque antes seguramente hubo una serie de chantajes, amedrentamientos, participación de los cárteles centrales electorales, cooptación "&amp;"de las corporaciones deseguridad públicay esa es una característica importante. “En la mayoría de los casos de alcaldes que fueron asesinados, de manera previa, sus direcciones de policía ya habían sido cooptadas por grupos delcrimen organizado”, enfatiza"&amp;". En muchas ocasiones, expone el especialista, los alcaldes se doblegan a los grupos criminales por una directriz que emite el propio gobierno estatal. Haygobernadores que están operando de la mano de los grupos criminalesy les dan instrucciones a sus alc"&amp;"aldes para que colaboren con esos grupos. Esto ha ocurrido en varias entidades del país, donde se sabe que los gobernadores tienen algún contacto y alguna sinergia con los grupos criminales, por las mismas razones, porque los grupos denarcotráficotambién "&amp;"establecen una relación especial con titulares de los ejecutivos de varios estados, menciona. Al cuestionarle sobre cómo se puede proteger a los alcaldes, David Saucedo comenta que no hay un estado de fuerza en el país suficiente parablindar a los preside"&amp;"ntes municipalesde ataques de grupos criminales, y destinar un número importante de elementos de la Guardia Nacional para protección de funcionarios, no es viable. “En México hay algo así como2 mil 500 municipios. Los municipios que están en una situación"&amp;" de cooptación por parte de grupos del crimen organizado son más o menos la tercera parte, aproximadamente. No hay un estado de fuerza en el país para poder blindar a los presidentes municipales de ataques del narcotráfico”. Considera que la mejor manera "&amp;"de proteger a los alcaldes es quitarles las facultades en materia de seguridad. “Tenemosmicropolicíasenfrentando amacrocárteles. Eso nunca va a funcionar”, dice. De acuerdo con el experto, los gobiernos estatales llevan décadas tratando de mejorar su segu"&amp;"ridad municipal, esto llevando a cabo capacitación de las policías municipales, incremento de salarios, pero nada de lo que han hecho ha funcionado. Para él, las pocas policías municipales que están operando bien se cuentan con los dedos de la mano. “Hay "&amp;"que llegar a una conclusión cruda, pero realista. Los municipios no tienen capacidad para atender temas de seguridad. Tendría que ser una facultad ya sea del gobierno federal o de los policías estatales”, precisa el especialista. Durante 2025, siete alcal"&amp;"des fueron asesinados. Únete a nuestro canal¡EL UNIVERSAL ya está en Whatsapp!, desde tu dispositivo móvil entérate de las noticias más relevantes del día, artículos de opinión, entretenimiento, tendencias y más. Copyright © Todos los derechos reservados "&amp;"| EL UNIVERSAL, Compañía Periodística Nacional. De no existir previa autorización, queda expresamente prohibida la Publicación, retransmisión, edición y cualquier otro uso de los contenidos Al navegar en este sitio aceptas las cookies que utilizamos para "&amp;"mejorar tu experiencia")</f>
        <v>A lo largo de 2025, losalcaldesestuvieron en lamira criminal. Siete fueronasesinadosen cuatro estados: tres enMichoacán, dos enOaxaca, uno enGuerreroy uno más enHidalgo. El 15 de mayo fue asesinadoMario Hernández, deSantiago Amoltepec, enOaxaca. Fue emboscado cuando viajaba en una camioneta de la policía municipal. El 28 de mayo fue baleado Isaías Rojas Ramírez, alcalde de Metlatónoc, Guerrero, cuando circulaba por la Autopista del Sol. Cinco días después falleció por las heridas. EnTacámbaro, Michoacán, el presidente municipalSalvador Bastida Garcíafue asesinado el 5 de junio afuera de su domicilio junto con su escolta.Lilia Gema García Soto, de San Mateo Piñas, Oaxaca, murió el 15 de junio dentro de la presidencia municipal, luego de que hombres armados entraron y abrieron fuego. Dos días después, el 17 de junio,Martha Laura Mendoza, presidenta municipal deTepalcatepec, Michoacán, fue asesinada junto con su esposo cuando llegaban a su domicilio. El 20 de octubre,Miguel Bahena Solórzano, alcalde dePisaflores, Hidalgo, fue asesinado afuera de su casa. Carlos Manzo, alcalde deUruapan, fue, sin duda, el caso que mayor repercusión tuvo a nivel nacional. Fue ejecutado la noche del 1 de noviembre durante la inauguración del Festival de las Velas por un joven menor de edad. El momento quedó grabado en video. Semanas antes había reclamado al gobierno federal el retiro de las fuerzas de seguridad del municipio. En varios casos, las víctimas teníanguardaespaldaso estaban en lugares vigilados, lo que no impidió que los criminales atacaran y, en su mayoría, se dieran a la fuga.[Publicidad] Si bien,autores materialesson detenidos, no se llega a losautores intelectuales reales, las personas que ordenaron el crimen y que guardan los motivos. “Para los cárteles es importante elcontrol de los gobiernos municipales, porque desean tener bajo su órbita las direcciones de policía, las de tránsito, y en casos extremos, a las direcciones de obra pública porque manejan un presupuesto robusto que sirve a los intereses de los cárteles”, comentaDavid Saucedo, especialista en seguridad, al hablar sobre la vulnerabilidad de los alcaldes y de la presión que ejercen los grupos criminales.[Publicidad] “Me pesa mucho comentarlo, pero lo de Carlos Manzo es una situación realmente excepcional. Es decir, un alcalde que eligió enfrentar lapresión de los grupos criminalesy que debido a esta circunstancia la jefatura de plaza, en este caso elCártel Jalisco, da instrucciones para que se le asesine”, expone. El analista menciona que, en muchos casos, los alcaldes se doblegan a los intereses del crimen organizado y recuerda aNorma Otilia Hernández Martínez, quien fue alcaldesa deChilpancingode 2021 a 2024 y fue videograbada en reuniones con el presunto líder del grupo criminalLos Ardillos. Para David Saucedo, la razón principal del por qué los alcaldes son tan vulnerables radica básicamente en el poder, en el control geopolítico. De acuerdo con información de Data Cívica, en 2023 no se registró ningún asesinato de alcaldes, mientras que en 2024 mataron a nueve: dos de Oaxaca, dos en Michoacán, tres en Guerrero, uno en Puebla y uno más en San Luis Potosí. En 2025, la cifra se cerró en siete. Un caso que llama la atención es el deMiguel Bahena Solórzano, de Pisaflores, Hidalgo, cuyo crimen presuntamente se planeó dentro de su propio gobierno. Según las investigaciones, fue ejecutado por órdenes de quien fungía como presidente del Sistema DIF de ese ayuntamiento, identificado comoJohny “N”. De acuerdo con las indagatorias, uno de lospresuntos responsablesmateriales laboraba en el área de Comunicación Social del ayuntamiento. Durante la detención de Johny, por el delito de portación ilegal de arma de fuego, también fue capturada una mujer identificada comoHanna “N”, quien es hermana de Silvestre García, alcalde sustituto. Sin embargo, los asesinatos que ocurrieron en los estados de Guerrero, Oaxaca y Michoacán se dieron por una combinación de varios factores, menciona Saucedo. Por un lado, la comercialización de drogas al menudeo y el control de rutas. Es decir, hay ciertos municipios que son más importantes para lasactividades criminales. El especialista en seguridad refiere que cada municipio en donde hubo amenazas y ataques contra los alcaldes tiene alguna característica geopolítica que lo distingue, ya sea un altoconsumo en drogas, ser un punto importante para las rutas de trasiego, o bien, ser un centro de producción de sustancias ilícitas. “Para que los cárteles hayan tomado la determinación de incluir en esta práctica elasesinato político, es porque ellos consideraban que era necesario proceder de este modo. También ha habido casos singulares en el que un grupo criminal asesina a un alcalde, como ejemplo para otros presidentes municipales que se resisten al control de parte de los grupos delictivos”, explica. David Saucedo refiere que, de manera previa, antes de que los alcaldes tomen posición en sus cargos, los grupos criminales ya hicieron su trabajo, es decir,financiaron campañas políticase incluso amedrentaron a candidatos que no son afines a sus proyectos. “El asesinato político cometido por los grupos del narcotráfico es el último eslabón de la cadena, porque antes seguramente hubo una serie de chantajes, amedrentamientos, participación de los cárteles centrales electorales, cooptación de las corporaciones deseguridad públicay esa es una característica importante. “En la mayoría de los casos de alcaldes que fueron asesinados, de manera previa, sus direcciones de policía ya habían sido cooptadas por grupos delcrimen organizado”, enfatiza. En muchas ocasiones, expone el especialista, los alcaldes se doblegan a los grupos criminales por una directriz que emite el propio gobierno estatal. Haygobernadores que están operando de la mano de los grupos criminalesy les dan instrucciones a sus alcaldes para que colaboren con esos grupos. Esto ha ocurrido en varias entidades del país, donde se sabe que los gobernadores tienen algún contacto y alguna sinergia con los grupos criminales, por las mismas razones, porque los grupos denarcotráficotambién establecen una relación especial con titulares de los ejecutivos de varios estados, menciona. Al cuestionarle sobre cómo se puede proteger a los alcaldes, David Saucedo comenta que no hay un estado de fuerza en el país suficiente parablindar a los presidentes municipalesde ataques de grupos criminales, y destinar un número importante de elementos de la Guardia Nacional para protección de funcionarios, no es viable. “En México hay algo así como2 mil 500 municipios. Los municipios que están en una situación de cooptación por parte de grupos del crimen organizado son más o menos la tercera parte, aproximadamente. No hay un estado de fuerza en el país para poder blindar a los presidentes municipales de ataques del narcotráfico”. Considera que la mejor manera de proteger a los alcaldes es quitarles las facultades en materia de seguridad. “Tenemosmicropolicíasenfrentando amacrocárteles. Eso nunca va a funcionar”, dice. De acuerdo con el experto, los gobiernos estatales llevan décadas tratando de mejorar su seguridad municipal, esto llevando a cabo capacitación de las policías municipales, incremento de salarios, pero nada de lo que han hecho ha funcionado. Para él, las pocas policías municipales que están operando bien se cuentan con los dedos de la mano. “Hay que llegar a una conclusión cruda, pero realista. Los municipios no tienen capacidad para atender temas de seguridad. Tendría que ser una facultad ya sea del gobierno federal o de los policías estatales”, precisa el especialista. Durante 2025, siete alcaldes fueron asesinados.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2" s="15">
        <f>IFERROR(__xludf.DUMMYFUNCTION("""COMPUTED_VALUE"""),1.0)</f>
        <v>1</v>
      </c>
      <c r="P52" s="2"/>
      <c r="Q52" s="17">
        <f>IFERROR(__xludf.DUMMYFUNCTION("""COMPUTED_VALUE"""),3.0)</f>
        <v>3</v>
      </c>
      <c r="R52" s="2" t="str">
        <f>IFERROR(__xludf.DUMMYFUNCTION("""COMPUTED_VALUE"""),"Low")</f>
        <v>Low</v>
      </c>
      <c r="S52" s="17">
        <f>IFERROR(__xludf.DUMMYFUNCTION("""COMPUTED_VALUE"""),0.0)</f>
        <v>0</v>
      </c>
      <c r="T52" s="17">
        <f>IFERROR(__xludf.DUMMYFUNCTION("""COMPUTED_VALUE"""),0.0)</f>
        <v>0</v>
      </c>
      <c r="U52" s="14">
        <f>IFERROR(__xludf.DUMMYFUNCTION("""COMPUTED_VALUE"""),3.0)</f>
        <v>3</v>
      </c>
      <c r="V52" s="14">
        <v>2025.0</v>
      </c>
      <c r="W52" s="2" t="s">
        <v>1168</v>
      </c>
      <c r="X52" s="2" t="s">
        <v>1188</v>
      </c>
      <c r="Y52" s="13" t="s">
        <v>171</v>
      </c>
      <c r="Z52" s="14">
        <v>0.0</v>
      </c>
      <c r="AA52" s="14">
        <v>0.0</v>
      </c>
      <c r="AB52" s="14">
        <v>0.0</v>
      </c>
      <c r="AC52" s="14">
        <v>0.0</v>
      </c>
      <c r="AD52" s="2">
        <v>0.0</v>
      </c>
      <c r="AE52" s="2">
        <v>1.0</v>
      </c>
      <c r="AF52" s="2">
        <v>12.0</v>
      </c>
      <c r="AG52" s="2" t="s">
        <v>1193</v>
      </c>
      <c r="AH52" s="2">
        <v>0.0</v>
      </c>
    </row>
    <row r="53" ht="15.75" customHeight="1">
      <c r="A53" s="2" t="str">
        <f>IFERROR(__xludf.DUMMYFUNCTION("""COMPUTED_VALUE"""),"El Universal")</f>
        <v>El Universal</v>
      </c>
      <c r="B53" s="12" t="str">
        <f>IFERROR(__xludf.DUMMYFUNCTION("""COMPUTED_VALUE"""),"Triste noticia: Muere capibara macho que llegó al Zoológico Tamatán en Ciudad Victoria, Tamaulipas; falleció por estrés")</f>
        <v>Triste noticia: Muere capibara macho que llegó al Zoológico Tamatán en Ciudad Victoria, Tamaulipas; falleció por estrés</v>
      </c>
      <c r="C53" s="13" t="str">
        <f>IFERROR(__xludf.DUMMYFUNCTION("""COMPUTED_VALUE"""),"2025-12-27")</f>
        <v>2025-12-27</v>
      </c>
      <c r="D53" s="14">
        <f>IFERROR(__xludf.DUMMYFUNCTION("""COMPUTED_VALUE"""),2.0)</f>
        <v>2</v>
      </c>
      <c r="E53" s="15">
        <f>IFERROR(__xludf.DUMMYFUNCTION("""COMPUTED_VALUE"""),-0.6256)</f>
        <v>-0.6256</v>
      </c>
      <c r="F53" s="2" t="str">
        <f>IFERROR(__xludf.DUMMYFUNCTION("""COMPUTED_VALUE"""),"Negativo")</f>
        <v>Negativo</v>
      </c>
      <c r="G53" s="15">
        <f>IFERROR(__xludf.DUMMYFUNCTION("""COMPUTED_VALUE"""),0.6256)</f>
        <v>0.6256</v>
      </c>
      <c r="H53" s="2" t="str">
        <f>IFERROR(__xludf.DUMMYFUNCTION("""COMPUTED_VALUE"""),"Operativo policial o detención")</f>
        <v>Operativo policial o detención</v>
      </c>
      <c r="I53" s="2" t="str">
        <f>IFERROR(__xludf.DUMMYFUNCTION("""COMPUTED_VALUE"""),"N/A")</f>
        <v>N/A</v>
      </c>
      <c r="J53" s="2" t="str">
        <f>IFERROR(__xludf.DUMMYFUNCTION("""COMPUTED_VALUE"""),"Monitoreo general.")</f>
        <v>Monitoreo general.</v>
      </c>
      <c r="K53" s="2" t="str">
        <f>IFERROR(__xludf.DUMMYFUNCTION("""COMPUTED_VALUE"""),"Tamaulipas")</f>
        <v>Tamaulipas</v>
      </c>
      <c r="L53" s="2" t="str">
        <f>IFERROR(__xludf.DUMMYFUNCTION("""COMPUTED_VALUE"""),"Tamaulipas")</f>
        <v>Tamaulipas</v>
      </c>
      <c r="M53" s="16" t="str">
        <f>IFERROR(__xludf.DUMMYFUNCTION("""COMPUTED_VALUE"""),"https://www.eluniversal.com.mx/estados/triste-noticia-muere-capibara-macho-que-llego-al-zoologico-tamatan-en-ciudad-victoria-tamaulipas-fallecio-por-estres/")</f>
        <v>https://www.eluniversal.com.mx/estados/triste-noticia-muere-capibara-macho-que-llego-al-zoologico-tamatan-en-ciudad-victoria-tamaulipas-fallecio-por-estres/</v>
      </c>
      <c r="N53" s="2" t="str">
        <f>IFERROR(__xludf.DUMMYFUNCTION("""COMPUTED_VALUE"""),"Ciudad Victoria, Tamaulipas.- Cuando apenas tenían dos días de que una pareja decapibaraspodían ser visitados en elZoológico Tamatán, autoridades estatales confirmaron delfallecimientodel ejemplar macho. El vocal ejecutivo de la Comisión de Parques y Biod"&amp;"iversidad de Tamaulipas, Eduardo Rocha Orozco, informó que el capibara macho “presentócomplicacionesderivadas del proceso de adaptación a su nuevo entorno”. Añadió que, “presentó unalto nivel de estrésasociado al cambio de hábitat, conforme a la valoració"&amp;"n del médico veterinario responsable”. Rocha Orozco afirmó que la Comisión refrenda su compromiso con el bienestar animal y la aplicación de protocolos técnicos en el manejo de fauna bajo su resguardo. La pareja de capibaras llegó al Zoológico Tamatán pro"&amp;"cedentes deNuevo Leóny apenas el viernes 26 de diciembre habían podido ser vistos por los visitantes.[Publicidad] El mismo Eduardo Rocha había dado a conocer que después informarían, “los pormenores de la dinámica para que participen para ponerles sus nom"&amp;"bres; además, vienen acompañados de una hermosa sorpresa más”. Únete a nuestro canal¡EL UNIVERSAL ya está en Whatsapp!, desde tu dispositivo móvil entérate de las noticias más relevantes del día, artículos de opinión, entretenimiento, tendencias y más.[Pu"&amp;"blicidad] Copyright © Todos los derechos reservados | EL UNIVERSAL, Compañía Periodística Nacional. De no existir previa autorización, queda expresamente prohibida la Publicación, retransmisión, edición y cualquier otro uso de los contenidos Al navegar en"&amp;" este sitio aceptas las cookies que utilizamos para mejorar tu experiencia")</f>
        <v>Ciudad Victoria, Tamaulipas.- Cuando apenas tenían dos días de que una pareja decapibaraspodían ser visitados en elZoológico Tamatán, autoridades estatales confirmaron delfallecimientodel ejemplar macho. El vocal ejecutivo de la Comisión de Parques y Biodiversidad de Tamaulipas, Eduardo Rocha Orozco, informó que el capibara macho “presentócomplicacionesderivadas del proceso de adaptación a su nuevo entorno”. Añadió que, “presentó unalto nivel de estrésasociado al cambio de hábitat, conforme a la valoración del médico veterinario responsable”. Rocha Orozco afirmó que la Comisión refrenda su compromiso con el bienestar animal y la aplicación de protocolos técnicos en el manejo de fauna bajo su resguardo. La pareja de capibaras llegó al Zoológico Tamatán procedentes deNuevo Leóny apenas el viernes 26 de diciembre habían podido ser vistos por los visitantes.[Publicidad] El mismo Eduardo Rocha había dado a conocer que después informarían, “los pormenores de la dinámica para que participen para ponerles sus nombres; además, vienen acompañados de una hermosa sorpresa más”.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3" s="15">
        <f>IFERROR(__xludf.DUMMYFUNCTION("""COMPUTED_VALUE"""),0.351)</f>
        <v>0.351</v>
      </c>
      <c r="P53" s="2"/>
      <c r="Q53" s="17">
        <f>IFERROR(__xludf.DUMMYFUNCTION("""COMPUTED_VALUE"""),8.5)</f>
        <v>8.5</v>
      </c>
      <c r="R53" s="2" t="str">
        <f>IFERROR(__xludf.DUMMYFUNCTION("""COMPUTED_VALUE"""),"Medium")</f>
        <v>Medium</v>
      </c>
      <c r="S53" s="17">
        <f>IFERROR(__xludf.DUMMYFUNCTION("""COMPUTED_VALUE"""),1.5)</f>
        <v>1.5</v>
      </c>
      <c r="T53" s="17">
        <f>IFERROR(__xludf.DUMMYFUNCTION("""COMPUTED_VALUE"""),0.0)</f>
        <v>0</v>
      </c>
      <c r="U53" s="14">
        <f>IFERROR(__xludf.DUMMYFUNCTION("""COMPUTED_VALUE"""),3.0)</f>
        <v>3</v>
      </c>
      <c r="V53" s="14">
        <v>2025.0</v>
      </c>
      <c r="W53" s="2" t="s">
        <v>1168</v>
      </c>
      <c r="X53" s="2" t="s">
        <v>1194</v>
      </c>
      <c r="Y53" s="13" t="s">
        <v>231</v>
      </c>
      <c r="Z53" s="14">
        <v>0.0</v>
      </c>
      <c r="AA53" s="14">
        <v>0.0</v>
      </c>
      <c r="AB53" s="14">
        <v>0.0</v>
      </c>
      <c r="AC53" s="14">
        <v>0.0</v>
      </c>
      <c r="AD53" s="2">
        <v>0.0</v>
      </c>
      <c r="AE53" s="2">
        <v>0.0</v>
      </c>
      <c r="AF53" s="2">
        <v>12.0</v>
      </c>
      <c r="AG53" s="2" t="s">
        <v>1195</v>
      </c>
      <c r="AH53" s="2">
        <v>0.0</v>
      </c>
    </row>
    <row r="54" ht="15.75" customHeight="1">
      <c r="A54" s="2" t="str">
        <f>IFERROR(__xludf.DUMMYFUNCTION("""COMPUTED_VALUE"""),"El Universal")</f>
        <v>El Universal</v>
      </c>
      <c r="B54" s="12" t="str">
        <f>IFERROR(__xludf.DUMMYFUNCTION("""COMPUTED_VALUE"""),"Reportan 7 personas desaparecidas tras quema de bares en Villaflores, Chiapas; Fiscalía vincula hechos a narcomenudeo")</f>
        <v>Reportan 7 personas desaparecidas tras quema de bares en Villaflores, Chiapas; Fiscalía vincula hechos a narcomenudeo</v>
      </c>
      <c r="C54" s="13" t="str">
        <f>IFERROR(__xludf.DUMMYFUNCTION("""COMPUTED_VALUE"""),"2025-12-27")</f>
        <v>2025-12-27</v>
      </c>
      <c r="D54" s="14">
        <f>IFERROR(__xludf.DUMMYFUNCTION("""COMPUTED_VALUE"""),5.0)</f>
        <v>5</v>
      </c>
      <c r="E54" s="15">
        <f>IFERROR(__xludf.DUMMYFUNCTION("""COMPUTED_VALUE"""),-0.7372)</f>
        <v>-0.7372</v>
      </c>
      <c r="F54" s="2" t="str">
        <f>IFERROR(__xludf.DUMMYFUNCTION("""COMPUTED_VALUE"""),"Negativo")</f>
        <v>Negativo</v>
      </c>
      <c r="G54" s="15">
        <f>IFERROR(__xludf.DUMMYFUNCTION("""COMPUTED_VALUE"""),0.7372)</f>
        <v>0.7372</v>
      </c>
      <c r="H54" s="2" t="str">
        <f>IFERROR(__xludf.DUMMYFUNCTION("""COMPUTED_VALUE"""),"Operativo policial o detención")</f>
        <v>Operativo policial o detención</v>
      </c>
      <c r="I54" s="2" t="str">
        <f>IFERROR(__xludf.DUMMYFUNCTION("""COMPUTED_VALUE"""),"N/A")</f>
        <v>N/A</v>
      </c>
      <c r="J54" s="2" t="str">
        <f>IFERROR(__xludf.DUMMYFUNCTION("""COMPUTED_VALUE"""),"Monitoreo general.")</f>
        <v>Monitoreo general.</v>
      </c>
      <c r="K54" s="2" t="str">
        <f>IFERROR(__xludf.DUMMYFUNCTION("""COMPUTED_VALUE"""),"Tuxtla Gutiérrez")</f>
        <v>Tuxtla Gutiérrez</v>
      </c>
      <c r="L54" s="2" t="str">
        <f>IFERROR(__xludf.DUMMYFUNCTION("""COMPUTED_VALUE"""),"Chiapas")</f>
        <v>Chiapas</v>
      </c>
      <c r="M54" s="16" t="str">
        <f>IFERROR(__xludf.DUMMYFUNCTION("""COMPUTED_VALUE"""),"https://www.eluniversal.com.mx/estados/reportan-7-personas-desaparecidas-tras-quema-de-bares-en-villaflores-chiapas-fiscalia-vincula-hechos-a-narcomenudeo/")</f>
        <v>https://www.eluniversal.com.mx/estados/reportan-7-personas-desaparecidas-tras-quema-de-bares-en-villaflores-chiapas-fiscalia-vincula-hechos-a-narcomenudeo/</v>
      </c>
      <c r="N54" s="2" t="str">
        <f>IFERROR(__xludf.DUMMYFUNCTION("""COMPUTED_VALUE"""),"TUXTLA GUTIÉRREZ. CHIS. - Siete personas fuerondesaparecidasdurante losataquesy laquema de baresy vehículos enVillaflores, dos de ellas presuntamente propietarias de esos negocios, informó laFiscalía General del Estado. Además, como resultado de la agresi"&amp;"ón, tres mujeres resultaron conlesionesporquemaduras, reciben atención médica y se encuentran estables. ""Se han recibido denuncias por ladesapariciónde siete personas, dos de ellas presuntamente propietarias de los bares afectados. Además, se reportan tr"&amp;"es mujeres conlesiones por quemaduras, quienes ya reciben atención médica y se encuentran estables"", agregó la Fiscalía. De acuerdo con las autoridades, las siete personas raptadas fueron identificadas como:Sergio Enrique Pereda Tamayo, de 30 años de eda"&amp;"d, dueño de La Kabala;José Armando Coutiño Ruiz, de 28 años, de Anubis’s Discoclub;José Ángel Martínez Marina, de 45 años;Eduardo Vázquez Ramírez, de 21 años;Mauricio Camilo Girón, de 26 años de edad;Juan Ovani Camilo Girón, de 30 años; yJosé Rubiel Const"&amp;"antino Rodríguez, 33 años. El fiscal general de Chiapas,Jorge Luis Llaven Abarcaprecisó que derivado de las investigaciones preliminares se estableció que el móvil principal de loshechos violentos, cometidos la madrugada de este miércoles, fue la disputa "&amp;"por elnarcomenudeoen la zona entre dos células delictivas. Hombres armados irrumpieron a las 03:00 horas, en los baresLa KabalaSport Bar,KaraokeyAnubis’s Discoclub, para incendiarlos, pero se llevaron a siete hombres, entre ellos los propietarios de los n"&amp;"egocios. La Fiscalía General señaló que en elbar Kabala""se observó la fachada quemada y tres vehículos incendiados frente al establecimiento"".[Publicidad] Se reportó, además un incendio en elbar Anubis, que fue controlado después. Villaflores, ubicado e"&amp;"n la regiónFrailesca, es una de las zonas donde los carteles de la droga se disputan el control territorial con enfrentamientos entre ellos, las corporaciones policiacas y el Ejército Mexicano. La pugna entre el crimen organizado enLa Frailescase ha salda"&amp;"do con enfrentamientos, ejecutados, ""levantados""bloqueos carreteros, quema de vehículos y extorsiones. Al municipio de Villaflores han llegado más de 200 elementos de la VII Región Militar, Guardia Nacional, Marina, Guardia Estatal y de Fuerza y Reacció"&amp;"n Inmediata Pakal(FRIP). Únete a nuestro canal¡EL UNIVERSAL ya está en Whatsapp!, desde tu dispositivo móvil entérate de las noticias más relevantes del día, artículos de opinión, entretenimiento, tendencias y más. Copyright © Todos los derechos reservado"&amp;"s | EL UNIVERSAL, Compañía Periodística Nacional. De no existir previa autorización, queda expresamente prohibida la Publicación, retransmisión, edición y cualquier otro uso de los contenidos Al navegar en este sitio aceptas las cookies que utilizamos par"&amp;"a mejorar tu experiencia")</f>
        <v>TUXTLA GUTIÉRREZ. CHIS. - Siete personas fuerondesaparecidasdurante losataquesy laquema de baresy vehículos enVillaflores, dos de ellas presuntamente propietarias de esos negocios, informó laFiscalía General del Estado. Además, como resultado de la agresión, tres mujeres resultaron conlesionesporquemaduras, reciben atención médica y se encuentran estables. "Se han recibido denuncias por ladesapariciónde siete personas, dos de ellas presuntamente propietarias de los bares afectados. Además, se reportan tres mujeres conlesiones por quemaduras, quienes ya reciben atención médica y se encuentran estables", agregó la Fiscalía. De acuerdo con las autoridades, las siete personas raptadas fueron identificadas como:Sergio Enrique Pereda Tamayo, de 30 años de edad, dueño de La Kabala;José Armando Coutiño Ruiz, de 28 años, de Anubis’s Discoclub;José Ángel Martínez Marina, de 45 años;Eduardo Vázquez Ramírez, de 21 años;Mauricio Camilo Girón, de 26 años de edad;Juan Ovani Camilo Girón, de 30 años; yJosé Rubiel Constantino Rodríguez, 33 años. El fiscal general de Chiapas,Jorge Luis Llaven Abarcaprecisó que derivado de las investigaciones preliminares se estableció que el móvil principal de loshechos violentos, cometidos la madrugada de este miércoles, fue la disputa por elnarcomenudeoen la zona entre dos células delictivas. Hombres armados irrumpieron a las 03:00 horas, en los baresLa KabalaSport Bar,KaraokeyAnubis’s Discoclub, para incendiarlos, pero se llevaron a siete hombres, entre ellos los propietarios de los negocios. La Fiscalía General señaló que en elbar Kabala"se observó la fachada quemada y tres vehículos incendiados frente al establecimiento".[Publicidad] Se reportó, además un incendio en elbar Anubis, que fue controlado después. Villaflores, ubicado en la regiónFrailesca, es una de las zonas donde los carteles de la droga se disputan el control territorial con enfrentamientos entre ellos, las corporaciones policiacas y el Ejército Mexicano. La pugna entre el crimen organizado enLa Frailescase ha saldado con enfrentamientos, ejecutados, "levantados"bloqueos carreteros, quema de vehículos y extorsiones. Al municipio de Villaflores han llegado más de 200 elementos de la VII Región Militar, Guardia Nacional, Marina, Guardia Estatal y de Fuerza y Reacción Inmediata Pakal(FRIP).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4" s="15">
        <f>IFERROR(__xludf.DUMMYFUNCTION("""COMPUTED_VALUE"""),0.3355)</f>
        <v>0.3355</v>
      </c>
      <c r="P54" s="2"/>
      <c r="Q54" s="17">
        <f>IFERROR(__xludf.DUMMYFUNCTION("""COMPUTED_VALUE"""),8.0)</f>
        <v>8</v>
      </c>
      <c r="R54" s="2" t="str">
        <f>IFERROR(__xludf.DUMMYFUNCTION("""COMPUTED_VALUE"""),"Medium")</f>
        <v>Medium</v>
      </c>
      <c r="S54" s="17">
        <f>IFERROR(__xludf.DUMMYFUNCTION("""COMPUTED_VALUE"""),1.5)</f>
        <v>1.5</v>
      </c>
      <c r="T54" s="17">
        <f>IFERROR(__xludf.DUMMYFUNCTION("""COMPUTED_VALUE"""),0.0)</f>
        <v>0</v>
      </c>
      <c r="U54" s="14">
        <f>IFERROR(__xludf.DUMMYFUNCTION("""COMPUTED_VALUE"""),3.0)</f>
        <v>3</v>
      </c>
      <c r="V54" s="14">
        <v>2025.0</v>
      </c>
      <c r="W54" s="2" t="s">
        <v>1168</v>
      </c>
      <c r="X54" s="2" t="s">
        <v>1194</v>
      </c>
      <c r="Y54" s="13" t="s">
        <v>231</v>
      </c>
      <c r="Z54" s="14">
        <v>0.0</v>
      </c>
      <c r="AA54" s="14">
        <v>0.0</v>
      </c>
      <c r="AB54" s="14">
        <v>0.0</v>
      </c>
      <c r="AC54" s="14">
        <v>0.0</v>
      </c>
      <c r="AD54" s="2">
        <v>0.0</v>
      </c>
      <c r="AE54" s="2">
        <v>1.0</v>
      </c>
      <c r="AF54" s="2">
        <v>12.0</v>
      </c>
      <c r="AG54" s="2" t="s">
        <v>1170</v>
      </c>
      <c r="AH54" s="2">
        <v>0.0</v>
      </c>
    </row>
    <row r="55" ht="15.75" customHeight="1">
      <c r="A55" s="2" t="str">
        <f>IFERROR(__xludf.DUMMYFUNCTION("""COMPUTED_VALUE"""),"El Universal")</f>
        <v>El Universal</v>
      </c>
      <c r="B55" s="12" t="str">
        <f>IFERROR(__xludf.DUMMYFUNCTION("""COMPUTED_VALUE"""),"Activistas hallan restos humanos en fosa clandestina en sindicatura de Costa Rica, Sinaloa; se desconoce el sexo de las víctimas")</f>
        <v>Activistas hallan restos humanos en fosa clandestina en sindicatura de Costa Rica, Sinaloa; se desconoce el sexo de las víctimas</v>
      </c>
      <c r="C55" s="13" t="str">
        <f>IFERROR(__xludf.DUMMYFUNCTION("""COMPUTED_VALUE"""),"2025-12-27")</f>
        <v>2025-12-27</v>
      </c>
      <c r="D55" s="14">
        <f>IFERROR(__xludf.DUMMYFUNCTION("""COMPUTED_VALUE"""),2.0)</f>
        <v>2</v>
      </c>
      <c r="E55" s="15">
        <f>IFERROR(__xludf.DUMMYFUNCTION("""COMPUTED_VALUE"""),0.0)</f>
        <v>0</v>
      </c>
      <c r="F55" s="2" t="str">
        <f>IFERROR(__xludf.DUMMYFUNCTION("""COMPUTED_VALUE"""),"Neutral")</f>
        <v>Neutral</v>
      </c>
      <c r="G55" s="15">
        <f>IFERROR(__xludf.DUMMYFUNCTION("""COMPUTED_VALUE"""),0.4995)</f>
        <v>0.4995</v>
      </c>
      <c r="H55" s="2" t="str">
        <f>IFERROR(__xludf.DUMMYFUNCTION("""COMPUTED_VALUE"""),"Operativo policial o detención")</f>
        <v>Operativo policial o detención</v>
      </c>
      <c r="I55" s="2" t="str">
        <f>IFERROR(__xludf.DUMMYFUNCTION("""COMPUTED_VALUE"""),"N/A")</f>
        <v>N/A</v>
      </c>
      <c r="J55" s="2" t="str">
        <f>IFERROR(__xludf.DUMMYFUNCTION("""COMPUTED_VALUE"""),"Monitoreo general.")</f>
        <v>Monitoreo general.</v>
      </c>
      <c r="K55" s="2" t="str">
        <f>IFERROR(__xludf.DUMMYFUNCTION("""COMPUTED_VALUE"""),"Sinaloa")</f>
        <v>Sinaloa</v>
      </c>
      <c r="L55" s="2" t="str">
        <f>IFERROR(__xludf.DUMMYFUNCTION("""COMPUTED_VALUE"""),"Sinaloa")</f>
        <v>Sinaloa</v>
      </c>
      <c r="M55" s="16" t="str">
        <f>IFERROR(__xludf.DUMMYFUNCTION("""COMPUTED_VALUE"""),"https://www.eluniversal.com.mx/estados/activistas-hallan-restos-humanos-en-fosa-clandestina-en-sindicatura-de-costa-rica-sinaloa-se-desconoce-el-sexo-de-las-victimas/")</f>
        <v>https://www.eluniversal.com.mx/estados/activistas-hallan-restos-humanos-en-fosa-clandestina-en-sindicatura-de-costa-rica-sinaloa-se-desconoce-el-sexo-de-las-victimas/</v>
      </c>
      <c r="N55" s="2" t="str">
        <f>IFERROR(__xludf.DUMMYFUNCTION("""COMPUTED_VALUE"""),"Culiacán, Sin a 27 de Dic. -Activistas de uncolectivo de búsquedalocalizaron entierras de cultivode la sindicatura deCosta Rica, enCuliacánunafosa clandestina, en donde hallaron, lo que se presume ser cuatro cuerpos en proceso dedescomposición, por lo que"&amp;" peritos y forenses acudieron al sitio. En una de sus búsquedas, las mujeres que integran el colectivo de“Sabuesos Guerreras""localizaron en un sitio cercano a un dren, en el ejidoEl Alhuate, indicios de una posible fosa clandestina. Al iniciar sus excava"&amp;"ciones, encontraron restos óseos, por lo que se dieron aviso a laFiscalía General del Estado. Con el auxilio del personal de laComisión Estatal de Búsquedade Personas, fueron encontrando másrestos humanos, lo que hace presumir que el hallazgo corresponde "&amp;"a por lo menos cuatro víctimas. Hasta el momento se desconoce el sexo de los cuerpos, los cuales fueron enviados alServicio Médico Forensepara su análisis y posible identificación, por lo que se continúan los trabajos de recuperación y se amplía la búsque"&amp;"da de más víctimas. Únete a nuestro canal¡EL UNIVERSAL ya está en Whatsapp!, desde tu dispositivo móvil entérate de las noticias más relevantes del día, artículos de opinión, entretenimiento, tendencias y más. Copyright © Todos los derechos reservados | E"&amp;"L UNIVERSAL, Compañía Periodística Nacional. De no existir previa autorización, queda expresamente prohibida la Publicación, retransmisión, edición y cualquier otro uso de los contenidos Al navegar en este sitio aceptas las cookies que utilizamos para mej"&amp;"orar tu experiencia")</f>
        <v>Culiacán, Sin a 27 de Dic. -Activistas de uncolectivo de búsquedalocalizaron entierras de cultivode la sindicatura deCosta Rica, enCuliacánunafosa clandestina, en donde hallaron, lo que se presume ser cuatro cuerpos en proceso dedescomposición, por lo que peritos y forenses acudieron al sitio. En una de sus búsquedas, las mujeres que integran el colectivo de“Sabuesos Guerreras"localizaron en un sitio cercano a un dren, en el ejidoEl Alhuate, indicios de una posible fosa clandestina. Al iniciar sus excavaciones, encontraron restos óseos, por lo que se dieron aviso a laFiscalía General del Estado. Con el auxilio del personal de laComisión Estatal de Búsquedade Personas, fueron encontrando másrestos humanos, lo que hace presumir que el hallazgo corresponde a por lo menos cuatro víctimas. Hasta el momento se desconoce el sexo de los cuerpos, los cuales fueron enviados alServicio Médico Forensepara su análisis y posible identificación, por lo que se continúan los trabajos de recuperación y se amplía la búsqueda de más víctimas.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5" s="15">
        <f>IFERROR(__xludf.DUMMYFUNCTION("""COMPUTED_VALUE"""),0.4022)</f>
        <v>0.4022</v>
      </c>
      <c r="P55" s="2"/>
      <c r="Q55" s="17">
        <f>IFERROR(__xludf.DUMMYFUNCTION("""COMPUTED_VALUE"""),8.5)</f>
        <v>8.5</v>
      </c>
      <c r="R55" s="2" t="str">
        <f>IFERROR(__xludf.DUMMYFUNCTION("""COMPUTED_VALUE"""),"Low")</f>
        <v>Low</v>
      </c>
      <c r="S55" s="17">
        <f>IFERROR(__xludf.DUMMYFUNCTION("""COMPUTED_VALUE"""),0.5)</f>
        <v>0.5</v>
      </c>
      <c r="T55" s="17">
        <f>IFERROR(__xludf.DUMMYFUNCTION("""COMPUTED_VALUE"""),0.0)</f>
        <v>0</v>
      </c>
      <c r="U55" s="14">
        <f>IFERROR(__xludf.DUMMYFUNCTION("""COMPUTED_VALUE"""),3.0)</f>
        <v>3</v>
      </c>
      <c r="V55" s="14">
        <v>2025.0</v>
      </c>
      <c r="W55" s="2" t="s">
        <v>1168</v>
      </c>
      <c r="X55" s="2" t="s">
        <v>1194</v>
      </c>
      <c r="Y55" s="13" t="s">
        <v>231</v>
      </c>
      <c r="Z55" s="14">
        <v>0.0</v>
      </c>
      <c r="AA55" s="14">
        <v>0.0</v>
      </c>
      <c r="AB55" s="14">
        <v>0.0</v>
      </c>
      <c r="AC55" s="14">
        <v>0.0</v>
      </c>
      <c r="AD55" s="2">
        <v>0.0</v>
      </c>
      <c r="AE55" s="2">
        <v>0.0</v>
      </c>
      <c r="AF55" s="2">
        <v>12.0</v>
      </c>
      <c r="AG55" s="2" t="s">
        <v>1172</v>
      </c>
      <c r="AH55" s="2">
        <v>0.0</v>
      </c>
    </row>
    <row r="56" ht="15.75" customHeight="1">
      <c r="A56" s="2" t="str">
        <f>IFERROR(__xludf.DUMMYFUNCTION("""COMPUTED_VALUE"""),"El Universal")</f>
        <v>El Universal</v>
      </c>
      <c r="B56" s="12" t="str">
        <f>IFERROR(__xludf.DUMMYFUNCTION("""COMPUTED_VALUE"""),"Liberan a joven detenido en Morelia durante manifestación para exigir justicia por asesinato de Carlos Manzo; denuncian tortura")</f>
        <v>Liberan a joven detenido en Morelia durante manifestación para exigir justicia por asesinato de Carlos Manzo; denuncian tortura</v>
      </c>
      <c r="C56" s="13" t="str">
        <f>IFERROR(__xludf.DUMMYFUNCTION("""COMPUTED_VALUE"""),"2025-12-27")</f>
        <v>2025-12-27</v>
      </c>
      <c r="D56" s="14">
        <f>IFERROR(__xludf.DUMMYFUNCTION("""COMPUTED_VALUE"""),5.0)</f>
        <v>5</v>
      </c>
      <c r="E56" s="15">
        <f>IFERROR(__xludf.DUMMYFUNCTION("""COMPUTED_VALUE"""),-0.6294)</f>
        <v>-0.6294</v>
      </c>
      <c r="F56" s="2" t="str">
        <f>IFERROR(__xludf.DUMMYFUNCTION("""COMPUTED_VALUE"""),"Negativo")</f>
        <v>Negativo</v>
      </c>
      <c r="G56" s="15">
        <f>IFERROR(__xludf.DUMMYFUNCTION("""COMPUTED_VALUE"""),0.6294)</f>
        <v>0.6294</v>
      </c>
      <c r="H56" s="2" t="str">
        <f>IFERROR(__xludf.DUMMYFUNCTION("""COMPUTED_VALUE"""),"Protestas o bloqueos viales")</f>
        <v>Protestas o bloqueos viales</v>
      </c>
      <c r="I56" s="2" t="str">
        <f>IFERROR(__xludf.DUMMYFUNCTION("""COMPUTED_VALUE"""),"manifestación")</f>
        <v>manifestación</v>
      </c>
      <c r="J56" s="2" t="str">
        <f>IFERROR(__xludf.DUMMYFUNCTION("""COMPUTED_VALUE"""),"Operaciones: Notificar zonas a evitar (Waze/Maps).")</f>
        <v>Operaciones: Notificar zonas a evitar (Waze/Maps).</v>
      </c>
      <c r="K56" s="2" t="str">
        <f>IFERROR(__xludf.DUMMYFUNCTION("""COMPUTED_VALUE"""),"Morelia")</f>
        <v>Morelia</v>
      </c>
      <c r="L56" s="2" t="str">
        <f>IFERROR(__xludf.DUMMYFUNCTION("""COMPUTED_VALUE"""),"Michoacán")</f>
        <v>Michoacán</v>
      </c>
      <c r="M56" s="16" t="str">
        <f>IFERROR(__xludf.DUMMYFUNCTION("""COMPUTED_VALUE"""),"https://www.eluniversal.com.mx/estados/liberan-a-joven-detenido-en-morelia-durante-manifestacion-para-exigir-justicia-por-asesinato-de-carlos-manzo-denuncian-tortura/")</f>
        <v>https://www.eluniversal.com.mx/estados/liberan-a-joven-detenido-en-morelia-durante-manifestacion-para-exigir-justicia-por-asesinato-de-carlos-manzo-denuncian-tortura/</v>
      </c>
      <c r="N56" s="2" t="str">
        <f>IFERROR(__xludf.DUMMYFUNCTION("""COMPUTED_VALUE"""),"Morelia, Michoacán. -Raúl Meza Abonce, el jovendetenidoytorturadoel pasado 2 de noviembre durante unaprotestapara exigir justicia por el asesinato deCarlos Manzo, fue liberado este sábado. Raúl Meza, de 28 años de edad,fue detenido, golpeado y torturadopo"&amp;"r uno de los escoltas del entonces secretario de Seguridad Pública del estado,Juan Carlos Oseguera Cortés, al interior de Palacio de Gobierno. El joven fue detenido y ahora continuará suproceso en libertad, luego de haber permanecido recluido en elCereso "&amp;"“David Franco Rodríguez”acusado de sabotaje y daños. La liberación del manifestante fue informada por el secretario de Gobierno,Raúl Zepeda Villaseñor. El funcionario, dijo mediante comunicado, que la administración estatal coadyuvó con la Fiscalía Genera"&amp;"l del Estado(FGE), para que Raúl Meza, pudiera acceder a uncambio de medidas cautelaresy continúe su proceso penal en libertad. El encargado de la política interna expuso, que, con esta determinación, las investigaciones sobre los hechos ocurridos durante"&amp;" la protesta, “se desarrollen con plena garantía de lasactuaciones procesales, respetando los derechos de las partes involucradas”.[Publicidad] Reiteró, que la administración estatal está a favor del respeto al estado de derecho, al debido proceso y a las"&amp;" garantías individuales. El día de la movilización para exigir justicia a menos de 24 horas del crimen contra el alcalde deUruapan, la Guardia Civil detuvo a Raúl y a otros siete jóvenes aparentemente involucrados en los destrozos, sin embargo, todos ello"&amp;"s fueron liberados a excepción de Meza Abonce, quien fue vinculado a proceso por sabotaje. La defensa y su familia, denunciaron que durante la detención de Raúl, los policías incurrieron en diversas violaciones a susDerechos Humanos, actos que fueron cons"&amp;"tatados por videos captados durante el operativo al interior del edificio gubernamental. La Secretaría de Seguridad Pública(SSP)cesó de sus funciones a dos elementos que agredieron al joven, en tanto el área de Asuntos Internos investiga los hechos a fin "&amp;"de que los dos agentes enfrenten un proceso (interno o penal) por su actuar durante la manifestación. Únete a nuestro canal¡EL UNIVERSAL ya está en Whatsapp!, desde tu dispositivo móvil entérate de las noticias más relevantes del día, artículos de opinión"&amp;", entretenimiento, tendencias y más. Copyright © Todos los derechos reservados | EL UNIVERSAL, Compañía Periodística Nacional. De no existir previa autorización, queda expresamente prohibida la Publicación, retransmisión, edición y cualquier otro uso de l"&amp;"os contenidos Al navegar en este sitio aceptas las cookies que utilizamos para mejorar tu experiencia")</f>
        <v>Morelia, Michoacán. -Raúl Meza Abonce, el jovendetenidoytorturadoel pasado 2 de noviembre durante unaprotestapara exigir justicia por el asesinato deCarlos Manzo, fue liberado este sábado. Raúl Meza, de 28 años de edad,fue detenido, golpeado y torturadopor uno de los escoltas del entonces secretario de Seguridad Pública del estado,Juan Carlos Oseguera Cortés, al interior de Palacio de Gobierno. El joven fue detenido y ahora continuará suproceso en libertad, luego de haber permanecido recluido en elCereso “David Franco Rodríguez”acusado de sabotaje y daños. La liberación del manifestante fue informada por el secretario de Gobierno,Raúl Zepeda Villaseñor. El funcionario, dijo mediante comunicado, que la administración estatal coadyuvó con la Fiscalía General del Estado(FGE), para que Raúl Meza, pudiera acceder a uncambio de medidas cautelaresy continúe su proceso penal en libertad. El encargado de la política interna expuso, que, con esta determinación, las investigaciones sobre los hechos ocurridos durante la protesta, “se desarrollen con plena garantía de lasactuaciones procesales, respetando los derechos de las partes involucradas”.[Publicidad] Reiteró, que la administración estatal está a favor del respeto al estado de derecho, al debido proceso y a las garantías individuales. El día de la movilización para exigir justicia a menos de 24 horas del crimen contra el alcalde deUruapan, la Guardia Civil detuvo a Raúl y a otros siete jóvenes aparentemente involucrados en los destrozos, sin embargo, todos ellos fueron liberados a excepción de Meza Abonce, quien fue vinculado a proceso por sabotaje. La defensa y su familia, denunciaron que durante la detención de Raúl, los policías incurrieron en diversas violaciones a susDerechos Humanos, actos que fueron constatados por videos captados durante el operativo al interior del edificio gubernamental. La Secretaría de Seguridad Pública(SSP)cesó de sus funciones a dos elementos que agredieron al joven, en tanto el área de Asuntos Internos investiga los hechos a fin de que los dos agentes enfrenten un proceso (interno o penal) por su actuar durante la manifestación.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6" s="15">
        <f>IFERROR(__xludf.DUMMYFUNCTION("""COMPUTED_VALUE"""),1.0)</f>
        <v>1</v>
      </c>
      <c r="P56" s="2"/>
      <c r="Q56" s="17">
        <f>IFERROR(__xludf.DUMMYFUNCTION("""COMPUTED_VALUE"""),8.5)</f>
        <v>8.5</v>
      </c>
      <c r="R56" s="2" t="str">
        <f>IFERROR(__xludf.DUMMYFUNCTION("""COMPUTED_VALUE"""),"High")</f>
        <v>High</v>
      </c>
      <c r="S56" s="17">
        <f>IFERROR(__xludf.DUMMYFUNCTION("""COMPUTED_VALUE"""),3.5)</f>
        <v>3.5</v>
      </c>
      <c r="T56" s="17">
        <f>IFERROR(__xludf.DUMMYFUNCTION("""COMPUTED_VALUE"""),0.0)</f>
        <v>0</v>
      </c>
      <c r="U56" s="14">
        <f>IFERROR(__xludf.DUMMYFUNCTION("""COMPUTED_VALUE"""),3.0)</f>
        <v>3</v>
      </c>
      <c r="V56" s="14">
        <v>2025.0</v>
      </c>
      <c r="W56" s="2" t="s">
        <v>1168</v>
      </c>
      <c r="X56" s="2" t="s">
        <v>1194</v>
      </c>
      <c r="Y56" s="13" t="s">
        <v>231</v>
      </c>
      <c r="Z56" s="14">
        <v>0.0</v>
      </c>
      <c r="AA56" s="14">
        <v>0.0</v>
      </c>
      <c r="AB56" s="14">
        <v>0.0</v>
      </c>
      <c r="AC56" s="14">
        <v>0.0</v>
      </c>
      <c r="AD56" s="2">
        <v>0.0</v>
      </c>
      <c r="AE56" s="2">
        <v>1.0</v>
      </c>
      <c r="AF56" s="2">
        <v>12.0</v>
      </c>
      <c r="AG56" s="2" t="s">
        <v>1196</v>
      </c>
      <c r="AH56" s="2">
        <v>0.0</v>
      </c>
    </row>
    <row r="57" ht="15.75" customHeight="1">
      <c r="A57" s="2" t="str">
        <f>IFERROR(__xludf.DUMMYFUNCTION("""COMPUTED_VALUE"""),"El Universal")</f>
        <v>El Universal</v>
      </c>
      <c r="B57" s="12" t="str">
        <f>IFERROR(__xludf.DUMMYFUNCTION("""COMPUTED_VALUE"""),"Detienen en Los Mochis a director de Vialidad y Transporte de Sinaloa por tirar basura en la calle; forcejea con policías municipales")</f>
        <v>Detienen en Los Mochis a director de Vialidad y Transporte de Sinaloa por tirar basura en la calle; forcejea con policías municipales</v>
      </c>
      <c r="C57" s="13" t="str">
        <f>IFERROR(__xludf.DUMMYFUNCTION("""COMPUTED_VALUE"""),"2025-12-27")</f>
        <v>2025-12-27</v>
      </c>
      <c r="D57" s="14">
        <f>IFERROR(__xludf.DUMMYFUNCTION("""COMPUTED_VALUE"""),2.0)</f>
        <v>2</v>
      </c>
      <c r="E57" s="15">
        <f>IFERROR(__xludf.DUMMYFUNCTION("""COMPUTED_VALUE"""),-0.5722)</f>
        <v>-0.5722</v>
      </c>
      <c r="F57" s="2" t="str">
        <f>IFERROR(__xludf.DUMMYFUNCTION("""COMPUTED_VALUE"""),"Negativo")</f>
        <v>Negativo</v>
      </c>
      <c r="G57" s="15">
        <f>IFERROR(__xludf.DUMMYFUNCTION("""COMPUTED_VALUE"""),0.5722)</f>
        <v>0.5722</v>
      </c>
      <c r="H57" s="2" t="str">
        <f>IFERROR(__xludf.DUMMYFUNCTION("""COMPUTED_VALUE"""),"Operativo policial o detención")</f>
        <v>Operativo policial o detención</v>
      </c>
      <c r="I57" s="2" t="str">
        <f>IFERROR(__xludf.DUMMYFUNCTION("""COMPUTED_VALUE"""),"N/A")</f>
        <v>N/A</v>
      </c>
      <c r="J57" s="2" t="str">
        <f>IFERROR(__xludf.DUMMYFUNCTION("""COMPUTED_VALUE"""),"Monitoreo general.")</f>
        <v>Monitoreo general.</v>
      </c>
      <c r="K57" s="2" t="str">
        <f>IFERROR(__xludf.DUMMYFUNCTION("""COMPUTED_VALUE"""),"Sinaloa")</f>
        <v>Sinaloa</v>
      </c>
      <c r="L57" s="2" t="str">
        <f>IFERROR(__xludf.DUMMYFUNCTION("""COMPUTED_VALUE"""),"Sinaloa")</f>
        <v>Sinaloa</v>
      </c>
      <c r="M57" s="16" t="str">
        <f>IFERROR(__xludf.DUMMYFUNCTION("""COMPUTED_VALUE"""),"https://www.eluniversal.com.mx/estados/detienen-en-los-mochis-a-director-de-vialidad-y-transporte-de-sinaloa-por-tirar-basura-en-la-calle-forcejea-con-policias-municipales/")</f>
        <v>https://www.eluniversal.com.mx/estados/detienen-en-los-mochis-a-director-de-vialidad-y-transporte-de-sinaloa-por-tirar-basura-en-la-calle-forcejea-con-policias-municipales/</v>
      </c>
      <c r="N57" s="2" t="str">
        <f>IFERROR(__xludf.DUMMYFUNCTION("""COMPUTED_VALUE"""),"Culiacán, Sin a 27 de Dic. -Marcio Antonio Osuna Moreno, director de Vialidad y Transporte del Estado, fuedetenidoen la ciudad de losMochis, al ser sorprendidoarrojar basura, en la zona conocida como la 51, en la ciudad de los Mochis y forcejear con los p"&amp;"olicías municipales que intentaron sancionarlo. Al ser sorprendido por elementos de la secretaria de Seguridad Pública del municipio deAhome, el funcionario estatal con domicilio en elfraccionamiento Viñedos, de la ciudad de Los Mochis, primero discutió c"&amp;"on las autoridades de seguridad y luego forcejeó con ellos. Los hechos que tuvieron lugar en el cruce de lasavenidas Macapule y Revolucióndel sector conocido como el 531, motivó que se enviaran refuerzos para someter al director de Vialidad y Transporte d"&amp;"el Estado, el cual fue trasladado a barandilla, para que sea un juez, quien determine la sanción que se le aplicará. Osuna Moreno, quien tiene 13 meses en el cargo, al momento de su detención vestía un pantalón de color negro, camisa a cuadros y portaba u"&amp;"n sombrero, por lo que los elementos de seguridad argumentaron que tuvieron quesolicitar refuerzos, ya que este se mostró agresivo. Losreglamentos municipalesen Ahome, contemplan una serie de sanciones que van desde una amonestación pública, una multa o a"&amp;"rresto en barandilla, para las personas que arrojen basura o cualquier tipo de desperdicios en la vía pública. Únete a nuestro canal¡EL UNIVERSAL ya está en Whatsapp!, desde tu dispositivo móvil entérate de las noticias más relevantes del día, artículos d"&amp;"e opinión, entretenimiento, tendencias y más.[Publicidad] Copyright © Todos los derechos reservados | EL UNIVERSAL, Compañía Periodística Nacional. De no existir previa autorización, queda expresamente prohibida la Publicación, retransmisión, edición y cu"&amp;"alquier otro uso de los contenidos Al navegar en este sitio aceptas las cookies que utilizamos para mejorar tu experiencia")</f>
        <v>Culiacán, Sin a 27 de Dic. -Marcio Antonio Osuna Moreno, director de Vialidad y Transporte del Estado, fuedetenidoen la ciudad de losMochis, al ser sorprendidoarrojar basura, en la zona conocida como la 51, en la ciudad de los Mochis y forcejear con los policías municipales que intentaron sancionarlo. Al ser sorprendido por elementos de la secretaria de Seguridad Pública del municipio deAhome, el funcionario estatal con domicilio en elfraccionamiento Viñedos, de la ciudad de Los Mochis, primero discutió con las autoridades de seguridad y luego forcejeó con ellos. Los hechos que tuvieron lugar en el cruce de lasavenidas Macapule y Revolucióndel sector conocido como el 531, motivó que se enviaran refuerzos para someter al director de Vialidad y Transporte del Estado, el cual fue trasladado a barandilla, para que sea un juez, quien determine la sanción que se le aplicará. Osuna Moreno, quien tiene 13 meses en el cargo, al momento de su detención vestía un pantalón de color negro, camisa a cuadros y portaba un sombrero, por lo que los elementos de seguridad argumentaron que tuvieron quesolicitar refuerzos, ya que este se mostró agresivo. Losreglamentos municipalesen Ahome, contemplan una serie de sanciones que van desde una amonestación pública, una multa o arresto en barandilla, para las personas que arrojen basura o cualquier tipo de desperdicios en la vía pública.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7" s="15">
        <f>IFERROR(__xludf.DUMMYFUNCTION("""COMPUTED_VALUE"""),0.705)</f>
        <v>0.705</v>
      </c>
      <c r="P57" s="2"/>
      <c r="Q57" s="17">
        <f>IFERROR(__xludf.DUMMYFUNCTION("""COMPUTED_VALUE"""),8.5)</f>
        <v>8.5</v>
      </c>
      <c r="R57" s="2" t="str">
        <f>IFERROR(__xludf.DUMMYFUNCTION("""COMPUTED_VALUE"""),"Low")</f>
        <v>Low</v>
      </c>
      <c r="S57" s="17">
        <f>IFERROR(__xludf.DUMMYFUNCTION("""COMPUTED_VALUE"""),0.5)</f>
        <v>0.5</v>
      </c>
      <c r="T57" s="17">
        <f>IFERROR(__xludf.DUMMYFUNCTION("""COMPUTED_VALUE"""),0.0)</f>
        <v>0</v>
      </c>
      <c r="U57" s="14">
        <f>IFERROR(__xludf.DUMMYFUNCTION("""COMPUTED_VALUE"""),3.0)</f>
        <v>3</v>
      </c>
      <c r="V57" s="14">
        <v>2025.0</v>
      </c>
      <c r="W57" s="2" t="s">
        <v>1168</v>
      </c>
      <c r="X57" s="2" t="s">
        <v>1194</v>
      </c>
      <c r="Y57" s="13" t="s">
        <v>231</v>
      </c>
      <c r="Z57" s="14">
        <v>0.0</v>
      </c>
      <c r="AA57" s="14">
        <v>0.0</v>
      </c>
      <c r="AB57" s="14">
        <v>0.0</v>
      </c>
      <c r="AC57" s="14">
        <v>0.0</v>
      </c>
      <c r="AD57" s="2">
        <v>0.0</v>
      </c>
      <c r="AE57" s="2">
        <v>0.0</v>
      </c>
      <c r="AF57" s="2">
        <v>12.0</v>
      </c>
      <c r="AG57" s="2" t="s">
        <v>1172</v>
      </c>
      <c r="AH57" s="2">
        <v>0.0</v>
      </c>
    </row>
    <row r="58" ht="15.75" customHeight="1">
      <c r="A58" s="2" t="str">
        <f>IFERROR(__xludf.DUMMYFUNCTION("""COMPUTED_VALUE"""),"El Universal")</f>
        <v>El Universal</v>
      </c>
      <c r="B58" s="12" t="str">
        <f>IFERROR(__xludf.DUMMYFUNCTION("""COMPUTED_VALUE"""),"Empresas de Yucatán se ""mantuvieron a flote"" en 2025, afirma Coparmex Mérida; prevén retos fiscales para 2026")</f>
        <v>Empresas de Yucatán se "mantuvieron a flote" en 2025, afirma Coparmex Mérida; prevén retos fiscales para 2026</v>
      </c>
      <c r="C58" s="13" t="str">
        <f>IFERROR(__xludf.DUMMYFUNCTION("""COMPUTED_VALUE"""),"2025-12-27")</f>
        <v>2025-12-27</v>
      </c>
      <c r="D58" s="14">
        <f>IFERROR(__xludf.DUMMYFUNCTION("""COMPUTED_VALUE"""),1.0)</f>
        <v>1</v>
      </c>
      <c r="E58" s="15">
        <f>IFERROR(__xludf.DUMMYFUNCTION("""COMPUTED_VALUE"""),0.0)</f>
        <v>0</v>
      </c>
      <c r="F58" s="2" t="str">
        <f>IFERROR(__xludf.DUMMYFUNCTION("""COMPUTED_VALUE"""),"Neutral")</f>
        <v>Neutral</v>
      </c>
      <c r="G58" s="15">
        <f>IFERROR(__xludf.DUMMYFUNCTION("""COMPUTED_VALUE"""),0.4918)</f>
        <v>0.4918</v>
      </c>
      <c r="H58" s="2" t="str">
        <f>IFERROR(__xludf.DUMMYFUNCTION("""COMPUTED_VALUE"""),"Otros temas generales")</f>
        <v>Otros temas generales</v>
      </c>
      <c r="I58" s="2" t="str">
        <f>IFERROR(__xludf.DUMMYFUNCTION("""COMPUTED_VALUE"""),"N/A")</f>
        <v>N/A</v>
      </c>
      <c r="J58" s="2" t="str">
        <f>IFERROR(__xludf.DUMMYFUNCTION("""COMPUTED_VALUE"""),"Descartar / Baja prioridad.")</f>
        <v>Descartar / Baja prioridad.</v>
      </c>
      <c r="K58" s="2" t="str">
        <f>IFERROR(__xludf.DUMMYFUNCTION("""COMPUTED_VALUE"""),"Yucatán")</f>
        <v>Yucatán</v>
      </c>
      <c r="L58" s="2" t="str">
        <f>IFERROR(__xludf.DUMMYFUNCTION("""COMPUTED_VALUE"""),"Yucatán")</f>
        <v>Yucatán</v>
      </c>
      <c r="M58" s="16" t="str">
        <f>IFERROR(__xludf.DUMMYFUNCTION("""COMPUTED_VALUE"""),"https://www.eluniversal.com.mx/estados/empresas-de-yucatan-se-mantuvieron-a-flote-en-2025-afirma-coparmex-merida-preven-retos-fiscales-para-2026/")</f>
        <v>https://www.eluniversal.com.mx/estados/empresas-de-yucatan-se-mantuvieron-a-flote-en-2025-afirma-coparmex-merida-preven-retos-fiscales-para-2026/</v>
      </c>
      <c r="N58" s="2" t="str">
        <f>IFERROR(__xludf.DUMMYFUNCTION("""COMPUTED_VALUE"""),"Mérida, Yucatán. -Empresas yucatecasse mantuvieron a flote durante 2025, pese a unentorno económico complejo, afirmó la Confederación Patronal de la República Mexicana(Coparmex)Mérida. El presidente de Coparmex Mérida,Emilio Blanco del Villar, señaló que "&amp;"el año 2025 presentó retos para el sector empresarial en Yucatán. Indicó que lasempresas localeslograron sostener sus operaciones y evitar un escenario crítico. El dirigente empresarial explicó que el empresariado yucateco conservó losempleos formalesexis"&amp;"tentes durante el año. También destacó que Yucatán mantuvo el interés de nuevas inversiones, pese al contexto económico nacional e internacional. Blanco del Villar se refirió al incremento de 0.75 por ciento alImpuesto Sobre la Nóminaaplicado en la entida"&amp;"d.[Publicidad] Precisó que dicho ajuste impacta aproximadamente al cuatro por ciento de las empresas que operan en el estado. Afirmó que esta medida representó la vía adecuada para fortalecer la recaudación estatal sin afectar de forma generalizada alsect"&amp;"or productivo.[Publicidad] El líder de Coparmex aclaró que no se contempla la creación de nuevos gravámenes para empresas, sin importar su tamaño o actividad económica. Subrayó la importancia de mantener losproyectos de infraestructuraen Yucatán. También "&amp;"consideró necesario dar continuidad a losprogramas socialesimplementados por las autoridades. Blanco del Villar explicó que el aumento al Impuesto Sobre la Nómina afecta principalmente a las empresas que generan mayor número de empleos. Detalló que estas "&amp;"compañías ofrecen salarios y prestaciones por encima de lo establecido en la legislación laboral. Añadió que estascondiciones laboralesrepresentan un esfuerzo constante para los empleadores formales del estado. De cara a 2026, Coparmex Mérida anticipó un "&amp;"escenario con retos para elsector empresarial yucateco. El presidente del organismo empresarial aseguró que las empresas locales mantendrán un trabajo coordinado para enfrentar el próximo año. Indicó que el sector buscará estrategias para reducir impactos"&amp;" económicos y fiscales. Blanco del Villar descartó la existencia dedespidos masivosdurante 2026. Sin embargo, advirtió que el aumento en lacarga fiscalpodría limitar la contratación de nuevo personal. Atribuyó este efecto directamente al incremento del Im"&amp;"puesto Sobre la Nómina. Coparmex Mérida reiteró su postura a favor de laestabilidad económica, el empleo formal y la continuidad de proyectos que impulsen el desarrollo de Yucatán. Únete a nuestro canal¡EL UNIVERSAL ya está en Whatsapp!, desde tu disposit"&amp;"ivo móvil entérate de las noticias más relevantes del día, artículos de opinión, entretenimiento, tendencias y más. Copyright © Todos los derechos reservados | EL UNIVERSAL, Compañía Periodística Nacional. De no existir previa autorización, queda expresam"&amp;"ente prohibida la Publicación, retransmisión, edición y cualquier otro uso de los contenidos Al navegar en este sitio aceptas las cookies que utilizamos para mejorar tu experiencia")</f>
        <v>Mérida, Yucatán. -Empresas yucatecasse mantuvieron a flote durante 2025, pese a unentorno económico complejo, afirmó la Confederación Patronal de la República Mexicana(Coparmex)Mérida. El presidente de Coparmex Mérida,Emilio Blanco del Villar, señaló que el año 2025 presentó retos para el sector empresarial en Yucatán. Indicó que lasempresas localeslograron sostener sus operaciones y evitar un escenario crítico. El dirigente empresarial explicó que el empresariado yucateco conservó losempleos formalesexistentes durante el año. También destacó que Yucatán mantuvo el interés de nuevas inversiones, pese al contexto económico nacional e internacional. Blanco del Villar se refirió al incremento de 0.75 por ciento alImpuesto Sobre la Nóminaaplicado en la entidad.[Publicidad] Precisó que dicho ajuste impacta aproximadamente al cuatro por ciento de las empresas que operan en el estado. Afirmó que esta medida representó la vía adecuada para fortalecer la recaudación estatal sin afectar de forma generalizada alsector productivo.[Publicidad] El líder de Coparmex aclaró que no se contempla la creación de nuevos gravámenes para empresas, sin importar su tamaño o actividad económica. Subrayó la importancia de mantener losproyectos de infraestructuraen Yucatán. También consideró necesario dar continuidad a losprogramas socialesimplementados por las autoridades. Blanco del Villar explicó que el aumento al Impuesto Sobre la Nómina afecta principalmente a las empresas que generan mayor número de empleos. Detalló que estas compañías ofrecen salarios y prestaciones por encima de lo establecido en la legislación laboral. Añadió que estascondiciones laboralesrepresentan un esfuerzo constante para los empleadores formales del estado. De cara a 2026, Coparmex Mérida anticipó un escenario con retos para elsector empresarial yucateco. El presidente del organismo empresarial aseguró que las empresas locales mantendrán un trabajo coordinado para enfrentar el próximo año. Indicó que el sector buscará estrategias para reducir impactos económicos y fiscales. Blanco del Villar descartó la existencia dedespidos masivosdurante 2026. Sin embargo, advirtió que el aumento en lacarga fiscalpodría limitar la contratación de nuevo personal. Atribuyó este efecto directamente al incremento del Impuesto Sobre la Nómina. Coparmex Mérida reiteró su postura a favor de laestabilidad económica, el empleo formal y la continuidad de proyectos que impulsen el desarrollo de Yucatán.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8" s="15">
        <f>IFERROR(__xludf.DUMMYFUNCTION("""COMPUTED_VALUE"""),0.4189)</f>
        <v>0.4189</v>
      </c>
      <c r="P58" s="2"/>
      <c r="Q58" s="17">
        <f>IFERROR(__xludf.DUMMYFUNCTION("""COMPUTED_VALUE"""),8.5)</f>
        <v>8.5</v>
      </c>
      <c r="R58" s="2" t="str">
        <f>IFERROR(__xludf.DUMMYFUNCTION("""COMPUTED_VALUE"""),"Low")</f>
        <v>Low</v>
      </c>
      <c r="S58" s="17">
        <f>IFERROR(__xludf.DUMMYFUNCTION("""COMPUTED_VALUE"""),0.0)</f>
        <v>0</v>
      </c>
      <c r="T58" s="17">
        <f>IFERROR(__xludf.DUMMYFUNCTION("""COMPUTED_VALUE"""),0.0)</f>
        <v>0</v>
      </c>
      <c r="U58" s="14">
        <f>IFERROR(__xludf.DUMMYFUNCTION("""COMPUTED_VALUE"""),3.0)</f>
        <v>3</v>
      </c>
      <c r="V58" s="14">
        <v>2025.0</v>
      </c>
      <c r="W58" s="2" t="s">
        <v>1168</v>
      </c>
      <c r="X58" s="2" t="s">
        <v>1194</v>
      </c>
      <c r="Y58" s="13" t="s">
        <v>231</v>
      </c>
      <c r="Z58" s="14">
        <v>0.0</v>
      </c>
      <c r="AA58" s="14">
        <v>0.0</v>
      </c>
      <c r="AB58" s="14">
        <v>0.0</v>
      </c>
      <c r="AC58" s="14">
        <v>0.0</v>
      </c>
      <c r="AD58" s="2">
        <v>0.0</v>
      </c>
      <c r="AE58" s="2">
        <v>0.0</v>
      </c>
      <c r="AF58" s="2">
        <v>12.0</v>
      </c>
      <c r="AG58" s="2" t="s">
        <v>1181</v>
      </c>
      <c r="AH58" s="2">
        <v>0.0</v>
      </c>
    </row>
    <row r="59" ht="15.75" customHeight="1">
      <c r="A59" s="2" t="str">
        <f>IFERROR(__xludf.DUMMYFUNCTION("""COMPUTED_VALUE"""),"El Universal")</f>
        <v>El Universal</v>
      </c>
      <c r="B59" s="12" t="str">
        <f>IFERROR(__xludf.DUMMYFUNCTION("""COMPUTED_VALUE"""),"Secretaría de Marina cierra puerto de La Paz, BCS, por pronóstico de vientos del norte; aplica a embarcaciones menores")</f>
        <v>Secretaría de Marina cierra puerto de La Paz, BCS, por pronóstico de vientos del norte; aplica a embarcaciones menores</v>
      </c>
      <c r="C59" s="13" t="str">
        <f>IFERROR(__xludf.DUMMYFUNCTION("""COMPUTED_VALUE"""),"2025-12-27")</f>
        <v>2025-12-27</v>
      </c>
      <c r="D59" s="14">
        <f>IFERROR(__xludf.DUMMYFUNCTION("""COMPUTED_VALUE"""),2.0)</f>
        <v>2</v>
      </c>
      <c r="E59" s="15">
        <f>IFERROR(__xludf.DUMMYFUNCTION("""COMPUTED_VALUE"""),0.0)</f>
        <v>0</v>
      </c>
      <c r="F59" s="2" t="str">
        <f>IFERROR(__xludf.DUMMYFUNCTION("""COMPUTED_VALUE"""),"Neutral")</f>
        <v>Neutral</v>
      </c>
      <c r="G59" s="15">
        <f>IFERROR(__xludf.DUMMYFUNCTION("""COMPUTED_VALUE"""),0.732)</f>
        <v>0.732</v>
      </c>
      <c r="H59" s="2" t="str">
        <f>IFERROR(__xludf.DUMMYFUNCTION("""COMPUTED_VALUE"""),"Operativo policial o detención")</f>
        <v>Operativo policial o detención</v>
      </c>
      <c r="I59" s="2" t="str">
        <f>IFERROR(__xludf.DUMMYFUNCTION("""COMPUTED_VALUE"""),"N/A")</f>
        <v>N/A</v>
      </c>
      <c r="J59" s="2" t="str">
        <f>IFERROR(__xludf.DUMMYFUNCTION("""COMPUTED_VALUE"""),"Monitoreo general.")</f>
        <v>Monitoreo general.</v>
      </c>
      <c r="K59" s="2" t="str">
        <f>IFERROR(__xludf.DUMMYFUNCTION("""COMPUTED_VALUE"""),"Baja California Sur")</f>
        <v>Baja California Sur</v>
      </c>
      <c r="L59" s="2" t="str">
        <f>IFERROR(__xludf.DUMMYFUNCTION("""COMPUTED_VALUE"""),"Baja California Sur")</f>
        <v>Baja California Sur</v>
      </c>
      <c r="M59" s="16" t="str">
        <f>IFERROR(__xludf.DUMMYFUNCTION("""COMPUTED_VALUE"""),"https://www.eluniversal.com.mx/estados/secretaria-de-marina-cierra-puerto-de-la-paz-bcs-por-pronostico-de-vientos-del-norte-aplica-a-embarcaciones-menores/")</f>
        <v>https://www.eluniversal.com.mx/estados/secretaria-de-marina-cierra-puerto-de-la-paz-bcs-por-pronostico-de-vientos-del-norte-aplica-a-embarcaciones-menores/</v>
      </c>
      <c r="N59" s="2" t="str">
        <f>IFERROR(__xludf.DUMMYFUNCTION("""COMPUTED_VALUE"""),"LA PAZ, BCS., 27 de diciembre. — Comomedida preventivaante elpronóstico de vientosdel norte para este fin de semana, laSecretaría de Marinadeterminó elcierre del puertodeLa Paz,Baja California Sura todas las embarcaciones menores. La disposición fue emiti"&amp;"da por laCapitanía de Puertoa partir de este sábado y tiene como objetivo “salvaguardar la vida humanaen el mar, así como prevenir incidentes derivados de las condiciones meteorológicas adversas previstas para las próximas horas”. De acuerdo con el aviso "&amp;"oficial, el cierre aplica a embarcaciones menores de 500 toneladas, como parte de losprotocolos de seguridadque se activan cuando se registran rachas de viento que pueden representarriesgo para la navegación. Por su parte, la Subsecretaría de Protección C"&amp;"ivil estatal exhortó a pescadores, prestadores de servicios turísticos y a lacomunidad marítimaen general a no hacerse a la mar, así como a verificar de manera constante los reportes meteorológicos oficiales antes de cualquieractividad náutica. Las autori"&amp;"dades señalaron que el cierre del puerto se mantendrá hasta nuevo aviso y dependerá de la evolución de lascondiciones climáticas. Asimismo, recomendaron mantenerse atentos a los comunicados emitidos por la Secretaría de Marina y las capitanías de puerto.["&amp;"Publicidad] El pronóstico de la Comisión Nacional del Agua(CONAGUA)para este sábado advierte que hacia las 18:00 horas podrían registrarse vientos de 20 a 30 kilómetros por hora con rachas de hasta 60 kilómetros por hora en el golfo de California, Baja Ca"&amp;"lifornia, Baja California Sur, Sonora y Sinaloa. Únete a nuestro canal¡EL UNIVERSAL ya está en Whatsapp!, desde tu dispositivo móvil entérate de las noticias más relevantes del día, artículos de opinión, entretenimiento, tendencias y más.[Publicidad] Copy"&amp;"right © Todos los derechos reservados | EL UNIVERSAL, Compañía Periodística Nacional. De no existir previa autorización, queda expresamente prohibida la Publicación, retransmisión, edición y cualquier otro uso de los contenidos Al navegar en este sitio ac"&amp;"eptas las cookies que utilizamos para mejorar tu experiencia")</f>
        <v>LA PAZ, BCS., 27 de diciembre. — Comomedida preventivaante elpronóstico de vientosdel norte para este fin de semana, laSecretaría de Marinadeterminó elcierre del puertodeLa Paz,Baja California Sura todas las embarcaciones menores. La disposición fue emitida por laCapitanía de Puertoa partir de este sábado y tiene como objetivo “salvaguardar la vida humanaen el mar, así como prevenir incidentes derivados de las condiciones meteorológicas adversas previstas para las próximas horas”. De acuerdo con el aviso oficial, el cierre aplica a embarcaciones menores de 500 toneladas, como parte de losprotocolos de seguridadque se activan cuando se registran rachas de viento que pueden representarriesgo para la navegación. Por su parte, la Subsecretaría de Protección Civil estatal exhortó a pescadores, prestadores de servicios turísticos y a lacomunidad marítimaen general a no hacerse a la mar, así como a verificar de manera constante los reportes meteorológicos oficiales antes de cualquieractividad náutica. Las autoridades señalaron que el cierre del puerto se mantendrá hasta nuevo aviso y dependerá de la evolución de lascondiciones climáticas. Asimismo, recomendaron mantenerse atentos a los comunicados emitidos por la Secretaría de Marina y las capitanías de puerto.[Publicidad] El pronóstico de la Comisión Nacional del Agua(CONAGUA)para este sábado advierte que hacia las 18:00 horas podrían registrarse vientos de 20 a 30 kilómetros por hora con rachas de hasta 60 kilómetros por hora en el golfo de California, Baja California, Baja California Sur, Sonora y Sinaloa. Únete a nuestro canal¡EL UNIVERSAL ya está en Whatsapp!, desde tu dispositivo móvil entérate de las noticias más relevantes del día, artículos de opinión, entretenimiento, tendencias y más.[Publicidad]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59" s="15">
        <f>IFERROR(__xludf.DUMMYFUNCTION("""COMPUTED_VALUE"""),0.4168)</f>
        <v>0.4168</v>
      </c>
      <c r="P59" s="2"/>
      <c r="Q59" s="17">
        <f>IFERROR(__xludf.DUMMYFUNCTION("""COMPUTED_VALUE"""),8.0)</f>
        <v>8</v>
      </c>
      <c r="R59" s="2" t="str">
        <f>IFERROR(__xludf.DUMMYFUNCTION("""COMPUTED_VALUE"""),"High")</f>
        <v>High</v>
      </c>
      <c r="S59" s="17">
        <f>IFERROR(__xludf.DUMMYFUNCTION("""COMPUTED_VALUE"""),3.0)</f>
        <v>3</v>
      </c>
      <c r="T59" s="17">
        <f>IFERROR(__xludf.DUMMYFUNCTION("""COMPUTED_VALUE"""),0.0)</f>
        <v>0</v>
      </c>
      <c r="U59" s="14">
        <f>IFERROR(__xludf.DUMMYFUNCTION("""COMPUTED_VALUE"""),3.0)</f>
        <v>3</v>
      </c>
      <c r="V59" s="14">
        <v>2025.0</v>
      </c>
      <c r="W59" s="2" t="s">
        <v>1168</v>
      </c>
      <c r="X59" s="2" t="s">
        <v>1194</v>
      </c>
      <c r="Y59" s="13" t="s">
        <v>231</v>
      </c>
      <c r="Z59" s="14">
        <v>0.0</v>
      </c>
      <c r="AA59" s="14">
        <v>0.0</v>
      </c>
      <c r="AB59" s="14">
        <v>0.0</v>
      </c>
      <c r="AC59" s="14">
        <v>0.0</v>
      </c>
      <c r="AD59" s="2">
        <v>0.0</v>
      </c>
      <c r="AE59" s="2">
        <v>0.0</v>
      </c>
      <c r="AF59" s="2">
        <v>12.0</v>
      </c>
      <c r="AG59" s="2" t="s">
        <v>1197</v>
      </c>
      <c r="AH59" s="2">
        <v>0.0</v>
      </c>
    </row>
    <row r="60" ht="15.75" customHeight="1">
      <c r="A60" s="2" t="str">
        <f>IFERROR(__xludf.DUMMYFUNCTION("""COMPUTED_VALUE"""),"El Universal")</f>
        <v>El Universal</v>
      </c>
      <c r="B60" s="12" t="str">
        <f>IFERROR(__xludf.DUMMYFUNCTION("""COMPUTED_VALUE"""),"Ceci Flores denuncia engaño con cuerpo falso que resultó ser cobija con basura; pudo poner en riesgo integridad de madres buscadoras, acusa")</f>
        <v>Ceci Flores denuncia engaño con cuerpo falso que resultó ser cobija con basura; pudo poner en riesgo integridad de madres buscadoras, acusa</v>
      </c>
      <c r="C60" s="13" t="str">
        <f>IFERROR(__xludf.DUMMYFUNCTION("""COMPUTED_VALUE"""),"2025-12-27")</f>
        <v>2025-12-27</v>
      </c>
      <c r="D60" s="14">
        <f>IFERROR(__xludf.DUMMYFUNCTION("""COMPUTED_VALUE"""),1.0)</f>
        <v>1</v>
      </c>
      <c r="E60" s="15">
        <f>IFERROR(__xludf.DUMMYFUNCTION("""COMPUTED_VALUE"""),-0.9308)</f>
        <v>-0.9308</v>
      </c>
      <c r="F60" s="2" t="str">
        <f>IFERROR(__xludf.DUMMYFUNCTION("""COMPUTED_VALUE"""),"Negativo")</f>
        <v>Negativo</v>
      </c>
      <c r="G60" s="15">
        <f>IFERROR(__xludf.DUMMYFUNCTION("""COMPUTED_VALUE"""),0.9308)</f>
        <v>0.9308</v>
      </c>
      <c r="H60" s="2" t="str">
        <f>IFERROR(__xludf.DUMMYFUNCTION("""COMPUTED_VALUE"""),"Otros temas generales")</f>
        <v>Otros temas generales</v>
      </c>
      <c r="I60" s="2" t="str">
        <f>IFERROR(__xludf.DUMMYFUNCTION("""COMPUTED_VALUE"""),"N/A")</f>
        <v>N/A</v>
      </c>
      <c r="J60" s="2" t="str">
        <f>IFERROR(__xludf.DUMMYFUNCTION("""COMPUTED_VALUE"""),"Descartar / Baja prioridad.")</f>
        <v>Descartar / Baja prioridad.</v>
      </c>
      <c r="K60" s="2" t="str">
        <f>IFERROR(__xludf.DUMMYFUNCTION("""COMPUTED_VALUE"""),"Hermosillo")</f>
        <v>Hermosillo</v>
      </c>
      <c r="L60" s="2" t="str">
        <f>IFERROR(__xludf.DUMMYFUNCTION("""COMPUTED_VALUE"""),"Sonora")</f>
        <v>Sonora</v>
      </c>
      <c r="M60" s="16" t="str">
        <f>IFERROR(__xludf.DUMMYFUNCTION("""COMPUTED_VALUE"""),"https://www.eluniversal.com.mx/estados/ceci-flores-denuncia-engano-con-cuerpo-falso-que-resulto-ser-cobija-con-basura-pudo-poner-en-riesgo-integridad-de-madres-buscadoras-acusa/")</f>
        <v>https://www.eluniversal.com.mx/estados/ceci-flores-denuncia-engano-con-cuerpo-falso-que-resulto-ser-cobija-con-basura-pudo-poner-en-riesgo-integridad-de-madres-buscadoras-acusa/</v>
      </c>
      <c r="N60" s="2" t="str">
        <f>IFERROR(__xludf.DUMMYFUNCTION("""COMPUTED_VALUE"""),"Hermosillo, Sonora. - El colectivoMadres Buscadorasde Sonora denunció haber sido víctima de unpresunto engañoque pudo poner enriesgo su integridad, luego de atender unreporte anónimosobre un supuesto cuerpo localizado al sur deHermosillo, el cual resultó "&amp;"ser únicamente unacobija rellena de basura. La líder del colectivo,Ceci Patricia Flores, informó que durante la noche recibieron insistentes llamadas para acudir a un predio ubicado detrás de un fraccionamiento en construcción. En el sitio, la mañana del "&amp;"viernes 26 de diciembre, se localizó un bulto encobijado con forma decuerpo humanoy tenis de hombre, lo que generó alarma entre las buscadoras y las autoridades que las acompañaban. Sin embargo, al revisar el hallazgo se confirmó que no se trataba de una "&amp;"persona, sino de unobjeto armadopara simular un cuerpo. Ante la situación, el grupo se retiró del lugar por motivos de seguridad. “Nos hacen un llamado por la noche y ahora que acudimos al lugar es lo que encontramos: un bulto con zapatos. Eso esburlarse "&amp;"del dolor de las madreso pensar que nos quieran poner una trampa, que vengamos a los anónimos y no haya nada, y nos puedan hacer un daño”, declaró Flores. La activista expresó su preocupación por las intenciones detrás de estosreportes falsosy pidió a los"&amp;"grupos criminalesque no atenten contra ellas.[Publicidad] “Nuestra lucha no es contra nadie, solo es por volver a abrazar a quienes parimos”, señaló. Ceci Flores explicó que el colectivo atiende todos los llamados que recibe, positivos o no, debido a la u"&amp;"rgencia que enfrentan lasfamilias de personas desaparecidas. “Cada vez que nos hacen un llamado acudimos porque para nosotros es importante encontrar a nuestros desaparecidos”, enfatizó. El colectivo acudió al lugar con acompañamiento de seguridad, pero a"&amp;"un así tuvo que salir corriendo al no poder descartar que se tratara de una trampa. “No sabemos si alguien queríahacernos dañoo si solo jugaron con nuestro dolor”, lamentó. Madres Buscadoras de Sonora reiteró su llamado a la sociedad para actuar con respo"&amp;"nsabilidad y evitar reportes falsos que, además de revictimizar a las familias, ponen en riesgo la vida de quienes buscan incansablemente a sus hijos e hijas. Únete a nuestro canal¡EL UNIVERSAL ya está en Whatsapp!, desde tu dispositivo móvil entérate de "&amp;"las noticias más relevantes del día, artículos de opinión, entretenimiento, tendencias y más. Copyright © Todos los derechos reservados | EL UNIVERSAL, Compañía Periodística Nacional. De no existir previa autorización, queda expresamente prohibida la Publ"&amp;"icación, retransmisión, edición y cualquier otro uso de los contenidos Al navegar en este sitio aceptas las cookies que utilizamos para mejorar tu experiencia")</f>
        <v>Hermosillo, Sonora. - El colectivoMadres Buscadorasde Sonora denunció haber sido víctima de unpresunto engañoque pudo poner enriesgo su integridad, luego de atender unreporte anónimosobre un supuesto cuerpo localizado al sur deHermosillo, el cual resultó ser únicamente unacobija rellena de basura. La líder del colectivo,Ceci Patricia Flores, informó que durante la noche recibieron insistentes llamadas para acudir a un predio ubicado detrás de un fraccionamiento en construcción. En el sitio, la mañana del viernes 26 de diciembre, se localizó un bulto encobijado con forma decuerpo humanoy tenis de hombre, lo que generó alarma entre las buscadoras y las autoridades que las acompañaban. Sin embargo, al revisar el hallazgo se confirmó que no se trataba de una persona, sino de unobjeto armadopara simular un cuerpo. Ante la situación, el grupo se retiró del lugar por motivos de seguridad. “Nos hacen un llamado por la noche y ahora que acudimos al lugar es lo que encontramos: un bulto con zapatos. Eso esburlarse del dolor de las madreso pensar que nos quieran poner una trampa, que vengamos a los anónimos y no haya nada, y nos puedan hacer un daño”, declaró Flores. La activista expresó su preocupación por las intenciones detrás de estosreportes falsosy pidió a losgrupos criminalesque no atenten contra ellas.[Publicidad] “Nuestra lucha no es contra nadie, solo es por volver a abrazar a quienes parimos”, señaló. Ceci Flores explicó que el colectivo atiende todos los llamados que recibe, positivos o no, debido a la urgencia que enfrentan lasfamilias de personas desaparecidas. “Cada vez que nos hacen un llamado acudimos porque para nosotros es importante encontrar a nuestros desaparecidos”, enfatizó. El colectivo acudió al lugar con acompañamiento de seguridad, pero aun así tuvo que salir corriendo al no poder descartar que se tratara de una trampa. “No sabemos si alguien queríahacernos dañoo si solo jugaron con nuestro dolor”, lamentó. Madres Buscadoras de Sonora reiteró su llamado a la sociedad para actuar con responsabilidad y evitar reportes falsos que, además de revictimizar a las familias, ponen en riesgo la vida de quienes buscan incansablemente a sus hijos e hijas. Únete a nuestro canal¡EL UNIVERSAL ya está en Whatsapp!, desde tu dispositivo móvil entérate de las noticias más relevantes del día, artículos de opinión, entretenimiento, tendencias y más. Copyright © Todos los derechos reservados | EL UNIVERSAL, Compañía Periodística Nacional. De no existir previa autorización, queda expresamente prohibida la Publicación, retransmisión, edición y cualquier otro uso de los contenidos Al navegar en este sitio aceptas las cookies que utilizamos para mejorar tu experiencia</v>
      </c>
      <c r="O60" s="15">
        <f>IFERROR(__xludf.DUMMYFUNCTION("""COMPUTED_VALUE"""),0.4494)</f>
        <v>0.4494</v>
      </c>
      <c r="P60" s="2"/>
      <c r="Q60" s="17">
        <f>IFERROR(__xludf.DUMMYFUNCTION("""COMPUTED_VALUE"""),5.0)</f>
        <v>5</v>
      </c>
      <c r="R60" s="2" t="str">
        <f>IFERROR(__xludf.DUMMYFUNCTION("""COMPUTED_VALUE"""),"Low")</f>
        <v>Low</v>
      </c>
      <c r="S60" s="17">
        <f>IFERROR(__xludf.DUMMYFUNCTION("""COMPUTED_VALUE"""),0.0)</f>
        <v>0</v>
      </c>
      <c r="T60" s="17">
        <f>IFERROR(__xludf.DUMMYFUNCTION("""COMPUTED_VALUE"""),0.0)</f>
        <v>0</v>
      </c>
      <c r="U60" s="14">
        <f>IFERROR(__xludf.DUMMYFUNCTION("""COMPUTED_VALUE"""),3.0)</f>
        <v>3</v>
      </c>
      <c r="V60" s="14">
        <v>2025.0</v>
      </c>
      <c r="W60" s="2" t="s">
        <v>1168</v>
      </c>
      <c r="X60" s="2" t="s">
        <v>1194</v>
      </c>
      <c r="Y60" s="13" t="s">
        <v>231</v>
      </c>
      <c r="Z60" s="14">
        <v>0.0</v>
      </c>
      <c r="AA60" s="14">
        <v>0.0</v>
      </c>
      <c r="AB60" s="14">
        <v>0.0</v>
      </c>
      <c r="AC60" s="14">
        <v>0.0</v>
      </c>
      <c r="AD60" s="2">
        <v>0.0</v>
      </c>
      <c r="AE60" s="2">
        <v>0.0</v>
      </c>
      <c r="AF60" s="2">
        <v>12.0</v>
      </c>
      <c r="AG60" s="2" t="s">
        <v>1198</v>
      </c>
      <c r="AH60" s="2">
        <v>0.0</v>
      </c>
    </row>
    <row r="61" ht="15.75" customHeight="1">
      <c r="A61" s="2" t="str">
        <f>IFERROR(__xludf.DUMMYFUNCTION("""COMPUTED_VALUE"""),"Milenio")</f>
        <v>Milenio</v>
      </c>
      <c r="B61" s="12" t="str">
        <f>IFERROR(__xludf.DUMMYFUNCTION("""COMPUTED_VALUE"""),"Descarrilamiento del Tren Interoceánico noticias EN VIVO: Cifra de muertos y heridos HOY 29 de diciembre")</f>
        <v>Descarrilamiento del Tren Interoceánico noticias EN VIVO: Cifra de muertos y heridos HOY 29 de diciembre</v>
      </c>
      <c r="C61" s="13" t="str">
        <f>IFERROR(__xludf.DUMMYFUNCTION("""COMPUTED_VALUE"""),"2025-12-29 18:58:00")</f>
        <v>2025-12-29 18:58:00</v>
      </c>
      <c r="D61" s="14">
        <f>IFERROR(__xludf.DUMMYFUNCTION("""COMPUTED_VALUE"""),4.0)</f>
        <v>4</v>
      </c>
      <c r="E61" s="15">
        <f>IFERROR(__xludf.DUMMYFUNCTION("""COMPUTED_VALUE"""),-0.717)</f>
        <v>-0.717</v>
      </c>
      <c r="F61" s="2" t="str">
        <f>IFERROR(__xludf.DUMMYFUNCTION("""COMPUTED_VALUE"""),"Negativo")</f>
        <v>Negativo</v>
      </c>
      <c r="G61" s="15">
        <f>IFERROR(__xludf.DUMMYFUNCTION("""COMPUTED_VALUE"""),0.717)</f>
        <v>0.717</v>
      </c>
      <c r="H61" s="2" t="str">
        <f>IFERROR(__xludf.DUMMYFUNCTION("""COMPUTED_VALUE"""),"Accidente de tránsito o choque vial")</f>
        <v>Accidente de tránsito o choque vial</v>
      </c>
      <c r="I61" s="2" t="str">
        <f>IFERROR(__xludf.DUMMYFUNCTION("""COMPUTED_VALUE"""),"N/A")</f>
        <v>N/A</v>
      </c>
      <c r="J61" s="2" t="str">
        <f>IFERROR(__xludf.DUMMYFUNCTION("""COMPUTED_VALUE"""),"Soporte DRV: Seguros/Guía post-siniestro.")</f>
        <v>Soporte DRV: Seguros/Guía post-siniestro.</v>
      </c>
      <c r="K61" s="2" t="str">
        <f>IFERROR(__xludf.DUMMYFUNCTION("""COMPUTED_VALUE"""),"Oaxaca")</f>
        <v>Oaxaca</v>
      </c>
      <c r="L61" s="2" t="str">
        <f>IFERROR(__xludf.DUMMYFUNCTION("""COMPUTED_VALUE"""),"Oaxaca")</f>
        <v>Oaxaca</v>
      </c>
      <c r="M61" s="16" t="str">
        <f>IFERROR(__xludf.DUMMYFUNCTION("""COMPUTED_VALUE"""),"https://www.milenio.com/estados/descarrilamiento-tren-interoceanico-noticias-en-vivo-29-diciembre")</f>
        <v>https://www.milenio.com/estados/descarrilamiento-tren-interoceanico-noticias-en-vivo-29-diciembre</v>
      </c>
      <c r="N61" s="2" t="str">
        <f>IFERROR(__xludf.DUMMYFUNCTION("""COMPUTED_VALUE"""),"Untren de pasajeros de la Línea Z del Tren Interoceánicoen el que viajaban 250 personas se descarriló y dejó varios muertos y heridos. El percance ocurrió el domingo en el municipio de Nizanda, Oaxaca Hasta el momento, se tienen registro de98 personas her"&amp;"idas, de las cuales 36 ya son atendidas en diversos hospitales y13 pasajeros quedaron sin vida. Horas más tarde la Secretaría de Marina (Semar) dio más detalles sobre el percance: La Secretaría de Gobernación (Segob) ha compartido la lista con los nombres"&amp;" y edades de las 13 personas que fallecieron tras el descarrilamiento del Tren Interoceánico este 28 de diciembre en Oaxaca. En una publicación en redes sociales la dependencia, además, adjuntó los teléfonos de atención para que los familiares de las víct"&amp;"imas puedan ponerse en contacto con las autoridades. Los nombres y edades de las víctimas son Elena Solórzano Cruz, de 6 años, María Antonia Rosales Mendoza, de 58 años, Bersain Cruz López, de 65 años, María Concepción Barbosa Acevedo, de 65 años, Israel "&amp;"Enrique Gallegos Soto, de 60 años, Inés Alvarado Rojas, de 57 años, Amada Rasgado Lázaro, de 70 años, Patricia Medina Pérez, de 49 años, Luisa Camila Serrano Moreno, de 15 años, María Luisa Pasaron González, de 66 años, Raúl López Cruz, de 67 años, Rogeli"&amp;"o Alfonso Luna Luna, de 63 años y Honoria Medina Pérez de 56 años. De acuerdo con las autoridades federales, hasta el momento aún hay 34 personas que se encuentran hospitalizadas, mientras tanto, este día la presidenta Claudia Sheinbaum viajó a Oaxaca par"&amp;"a hablar directamente con los afectados y supervisar las investigaciones y los apoyos para las víctimas. Al corte de las 17:00 horas, el IMSS Bienestar reportó que continúan 13 personas hospitalizadas, quienes se encuentran recibiendo atención médica en l"&amp;"as siguientes clínicas: El accidente dejó 13 personas muertas, entre ellos un periodista y dos menores de edad, quienes viajaban para pasar las vacaciones de fin de año. Aquíte contamos sobre lo que se sabe sobre los fallecidos. A través de redes sociales"&amp;", el Tren Suburbano, que corre de Cuautitlán a Buenavista, expresó su solidaridad con las víctimas mortales del accidente que dejó el descarrilamiento del Tren Interoceánico, así como sus deseos de recuperación para las personas que continúan hospitalizad"&amp;"as. Asimismo, se puso a disposición del gobierno para apoyar ""en lo que sea requerido"". Al arribar a Oaxaca, la presidenta Claudia Sheinbaum anunció que se otorgará un apoyo económico a las familias de los afectados tras el descarrilamiento del Tren Int"&amp;"eroceánico, el cual consiste en un monto de 30 mil pesos que se dará de manera inmediata. La presidenta Claudia Sheinbaum viajó a Oaxaca para visitar a los pacientes que continúan recibiendo atención médica en los hospitales de Tehuantepec y Salina Cruz. "&amp;"La Secretaria de Gobernación divulgó una lista actualizada de las personas heridas y aún hospitalizadas tras el descarrilamiento del Tren Interoceánico. En total hay 36 personas que se encuentran en algún centro hospitalario, según dio a conocer la depend"&amp;"encia en sus redes sociales. Hay mujeres y hombres de entre tres y 70 años de edad. Las autoridades señalaron que se mantiene el seguimiento médico a los lesionados, quienes continúan bajo observación en distintos centros hospitalarios, con el objetivo de"&amp;" garantizar su atención integral y evolución favorable. Asimismo, para brindar orientación y apoyo a los familiares de las personas afectadas, la Secretaría de Gobernación puso a disposición el número de atención a víctimas 55 22 30 21 06, con el fin de c"&amp;"analizar información y acompañamiento institucional. #MarinaInformapic.twitter.com/k4IL3DMczn -Con información de Ángel Hernández y Jorge Martínez Sheinbaum llega a Oaxaca para atender a familiares de víctimas hospitalizadas La tarde de este lunes la pres"&amp;"identa  de México arribó al estado de Oaxaca para atender a las familias de las personas que resultaron afectadas por el descarrilamiento del Tren Interoceánico, tal como lo anunció durante la conferencia mañanera de este día desde Palacio Nacional. ????#"&amp;"AlMomento????La presidenta Claudia Sheinbaum llega al hospital del ISSSTE de Santo Domingo Tehuantepec para atender a las familias de las víctimas del descarrilamiento del Tren Interoceánico en Oaxaca????: Omar Gascapic.twitter.com/aToZlmjG6j La Semar tra"&amp;"sladó al Hospital Civil de Oaxaca a dos familias que resultaron con diversas lesiones luego del descarrilamiento del ferrocarril interoceánico. Ambas familias viajaban con los 294 pasajeros de la zona de Matías Romero a Coatzacoalcos Veracruz, algunos par"&amp;"a pasar el año nuevo en Veracruz, y otros más regresaban de haber estado con sus familiares en Navidad. Una de las familias trasladada al hospital Juan Manuel Iglesias, él viajaba con su esposa e hijo hacía Veracruz, después de haber pasado la navidad en "&amp;"Oaxaca. Manuel Iglesias se encontraba en uno de los vagones que cayeron al fondo de la hondonada donde se descarriló el tren, recuerda que todo le dio vueltas y que quedó en el fondo de la unidad con las maletas aplastando a los pasajeros, junto con los r"&amp;"estos de parte de la sillería y el mobiliario del ferrocarril roto. ""Había muchos gritos, y desesperación pero salimos del lugar, ayude junto con otros pasajeros a sacar a otros lesionados, la mayoría mujeres, niños y ancianos"" -Con información de Óscar"&amp;" Rodríguez. Tras el descarrilamiento del Tren Interoceánico que dejó 13 personas fallecidas, Mario Vázquez, senador del PAN, pidió un peritaje internacional, técnico e independiente, que no quede bajo control de autoridades federales o de instancias vincu"&amp;"ladas al propio proyecto ferroviario. Según Vázquez, solo un equipo externo, con reconocimiento y respaldo internacional, podrá determinar con rigor técnico: La calidad del balasto utilizado, el mantenimiento de la vía, la velocidad y operación del tren; "&amp;"así como posibles fallas estructurales y responsabilidades públicas y privadas. Insistió que para evitar una investigación con opacidad, encubrimiento o conclusiones a modo, debe quedar en manos de organismos y expertos extranjeros sin vínculos políticos "&amp;"con el gobierno. Además del peritaje independiente, el legislador planteó tres acciones inmediatas: Vázquez fue enfático al señalar que el siniestro “no puede minimizarse ni clasificarse como un simple evento ferroviario”. -Con información de Silvia Arell"&amp;"ano. El secretario de Salud, Efrén Emmanuel Jarquín González, realizó un recorrido de supervisión en los Hospitales Generales IMSS-Bienestar de Ciudad Ixtepec y Salina Cruz, así como en la Unidad Médica Rural IMSS-Bienestar de Matías Romero, para constata"&amp;"r el estado de salud y la atención que reciben las y los pacientes. El Gobierno del Estado refuerza la atención a las personas afectadas por el accidente del Tren Interoceánico.A primeras horas de este lunes, el secretario de Salud, Efrén Emmanuel Jarquín"&amp;" González, junto con su equipo de trabajo, realizó un recorrido de supervisión en los…pic.twitter.com/Rgmjcgt4Wv Autoridades de rescate lograron el último cuerpo de las 13 víctimas mortales que dejó el accidente en Oaxaca. Hasta el momento se desconoce la"&amp;" identidad Equipos de emergencia acaban de rescatar el último cuerpo de las 13 víctimas que murieron tras el descarrilamiento del tren Interoceánico en Oaxaca.QEPD#Video????????????https://t.co/sJKt2fid5Xpic.twitter.com/3EMyShGYbY -Con información de Jorg"&amp;"e Becerril. Expertos en fotografía y medicina forense, criminalística de campo, ingeniería civil y arquitectura, química y seguridad industrial forense, así como tránsito terrestre, se encuentran desplegados en la zona donde ocurrió el descarrilamiento de"&amp;" un tren del Corredor Interoceánico del Istmo de Tehuantepec, con el objetivo de realizar las diligencias necesarias para esclarecer las causas del accidente. El personal pericial ministerial trabaja desde ayer en el sitio del siniestro, efectuando levant"&amp;"amiento de indicios, inspecciones técnicas y entrevistas a testigos y pasajeros, acciones que permitirán elaborar los dictámenes correspondientes. En un comunicado, la Fiscalía General de la República (FGR) subrayó que “la prioridad es conocer la verdad d"&amp;"e lo ocurrido mediante una investigación profesional con rigor científico, colocando a las víctimas en el centro”. En seguimiento a lo ocurrido ayer domingo en el@CIIT_mx, la#FGRha llevado a cabo diversas diligencias, a efecto de continuar con la integrac"&amp;"ión de la carpeta de investigación iniciada respecto a los hechos acontecidos en el estado de Oaxaca. 1/4pic.twitter.com/kzIrpl2GmJ -Con información de Amílcar Salazar Méndez. Tras el accidente en Oaxaca en el que se descarriló un tren con pasajeros, la E"&amp;"mbajada de Rusia en México expresó en sus redes sociales un mensaje de solidaridad al ""Noble Pueblo y el Gobierno de los Estados Unidos Mexicanos"". ???????? La Embajada de Rusia en México expresa su solidaridad con el Noble Pueblo y el Gobierno de los E"&amp;"stados Unidos Mexicanos ante las trágicas consecuencias del descarrilamiento del tren, ocurrido el 28 de diciembre de 2025 en Nizanda, Oaxaca, que causó victimas humanas.????️ La…pic.twitter.com/L71DQnOKDf ​-Con información de Angel Hernández. El director"&amp;" general del Instituto Mexicano del Seguro Social (IMSS), Zoé Robledo, informó que realizó una visita al Hospital General de Zona (HGZ) No. 2 en Salina Cruz, Oaxaca, donde se atiende a 16 pacientes que resultaron lesionados en el accidente del Tren Intero"&amp;"ceánico, que están fuera de peligro. El director del IMSS comunicó que 16 pacientes fueron trasladados al HGZ No. 2, donde se concentra el mayor número de pacientes lesionados. Afirmó que al momento ningún paciente tiene riesgo de perder la vida, son aten"&amp;"didos en diferentes instituciones del sector salud y en particular en el Hospital General de Zona No. 2 del IMSS en Salina Cruz. -Con información de Fanny Miranda. La embajada de Reino Unido en México compartió un mensaje de solidaridad a las familias de "&amp;"las víctimas por el accidente ferroviario en Oaxaca. Nuestros pensamientos y solidaridad están con las familias y seres queridos de las víctimas y lesionados por el accidente ferroviario ocurrido ayer en el Istmo de Tehuantepec.pic.twitter.com/vBCajLeMPn "&amp;"​​-Con información de Angel Hernández. La gobernadora de Veracruz, Rocío Nahle García aseguró que están brindando todo el apoyo a las familias de tres veracruzanos fallecidos en el descarrilamiento del Tren Interoceánico y tres más que se encuentran lesio"&amp;"nadas. En conferencia de prensa en Palacio de Gobierno en Xalapa, Nahle García indicó que tras el percance se comunicó con el gobernador de Oaxaca, Salomón Jara, porque se activó el protocolo de emergencia entre ambos estados para el servicio de salud, y "&amp;"para lo que se requiriese. Apuntó que hasta anoche sabían de los tres que habían hospitalizado en el IMSS Bienestar de Ixtepec, Oaxaca, que eran dos mujeres jóvenes de Agua Dulce y una más de 48 años originaria de Coatzacoalcos. Esta mañana le informaron "&amp;"de los tres fallecidos originarios de Minatitlán que se encuentran en una funeraria de El Espinal, en Juchitán, Oaxaca. Se trata de Patricia Medina Pérez, Honoria Medina Pérez, y Rogelio Luna. -Con información de Isabel Zamudio. Israel Enrique Gallegos So"&amp;"to o como sus amigos lo llamabanHenry del Toro,es una de las víctimas que dejó el descarrilamiento del Tren Interoceánico en Oaxaca. Gallegos Soto trabajaba en el Heraldo de Oaxaca, su compañero Miguel Pérez lamentó su muerte. La Secretaría de Marina (Sem"&amp;"ar), dependencia a cargo de la Línea Z del Tren Interoceánico, dio una cronología del accidente ocurrido en Oaxaca la mañana del domingo 28 de diciembre donde el saldo fue de 13 muertos. -Lee la nota completa aquí. Funcionarios encargados del tren serán c"&amp;"itados a comparecer en la Cámara de Diputados De manera adicional a la investigación de oficio que lleva a cabo la Fiscalía General de la República (FGR), el PAN en la Cámara de Diputados ingresará denuncias penales para que Ernestina Godoy investigue a f"&amp;"ondo el motivo del descarrilamiento del Tren Interoceánico. Federico Döring, vocero del Grupo Parlamentario en San Lázaro dijo que los funcionarios encargados de este Tren Interoceánico van a ser citados en la Cámara de Diputados. Jorge Triana, vocero del"&amp;" CEN PAN, añadió que el Interoceánico, no es un proyecto nuevo e innovador, sino un proyecto que se recicló del porfiriato. -Con información de Silvia Arellano. El titular del IMSS-Bienestar, Alejandro Svarch Pérez y el subsecretario de Gobernación, Artur"&amp;"o Medina, se encuentran supervisando de manera directa a todas las personas que resultaron heridas tras el descarrilamiento del Tren Interoceánico. Nuestro Director de#IMSSBienestar,@alexsvarch, acompañado del subsecretario de Gobernación@arturomedinap, s"&amp;"upervisa de manera directa la atención médica que reciben las personas lesionadas tras el incidente del Tren Interoceánico.Durante su visita a los Hospitales IMSS…pic.twitter.com/eAKcF3Vp6N En la conferencia mañanera, Claudia Sheinbaum difundió el número "&amp;"al cual los familiares de las personas que viajaban en el Tren Interoceánico se pueden comunicar, en caso de no saber su estado de salud o paradero. La Semar informó que 250 personas estaban a bordo del convoy que iba sobre la Línea Z en la ruta que va de"&amp;" Salina Cruz a Coatzacoalcos; de ella 98 resultaron lesionados y 139 están fuera de peligro. Las víctimas del accidente fueron trasladadas a distintos hospitales entre el Instituto Mexicano del Seguro Social (IMSS), Instituto de Seguridad y Servicios Soci"&amp;"ales de los Trabajadores del Estado (ISSSTE) y el IMSS-Bienestar. La Secretaría de Gobernación, por su parte, compartió al corte de las 23:56 horas un listado oficial de 70 personas atendidas en distintos hospitales de Oaxaca tras la tragedia acontecida e"&amp;"n la tarde. -Lee la nota completa aquí. Durante la conferencia mañanera de este lunes, la presidenta de México, Claudia Sheinbaum se pronunció ante el descarrilamiento del Tren Interoceánico en Oaxaca, mencionando que se atenderán tres ejes principales; a"&amp;"tención a las víctimas y sus familiares, esclarecer los hechos y garantizar la seguridad del Tren Interoceánico. Respecto al primer eje adelantó que en el transcurso del día se trasladará a Oaxaca para ""hablar con las familias"" de los pasajeros afectado"&amp;"s. El embajador de Estados Unidos en México, Ronald Johnson, compartió un mensaje de condolencia los familiares de las víctimas del accidente: Expresamos nuestras más sinceras condolencias a las familias y seres queridos de quienes perdieron la vida en el"&amp;" reciente accidente ferroviario en Oaxaca. Nuestros pensamientos y oraciones también están con las personas lesionadas y con todos los afectados. -Con información de Ángel Hernández. El titular del Instituto Mexicano del Seguro Social (IMSS), Zoé Robledo,"&amp;" compartió en sus redes sociales una actualización sobre las personas que resultaron heridas por el descarrilamiento del tren interoceánico, los cuales se encuentran en en el Hospital General de Zona No. 2 del IMSS en Salina Cruz, Oaxaca: #Actualización⭕️"&amp;"A las 5:00 am realizamos la visita de los pacientes que, derivado del accidente del tren Interoceánico, se encuentran en el Hospital General de Zona No. 2 de@Tu_IMSSen Salina Cruz, Oaxaca.???? El reporte es el siguiente:• Se contaba con 16 pacientes…pic.t"&amp;"witter.com/olHYVet2Yh El tren  sufrió un descarrilamiento, lo que obligó al personal a detener la marcha y activar los protocolos de emergencia. De acuerdo con el comunicado de la Secretaría de Marina (Semar), se brindó atención inmediata a todos los usua"&amp;"rios, mientras se mantenía coordinación con las autoridades para garantizar la seguridad de los tripulantes.")</f>
        <v>Untren de pasajeros de la Línea Z del Tren Interoceánicoen el que viajaban 250 personas se descarriló y dejó varios muertos y heridos. El percance ocurrió el domingo en el municipio de Nizanda, Oaxaca Hasta el momento, se tienen registro de98 personas heridas, de las cuales 36 ya son atendidas en diversos hospitales y13 pasajeros quedaron sin vida. Horas más tarde la Secretaría de Marina (Semar) dio más detalles sobre el percance: La Secretaría de Gobernación (Segob) ha compartido la lista con los nombres y edades de las 13 personas que fallecieron tras el descarrilamiento del Tren Interoceánico este 28 de diciembre en Oaxaca. En una publicación en redes sociales la dependencia, además, adjuntó los teléfonos de atención para que los familiares de las víctimas puedan ponerse en contacto con las autoridades. Los nombres y edades de las víctimas son Elena Solórzano Cruz, de 6 años, María Antonia Rosales Mendoza, de 58 años, Bersain Cruz López, de 65 años, María Concepción Barbosa Acevedo, de 65 años, Israel Enrique Gallegos Soto, de 60 años, Inés Alvarado Rojas, de 57 años, Amada Rasgado Lázaro, de 70 años, Patricia Medina Pérez, de 49 años, Luisa Camila Serrano Moreno, de 15 años, María Luisa Pasaron González, de 66 años, Raúl López Cruz, de 67 años, Rogelio Alfonso Luna Luna, de 63 años y Honoria Medina Pérez de 56 años. De acuerdo con las autoridades federales, hasta el momento aún hay 34 personas que se encuentran hospitalizadas, mientras tanto, este día la presidenta Claudia Sheinbaum viajó a Oaxaca para hablar directamente con los afectados y supervisar las investigaciones y los apoyos para las víctimas. Al corte de las 17:00 horas, el IMSS Bienestar reportó que continúan 13 personas hospitalizadas, quienes se encuentran recibiendo atención médica en las siguientes clínicas: El accidente dejó 13 personas muertas, entre ellos un periodista y dos menores de edad, quienes viajaban para pasar las vacaciones de fin de año. Aquíte contamos sobre lo que se sabe sobre los fallecidos. A través de redes sociales, el Tren Suburbano, que corre de Cuautitlán a Buenavista, expresó su solidaridad con las víctimas mortales del accidente que dejó el descarrilamiento del Tren Interoceánico, así como sus deseos de recuperación para las personas que continúan hospitalizadas. Asimismo, se puso a disposición del gobierno para apoyar "en lo que sea requerido". Al arribar a Oaxaca, la presidenta Claudia Sheinbaum anunció que se otorgará un apoyo económico a las familias de los afectados tras el descarrilamiento del Tren Interoceánico, el cual consiste en un monto de 30 mil pesos que se dará de manera inmediata. La presidenta Claudia Sheinbaum viajó a Oaxaca para visitar a los pacientes que continúan recibiendo atención médica en los hospitales de Tehuantepec y Salina Cruz. La Secretaria de Gobernación divulgó una lista actualizada de las personas heridas y aún hospitalizadas tras el descarrilamiento del Tren Interoceánico. En total hay 36 personas que se encuentran en algún centro hospitalario, según dio a conocer la dependencia en sus redes sociales. Hay mujeres y hombres de entre tres y 70 años de edad. Las autoridades señalaron que se mantiene el seguimiento médico a los lesionados, quienes continúan bajo observación en distintos centros hospitalarios, con el objetivo de garantizar su atención integral y evolución favorable. Asimismo, para brindar orientación y apoyo a los familiares de las personas afectadas, la Secretaría de Gobernación puso a disposición el número de atención a víctimas 55 22 30 21 06, con el fin de canalizar información y acompañamiento institucional. #MarinaInformapic.twitter.com/k4IL3DMczn -Con información de Ángel Hernández y Jorge Martínez Sheinbaum llega a Oaxaca para atender a familiares de víctimas hospitalizadas La tarde de este lunes la presidenta  de México arribó al estado de Oaxaca para atender a las familias de las personas que resultaron afectadas por el descarrilamiento del Tren Interoceánico, tal como lo anunció durante la conferencia mañanera de este día desde Palacio Nacional. ????#AlMomento????La presidenta Claudia Sheinbaum llega al hospital del ISSSTE de Santo Domingo Tehuantepec para atender a las familias de las víctimas del descarrilamiento del Tren Interoceánico en Oaxaca????: Omar Gascapic.twitter.com/aToZlmjG6j La Semar trasladó al Hospital Civil de Oaxaca a dos familias que resultaron con diversas lesiones luego del descarrilamiento del ferrocarril interoceánico. Ambas familias viajaban con los 294 pasajeros de la zona de Matías Romero a Coatzacoalcos Veracruz, algunos para pasar el año nuevo en Veracruz, y otros más regresaban de haber estado con sus familiares en Navidad. Una de las familias trasladada al hospital Juan Manuel Iglesias, él viajaba con su esposa e hijo hacía Veracruz, después de haber pasado la navidad en Oaxaca. Manuel Iglesias se encontraba en uno de los vagones que cayeron al fondo de la hondonada donde se descarriló el tren, recuerda que todo le dio vueltas y que quedó en el fondo de la unidad con las maletas aplastando a los pasajeros, junto con los restos de parte de la sillería y el mobiliario del ferrocarril roto. "Había muchos gritos, y desesperación pero salimos del lugar, ayude junto con otros pasajeros a sacar a otros lesionados, la mayoría mujeres, niños y ancianos" -Con información de Óscar Rodríguez. Tras el descarrilamiento del Tren Interoceánico que dejó 13 personas fallecidas, Mario Vázquez, senador del PAN, pidió un peritaje internacional, técnico e independiente, que no quede bajo control de autoridades federales o de instancias vinculadas al propio proyecto ferroviario. Según Vázquez, solo un equipo externo, con reconocimiento y respaldo internacional, podrá determinar con rigor técnico: La calidad del balasto utilizado, el mantenimiento de la vía, la velocidad y operación del tren; así como posibles fallas estructurales y responsabilidades públicas y privadas. Insistió que para evitar una investigación con opacidad, encubrimiento o conclusiones a modo, debe quedar en manos de organismos y expertos extranjeros sin vínculos políticos con el gobierno. Además del peritaje independiente, el legislador planteó tres acciones inmediatas: Vázquez fue enfático al señalar que el siniestro “no puede minimizarse ni clasificarse como un simple evento ferroviario”. -Con información de Silvia Arellano. El secretario de Salud, Efrén Emmanuel Jarquín González, realizó un recorrido de supervisión en los Hospitales Generales IMSS-Bienestar de Ciudad Ixtepec y Salina Cruz, así como en la Unidad Médica Rural IMSS-Bienestar de Matías Romero, para constatar el estado de salud y la atención que reciben las y los pacientes. El Gobierno del Estado refuerza la atención a las personas afectadas por el accidente del Tren Interoceánico.A primeras horas de este lunes, el secretario de Salud, Efrén Emmanuel Jarquín González, junto con su equipo de trabajo, realizó un recorrido de supervisión en los…pic.twitter.com/Rgmjcgt4Wv Autoridades de rescate lograron el último cuerpo de las 13 víctimas mortales que dejó el accidente en Oaxaca. Hasta el momento se desconoce la identidad Equipos de emergencia acaban de rescatar el último cuerpo de las 13 víctimas que murieron tras el descarrilamiento del tren Interoceánico en Oaxaca.QEPD#Video????????????https://t.co/sJKt2fid5Xpic.twitter.com/3EMyShGYbY -Con información de Jorge Becerril. Expertos en fotografía y medicina forense, criminalística de campo, ingeniería civil y arquitectura, química y seguridad industrial forense, así como tránsito terrestre, se encuentran desplegados en la zona donde ocurrió el descarrilamiento de un tren del Corredor Interoceánico del Istmo de Tehuantepec, con el objetivo de realizar las diligencias necesarias para esclarecer las causas del accidente. El personal pericial ministerial trabaja desde ayer en el sitio del siniestro, efectuando levantamiento de indicios, inspecciones técnicas y entrevistas a testigos y pasajeros, acciones que permitirán elaborar los dictámenes correspondientes. En un comunicado, la Fiscalía General de la República (FGR) subrayó que “la prioridad es conocer la verdad de lo ocurrido mediante una investigación profesional con rigor científico, colocando a las víctimas en el centro”. En seguimiento a lo ocurrido ayer domingo en el@CIIT_mx, la#FGRha llevado a cabo diversas diligencias, a efecto de continuar con la integración de la carpeta de investigación iniciada respecto a los hechos acontecidos en el estado de Oaxaca. 1/4pic.twitter.com/kzIrpl2GmJ -Con información de Amílcar Salazar Méndez. Tras el accidente en Oaxaca en el que se descarriló un tren con pasajeros, la Embajada de Rusia en México expresó en sus redes sociales un mensaje de solidaridad al "Noble Pueblo y el Gobierno de los Estados Unidos Mexicanos". ???????? La Embajada de Rusia en México expresa su solidaridad con el Noble Pueblo y el Gobierno de los Estados Unidos Mexicanos ante las trágicas consecuencias del descarrilamiento del tren, ocurrido el 28 de diciembre de 2025 en Nizanda, Oaxaca, que causó victimas humanas.????️ La…pic.twitter.com/L71DQnOKDf ​-Con información de Angel Hernández. El director general del Instituto Mexicano del Seguro Social (IMSS), Zoé Robledo, informó que realizó una visita al Hospital General de Zona (HGZ) No. 2 en Salina Cruz, Oaxaca, donde se atiende a 16 pacientes que resultaron lesionados en el accidente del Tren Interoceánico, que están fuera de peligro. El director del IMSS comunicó que 16 pacientes fueron trasladados al HGZ No. 2, donde se concentra el mayor número de pacientes lesionados. Afirmó que al momento ningún paciente tiene riesgo de perder la vida, son atendidos en diferentes instituciones del sector salud y en particular en el Hospital General de Zona No. 2 del IMSS en Salina Cruz. -Con información de Fanny Miranda. La embajada de Reino Unido en México compartió un mensaje de solidaridad a las familias de las víctimas por el accidente ferroviario en Oaxaca. Nuestros pensamientos y solidaridad están con las familias y seres queridos de las víctimas y lesionados por el accidente ferroviario ocurrido ayer en el Istmo de Tehuantepec.pic.twitter.com/vBCajLeMPn ​​-Con información de Angel Hernández. La gobernadora de Veracruz, Rocío Nahle García aseguró que están brindando todo el apoyo a las familias de tres veracruzanos fallecidos en el descarrilamiento del Tren Interoceánico y tres más que se encuentran lesionadas. En conferencia de prensa en Palacio de Gobierno en Xalapa, Nahle García indicó que tras el percance se comunicó con el gobernador de Oaxaca, Salomón Jara, porque se activó el protocolo de emergencia entre ambos estados para el servicio de salud, y para lo que se requiriese. Apuntó que hasta anoche sabían de los tres que habían hospitalizado en el IMSS Bienestar de Ixtepec, Oaxaca, que eran dos mujeres jóvenes de Agua Dulce y una más de 48 años originaria de Coatzacoalcos. Esta mañana le informaron de los tres fallecidos originarios de Minatitlán que se encuentran en una funeraria de El Espinal, en Juchitán, Oaxaca. Se trata de Patricia Medina Pérez, Honoria Medina Pérez, y Rogelio Luna. -Con información de Isabel Zamudio. Israel Enrique Gallegos Soto o como sus amigos lo llamabanHenry del Toro,es una de las víctimas que dejó el descarrilamiento del Tren Interoceánico en Oaxaca. Gallegos Soto trabajaba en el Heraldo de Oaxaca, su compañero Miguel Pérez lamentó su muerte. La Secretaría de Marina (Semar), dependencia a cargo de la Línea Z del Tren Interoceánico, dio una cronología del accidente ocurrido en Oaxaca la mañana del domingo 28 de diciembre donde el saldo fue de 13 muertos. -Lee la nota completa aquí. Funcionarios encargados del tren serán citados a comparecer en la Cámara de Diputados De manera adicional a la investigación de oficio que lleva a cabo la Fiscalía General de la República (FGR), el PAN en la Cámara de Diputados ingresará denuncias penales para que Ernestina Godoy investigue a fondo el motivo del descarrilamiento del Tren Interoceánico. Federico Döring, vocero del Grupo Parlamentario en San Lázaro dijo que los funcionarios encargados de este Tren Interoceánico van a ser citados en la Cámara de Diputados. Jorge Triana, vocero del CEN PAN, añadió que el Interoceánico, no es un proyecto nuevo e innovador, sino un proyecto que se recicló del porfiriato. -Con información de Silvia Arellano. El titular del IMSS-Bienestar, Alejandro Svarch Pérez y el subsecretario de Gobernación, Arturo Medina, se encuentran supervisando de manera directa a todas las personas que resultaron heridas tras el descarrilamiento del Tren Interoceánico. Nuestro Director de#IMSSBienestar,@alexsvarch, acompañado del subsecretario de Gobernación@arturomedinap, supervisa de manera directa la atención médica que reciben las personas lesionadas tras el incidente del Tren Interoceánico.Durante su visita a los Hospitales IMSS…pic.twitter.com/eAKcF3Vp6N En la conferencia mañanera, Claudia Sheinbaum difundió el número al cual los familiares de las personas que viajaban en el Tren Interoceánico se pueden comunicar, en caso de no saber su estado de salud o paradero. La Semar informó que 250 personas estaban a bordo del convoy que iba sobre la Línea Z en la ruta que va de Salina Cruz a Coatzacoalcos; de ella 98 resultaron lesionados y 139 están fuera de peligro. Las víctimas del accidente fueron trasladadas a distintos hospitales entre el Instituto Mexicano del Seguro Social (IMSS), Instituto de Seguridad y Servicios Sociales de los Trabajadores del Estado (ISSSTE) y el IMSS-Bienestar. La Secretaría de Gobernación, por su parte, compartió al corte de las 23:56 horas un listado oficial de 70 personas atendidas en distintos hospitales de Oaxaca tras la tragedia acontecida en la tarde. -Lee la nota completa aquí. Durante la conferencia mañanera de este lunes, la presidenta de México, Claudia Sheinbaum se pronunció ante el descarrilamiento del Tren Interoceánico en Oaxaca, mencionando que se atenderán tres ejes principales; atención a las víctimas y sus familiares, esclarecer los hechos y garantizar la seguridad del Tren Interoceánico. Respecto al primer eje adelantó que en el transcurso del día se trasladará a Oaxaca para "hablar con las familias" de los pasajeros afectados. El embajador de Estados Unidos en México, Ronald Johnson, compartió un mensaje de condolencia los familiares de las víctimas del accidente: Expresamos nuestras más sinceras condolencias a las familias y seres queridos de quienes perdieron la vida en el reciente accidente ferroviario en Oaxaca. Nuestros pensamientos y oraciones también están con las personas lesionadas y con todos los afectados. -Con información de Ángel Hernández. El titular del Instituto Mexicano del Seguro Social (IMSS), Zoé Robledo, compartió en sus redes sociales una actualización sobre las personas que resultaron heridas por el descarrilamiento del tren interoceánico, los cuales se encuentran en en el Hospital General de Zona No. 2 del IMSS en Salina Cruz, Oaxaca: #Actualización⭕️A las 5:00 am realizamos la visita de los pacientes que, derivado del accidente del tren Interoceánico, se encuentran en el Hospital General de Zona No. 2 de@Tu_IMSSen Salina Cruz, Oaxaca.???? El reporte es el siguiente:• Se contaba con 16 pacientes…pic.twitter.com/olHYVet2Yh El tren  sufrió un descarrilamiento, lo que obligó al personal a detener la marcha y activar los protocolos de emergencia. De acuerdo con el comunicado de la Secretaría de Marina (Semar), se brindó atención inmediata a todos los usuarios, mientras se mantenía coordinación con las autoridades para garantizar la seguridad de los tripulantes.</v>
      </c>
      <c r="O61" s="15">
        <f>IFERROR(__xludf.DUMMYFUNCTION("""COMPUTED_VALUE"""),0.4427)</f>
        <v>0.4427</v>
      </c>
      <c r="P61" s="2"/>
      <c r="Q61" s="17">
        <f>IFERROR(__xludf.DUMMYFUNCTION("""COMPUTED_VALUE"""),5.0)</f>
        <v>5</v>
      </c>
      <c r="R61" s="2" t="str">
        <f>IFERROR(__xludf.DUMMYFUNCTION("""COMPUTED_VALUE"""),"Low")</f>
        <v>Low</v>
      </c>
      <c r="S61" s="17">
        <f>IFERROR(__xludf.DUMMYFUNCTION("""COMPUTED_VALUE"""),0.0)</f>
        <v>0</v>
      </c>
      <c r="T61" s="17">
        <f>IFERROR(__xludf.DUMMYFUNCTION("""COMPUTED_VALUE"""),0.0)</f>
        <v>0</v>
      </c>
      <c r="U61" s="14">
        <f>IFERROR(__xludf.DUMMYFUNCTION("""COMPUTED_VALUE"""),3.0)</f>
        <v>3</v>
      </c>
      <c r="V61" s="14">
        <v>2025.0</v>
      </c>
      <c r="W61" s="2" t="s">
        <v>1168</v>
      </c>
      <c r="X61" s="2" t="s">
        <v>1169</v>
      </c>
      <c r="Y61" s="13" t="s">
        <v>262</v>
      </c>
      <c r="Z61" s="14">
        <v>0.0</v>
      </c>
      <c r="AA61" s="14">
        <v>0.0</v>
      </c>
      <c r="AB61" s="14">
        <v>0.0</v>
      </c>
      <c r="AC61" s="14">
        <v>0.0</v>
      </c>
      <c r="AD61" s="2">
        <v>0.0</v>
      </c>
      <c r="AE61" s="2">
        <v>1.0</v>
      </c>
      <c r="AF61" s="2">
        <v>12.0</v>
      </c>
      <c r="AG61" s="2" t="s">
        <v>1176</v>
      </c>
      <c r="AH61" s="2">
        <v>0.0</v>
      </c>
    </row>
    <row r="62" ht="15.75" customHeight="1">
      <c r="A62" s="2" t="str">
        <f>IFERROR(__xludf.DUMMYFUNCTION("""COMPUTED_VALUE"""),"Milenio")</f>
        <v>Milenio</v>
      </c>
      <c r="B62" s="12" t="str">
        <f>IFERROR(__xludf.DUMMYFUNCTION("""COMPUTED_VALUE"""),"¿Quiénes eran las víctimas de la balacera en Zapopan?")</f>
        <v>¿Quiénes eran las víctimas de la balacera en Zapopan?</v>
      </c>
      <c r="C62" s="13" t="str">
        <f>IFERROR(__xludf.DUMMYFUNCTION("""COMPUTED_VALUE"""),"2025-12-29 15:53:00")</f>
        <v>2025-12-29 15:53:00</v>
      </c>
      <c r="D62" s="14">
        <f>IFERROR(__xludf.DUMMYFUNCTION("""COMPUTED_VALUE"""),4.0)</f>
        <v>4</v>
      </c>
      <c r="E62" s="15">
        <f>IFERROR(__xludf.DUMMYFUNCTION("""COMPUTED_VALUE"""),-0.6812)</f>
        <v>-0.6812</v>
      </c>
      <c r="F62" s="2" t="str">
        <f>IFERROR(__xludf.DUMMYFUNCTION("""COMPUTED_VALUE"""),"Negativo")</f>
        <v>Negativo</v>
      </c>
      <c r="G62" s="15">
        <f>IFERROR(__xludf.DUMMYFUNCTION("""COMPUTED_VALUE"""),0.6812)</f>
        <v>0.6812</v>
      </c>
      <c r="H62" s="2" t="str">
        <f>IFERROR(__xludf.DUMMYFUNCTION("""COMPUTED_VALUE"""),"Delito violento, robo o asalto")</f>
        <v>Delito violento, robo o asalto</v>
      </c>
      <c r="I62" s="2" t="str">
        <f>IFERROR(__xludf.DUMMYFUNCTION("""COMPUTED_VALUE"""),"balacera")</f>
        <v>balacera</v>
      </c>
      <c r="J62" s="2" t="str">
        <f>IFERROR(__xludf.DUMMYFUNCTION("""COMPUTED_VALUE"""),"Prevención PAX: Contactos de confianza.")</f>
        <v>Prevención PAX: Contactos de confianza.</v>
      </c>
      <c r="K62" s="2" t="str">
        <f>IFERROR(__xludf.DUMMYFUNCTION("""COMPUTED_VALUE"""),"Zapopan")</f>
        <v>Zapopan</v>
      </c>
      <c r="L62" s="2" t="str">
        <f>IFERROR(__xludf.DUMMYFUNCTION("""COMPUTED_VALUE"""),"Jalisco")</f>
        <v>Jalisco</v>
      </c>
      <c r="M62" s="16" t="str">
        <f>IFERROR(__xludf.DUMMYFUNCTION("""COMPUTED_VALUE"""),"https://www.milenio.com/policia/quienes-eran-las-victimas-de-la-balacera-en-zapopan")</f>
        <v>https://www.milenio.com/policia/quienes-eran-las-victimas-de-la-balacera-en-zapopan</v>
      </c>
      <c r="N62" s="2" t="str">
        <f>IFERROR(__xludf.DUMMYFUNCTION("""COMPUTED_VALUE"""),"Luego de que se registrara unenfrentamiento a balazos en  Zapopanque dejó saldo detres personas muertasy cuatro más lesionadas de gravedad, el secretario general de Gobierno deJalisco,Salvador Zamorareveló detalles sobre la identidad de las víctimas. Seña"&amp;"ló que en el sitio donde ocurrió el intercambio de disparos murieron dos hombres, un hombre identificado como Alberto, comerciante del Mercado de Abastos así como un escolta suyo, posteriormente cuando recibía atención médica falleció una joven de 16 años"&amp;" hija del comerciante. Salvador Zamora señaló que se trató de una agresión directa, y que los hechos ya son investigados por autoridades estatales y federales, con dos vehículos asegurados y sin detenidos hasta el momento. Acerca de los vínculos del occis"&amp;"o con actividades como las rifas colombianas ilegales, el secretario señaló que la única información con la que cuenta sobre esas suposiciones son las notas periodísticas que existen en diferentes medios de comunicación. Hasta el momento, sumando esta bal"&amp;"acera del 29 de diciembre, a lo largo de 2025 se han presentado 7 eventos de magnitud mayor con intercambio de disparos prolongados o múltiples victimas. Hasta el cierre de noviembre, la cifra oficial de homicidios con armas de fuego supera las 100 carpet"&amp;"as de investigación, según fuentes de la Comisaría General de Seguridad Pública de Zapopan, IIEG Jalisco y reportes de la Fiscalía del Estado de Jalisco.")</f>
        <v>Luego de que se registrara unenfrentamiento a balazos en  Zapopanque dejó saldo detres personas muertasy cuatro más lesionadas de gravedad, el secretario general de Gobierno deJalisco,Salvador Zamorareveló detalles sobre la identidad de las víctimas. Señaló que en el sitio donde ocurrió el intercambio de disparos murieron dos hombres, un hombre identificado como Alberto, comerciante del Mercado de Abastos así como un escolta suyo, posteriormente cuando recibía atención médica falleció una joven de 16 años hija del comerciante. Salvador Zamora señaló que se trató de una agresión directa, y que los hechos ya son investigados por autoridades estatales y federales, con dos vehículos asegurados y sin detenidos hasta el momento. Acerca de los vínculos del occiso con actividades como las rifas colombianas ilegales, el secretario señaló que la única información con la que cuenta sobre esas suposiciones son las notas periodísticas que existen en diferentes medios de comunicación. Hasta el momento, sumando esta balacera del 29 de diciembre, a lo largo de 2025 se han presentado 7 eventos de magnitud mayor con intercambio de disparos prolongados o múltiples victimas. Hasta el cierre de noviembre, la cifra oficial de homicidios con armas de fuego supera las 100 carpetas de investigación, según fuentes de la Comisaría General de Seguridad Pública de Zapopan, IIEG Jalisco y reportes de la Fiscalía del Estado de Jalisco.</v>
      </c>
      <c r="O62" s="15">
        <f>IFERROR(__xludf.DUMMYFUNCTION("""COMPUTED_VALUE"""),1.0)</f>
        <v>1</v>
      </c>
      <c r="P62" s="2"/>
      <c r="Q62" s="17">
        <f>IFERROR(__xludf.DUMMYFUNCTION("""COMPUTED_VALUE"""),6.5)</f>
        <v>6.5</v>
      </c>
      <c r="R62" s="2" t="str">
        <f>IFERROR(__xludf.DUMMYFUNCTION("""COMPUTED_VALUE"""),"High")</f>
        <v>High</v>
      </c>
      <c r="S62" s="17">
        <f>IFERROR(__xludf.DUMMYFUNCTION("""COMPUTED_VALUE"""),3.5)</f>
        <v>3.5</v>
      </c>
      <c r="T62" s="17">
        <f>IFERROR(__xludf.DUMMYFUNCTION("""COMPUTED_VALUE"""),0.0)</f>
        <v>0</v>
      </c>
      <c r="U62" s="14">
        <f>IFERROR(__xludf.DUMMYFUNCTION("""COMPUTED_VALUE"""),3.0)</f>
        <v>3</v>
      </c>
      <c r="V62" s="14">
        <v>2025.0</v>
      </c>
      <c r="W62" s="2" t="s">
        <v>1168</v>
      </c>
      <c r="X62" s="2" t="s">
        <v>1169</v>
      </c>
      <c r="Y62" s="13" t="s">
        <v>266</v>
      </c>
      <c r="Z62" s="14">
        <v>0.0</v>
      </c>
      <c r="AA62" s="14">
        <v>0.0</v>
      </c>
      <c r="AB62" s="14">
        <v>0.0</v>
      </c>
      <c r="AC62" s="14">
        <v>0.0</v>
      </c>
      <c r="AD62" s="2">
        <v>0.0</v>
      </c>
      <c r="AE62" s="2">
        <v>1.0</v>
      </c>
      <c r="AF62" s="2">
        <v>12.0</v>
      </c>
      <c r="AG62" s="2" t="s">
        <v>1173</v>
      </c>
      <c r="AH62" s="2">
        <v>0.0</v>
      </c>
    </row>
    <row r="63" ht="15.75" customHeight="1">
      <c r="A63" s="2" t="str">
        <f>IFERROR(__xludf.DUMMYFUNCTION("""COMPUTED_VALUE"""),"Milenio")</f>
        <v>Milenio</v>
      </c>
      <c r="B63" s="12" t="str">
        <f>IFERROR(__xludf.DUMMYFUNCTION("""COMPUTED_VALUE"""),"¿Qué pasó? Esto sabemos del policía de CdMx que murió tras frustrar un robo en Álvaro Obregón")</f>
        <v>¿Qué pasó? Esto sabemos del policía de CdMx que murió tras frustrar un robo en Álvaro Obregón</v>
      </c>
      <c r="C63" s="13" t="str">
        <f>IFERROR(__xludf.DUMMYFUNCTION("""COMPUTED_VALUE"""),"2025-12-29 08:42:00")</f>
        <v>2025-12-29 08:42:00</v>
      </c>
      <c r="D63" s="14">
        <f>IFERROR(__xludf.DUMMYFUNCTION("""COMPUTED_VALUE"""),4.0)</f>
        <v>4</v>
      </c>
      <c r="E63" s="15">
        <f>IFERROR(__xludf.DUMMYFUNCTION("""COMPUTED_VALUE"""),-0.6514)</f>
        <v>-0.6514</v>
      </c>
      <c r="F63" s="2" t="str">
        <f>IFERROR(__xludf.DUMMYFUNCTION("""COMPUTED_VALUE"""),"Negativo")</f>
        <v>Negativo</v>
      </c>
      <c r="G63" s="15">
        <f>IFERROR(__xludf.DUMMYFUNCTION("""COMPUTED_VALUE"""),0.6514)</f>
        <v>0.6514</v>
      </c>
      <c r="H63" s="2" t="str">
        <f>IFERROR(__xludf.DUMMYFUNCTION("""COMPUTED_VALUE"""),"Operativo policial o detención")</f>
        <v>Operativo policial o detención</v>
      </c>
      <c r="I63" s="2" t="str">
        <f>IFERROR(__xludf.DUMMYFUNCTION("""COMPUTED_VALUE"""),"N/A")</f>
        <v>N/A</v>
      </c>
      <c r="J63" s="2" t="str">
        <f>IFERROR(__xludf.DUMMYFUNCTION("""COMPUTED_VALUE"""),"Monitoreo general.")</f>
        <v>Monitoreo general.</v>
      </c>
      <c r="K63" s="2" t="str">
        <f>IFERROR(__xludf.DUMMYFUNCTION("""COMPUTED_VALUE"""),"Ciudad de México")</f>
        <v>Ciudad de México</v>
      </c>
      <c r="L63" s="2" t="str">
        <f>IFERROR(__xludf.DUMMYFUNCTION("""COMPUTED_VALUE"""),"Ciudad de México")</f>
        <v>Ciudad de México</v>
      </c>
      <c r="M63" s="16" t="str">
        <f>IFERROR(__xludf.DUMMYFUNCTION("""COMPUTED_VALUE"""),"https://www.milenio.com/policia/policia-cdmx-muere-tras-frustrar-robo-alvaro-obregon-que-sabemos")</f>
        <v>https://www.milenio.com/policia/policia-cdmx-muere-tras-frustrar-robo-alvaro-obregon-que-sabemos</v>
      </c>
      <c r="N63" s="2" t="str">
        <f>IFERROR(__xludf.DUMMYFUNCTION("""COMPUTED_VALUE"""),"LaSecretaría de Seguridad Ciudadana (SSC)de la Ciudad de México se encuentra de luto, luego de que uno de sus elementosperdió la vidatrasfrustrar un robo a una casaen laalcaldíaÁlvaro Obregón. Los hechos ocurrieron la tarde de28 de diciembre de 2025en la "&amp;"coloniaJardines del Pedregal. Acorde con los reportes, el oficial fue identificado comoRomán Martínez Estrada, quiencontaba con 16 años de experiencia dentro de la SSC. EnMILENIOte explicamos lo que se sabe del caso. De acuerdo con los primeros reportes, "&amp;"la tarde del domingo,dos uniformados de la SSCacudieron a un domicilio ubicado en la calle Lluvia y la avenida Paseo del Pedregal, en la colonia Jardines del Pedregal, trasel reporte al 911 de un robo a casa habitación. Al arribar, los uniformados observa"&amp;"ron que de la vivienda reportadasalían varios sujetos, quienes comenzaron a huir al notar su presencia. Durante el escape,uno de los criminales realizó disparos de arma de fuegocontra los agentes, alcanzando a herir al policíaRomán Martínez Estrada. ​​La "&amp;"SSC apuntó que, pese a haber sido herido, el uniformadologró repeler la agresión y lesionó a uno de los implicadosen el robo. Para priorizar su atención médica, el policía fue trasladado a un hospital donde lo diagnosticaron conherida de bala en la costil"&amp;"la. En un primer momento la dependencia capitalina informó que se mantenía""en observación y tratamiento"", pero poco más de dos horas después, el titular de la SSC,Pablo Vázquez Camacho, informó su fallecimiento. A través de redes sociales, Vázquez Camac"&amp;"ho identificó al uniformado como el policía segundo Román Martínez Estrada, adscrito a laUnidad de Protección Ciudadana San Ángel. Aseguró queno habrá impunidadpara quienes cometieron el""cobarde ataque"", e informó que las áreas de operación e inteligenc"&amp;"ia de la SSC ya trabajan en coordinación con laFiscalía General de Justicia (FGJ)para detener a los responsables. Por su parte, el periodistaCarlos Jiménez, conductor del programaC4 en Alerta,dio a conocer que el oficial Martínez Estradaingresó a la SSC e"&amp;"n 2009. Con profundo dolor, lamento informar que mi compañero Policía Segundo Román Martínez Estrada, quien esta tarde atendió el reporte de un robo a casa habitación en@AlcaldiaAOy gracias a su oportuna intervención frustró el asalto, perdió la vida.A su"&amp;"s familiares y amigos les…pic.twitter.com/KtGyVUGruq La investigación refiere quelos probables responsables del asalto en Jardines del Pedregalse dieron a la fuga en una camioneta color azul. Más adelante, ante los disparos del agente de la SSC, perdieron"&amp;" el control y se impactaron. El vehículo fue dejado abandonado y los sujetoscontinuaron su fuga en un vehículo que robaron a su propietario, el cual fuehallado junto con una caja fuerte en inmediacionesde la alcaldía Miguel Hidalgo.")</f>
        <v>LaSecretaría de Seguridad Ciudadana (SSC)de la Ciudad de México se encuentra de luto, luego de que uno de sus elementosperdió la vidatrasfrustrar un robo a una casaen laalcaldíaÁlvaro Obregón. Los hechos ocurrieron la tarde de28 de diciembre de 2025en la coloniaJardines del Pedregal. Acorde con los reportes, el oficial fue identificado comoRomán Martínez Estrada, quiencontaba con 16 años de experiencia dentro de la SSC. EnMILENIOte explicamos lo que se sabe del caso. De acuerdo con los primeros reportes, la tarde del domingo,dos uniformados de la SSCacudieron a un domicilio ubicado en la calle Lluvia y la avenida Paseo del Pedregal, en la colonia Jardines del Pedregal, trasel reporte al 911 de un robo a casa habitación. Al arribar, los uniformados observaron que de la vivienda reportadasalían varios sujetos, quienes comenzaron a huir al notar su presencia. Durante el escape,uno de los criminales realizó disparos de arma de fuegocontra los agentes, alcanzando a herir al policíaRomán Martínez Estrada. ​​La SSC apuntó que, pese a haber sido herido, el uniformadologró repeler la agresión y lesionó a uno de los implicadosen el robo. Para priorizar su atención médica, el policía fue trasladado a un hospital donde lo diagnosticaron conherida de bala en la costilla. En un primer momento la dependencia capitalina informó que se mantenía"en observación y tratamiento", pero poco más de dos horas después, el titular de la SSC,Pablo Vázquez Camacho, informó su fallecimiento. A través de redes sociales, Vázquez Camacho identificó al uniformado como el policía segundo Román Martínez Estrada, adscrito a laUnidad de Protección Ciudadana San Ángel. Aseguró queno habrá impunidadpara quienes cometieron el"cobarde ataque", e informó que las áreas de operación e inteligencia de la SSC ya trabajan en coordinación con laFiscalía General de Justicia (FGJ)para detener a los responsables. Por su parte, el periodistaCarlos Jiménez, conductor del programaC4 en Alerta,dio a conocer que el oficial Martínez Estradaingresó a la SSC en 2009. Con profundo dolor, lamento informar que mi compañero Policía Segundo Román Martínez Estrada, quien esta tarde atendió el reporte de un robo a casa habitación en@AlcaldiaAOy gracias a su oportuna intervención frustró el asalto, perdió la vida.A sus familiares y amigos les…pic.twitter.com/KtGyVUGruq La investigación refiere quelos probables responsables del asalto en Jardines del Pedregalse dieron a la fuga en una camioneta color azul. Más adelante, ante los disparos del agente de la SSC, perdieron el control y se impactaron. El vehículo fue dejado abandonado y los sujetoscontinuaron su fuga en un vehículo que robaron a su propietario, el cual fuehallado junto con una caja fuerte en inmediacionesde la alcaldía Miguel Hidalgo.</v>
      </c>
      <c r="O63" s="15">
        <f>IFERROR(__xludf.DUMMYFUNCTION("""COMPUTED_VALUE"""),0.4118)</f>
        <v>0.4118</v>
      </c>
      <c r="P63" s="2"/>
      <c r="Q63" s="17">
        <f>IFERROR(__xludf.DUMMYFUNCTION("""COMPUTED_VALUE"""),8.0)</f>
        <v>8</v>
      </c>
      <c r="R63" s="2" t="str">
        <f>IFERROR(__xludf.DUMMYFUNCTION("""COMPUTED_VALUE"""),"Low")</f>
        <v>Low</v>
      </c>
      <c r="S63" s="17">
        <f>IFERROR(__xludf.DUMMYFUNCTION("""COMPUTED_VALUE"""),0.0)</f>
        <v>0</v>
      </c>
      <c r="T63" s="17">
        <f>IFERROR(__xludf.DUMMYFUNCTION("""COMPUTED_VALUE"""),0.0)</f>
        <v>0</v>
      </c>
      <c r="U63" s="14">
        <f>IFERROR(__xludf.DUMMYFUNCTION("""COMPUTED_VALUE"""),3.0)</f>
        <v>3</v>
      </c>
      <c r="V63" s="14">
        <v>2025.0</v>
      </c>
      <c r="W63" s="2" t="s">
        <v>1168</v>
      </c>
      <c r="X63" s="2" t="s">
        <v>1169</v>
      </c>
      <c r="Y63" s="13" t="s">
        <v>270</v>
      </c>
      <c r="Z63" s="14">
        <v>0.0</v>
      </c>
      <c r="AA63" s="14">
        <v>0.0</v>
      </c>
      <c r="AB63" s="14">
        <v>0.0</v>
      </c>
      <c r="AC63" s="14">
        <v>0.0</v>
      </c>
      <c r="AD63" s="2">
        <v>0.0</v>
      </c>
      <c r="AE63" s="2">
        <v>1.0</v>
      </c>
      <c r="AF63" s="2">
        <v>12.0</v>
      </c>
      <c r="AG63" s="2" t="s">
        <v>1175</v>
      </c>
      <c r="AH63" s="2">
        <v>0.0</v>
      </c>
    </row>
    <row r="64" ht="15.75" customHeight="1">
      <c r="A64" s="2" t="str">
        <f>IFERROR(__xludf.DUMMYFUNCTION("""COMPUTED_VALUE"""),"Milenio")</f>
        <v>Milenio</v>
      </c>
      <c r="B64" s="12" t="str">
        <f>IFERROR(__xludf.DUMMYFUNCTION("""COMPUTED_VALUE"""),"Disminuyen las quejas contra policías y tránsitos en Lerdo")</f>
        <v>Disminuyen las quejas contra policías y tránsitos en Lerdo</v>
      </c>
      <c r="C64" s="13" t="str">
        <f>IFERROR(__xludf.DUMMYFUNCTION("""COMPUTED_VALUE"""),"2025-12-26 17:44:00")</f>
        <v>2025-12-26 17:44:00</v>
      </c>
      <c r="D64" s="14">
        <f>IFERROR(__xludf.DUMMYFUNCTION("""COMPUTED_VALUE"""),1.0)</f>
        <v>1</v>
      </c>
      <c r="E64" s="15">
        <f>IFERROR(__xludf.DUMMYFUNCTION("""COMPUTED_VALUE"""),0.0)</f>
        <v>0</v>
      </c>
      <c r="F64" s="2" t="str">
        <f>IFERROR(__xludf.DUMMYFUNCTION("""COMPUTED_VALUE"""),"Neutral")</f>
        <v>Neutral</v>
      </c>
      <c r="G64" s="15">
        <f>IFERROR(__xludf.DUMMYFUNCTION("""COMPUTED_VALUE"""),0.6163)</f>
        <v>0.6163</v>
      </c>
      <c r="H64" s="2" t="str">
        <f>IFERROR(__xludf.DUMMYFUNCTION("""COMPUTED_VALUE"""),"Noticia corporativa o regulación de transporte")</f>
        <v>Noticia corporativa o regulación de transporte</v>
      </c>
      <c r="I64" s="2" t="str">
        <f>IFERROR(__xludf.DUMMYFUNCTION("""COMPUTED_VALUE"""),"N/A")</f>
        <v>N/A</v>
      </c>
      <c r="J64" s="2" t="str">
        <f>IFERROR(__xludf.DUMMYFUNCTION("""COMPUTED_VALUE"""),"Monitoreo general.")</f>
        <v>Monitoreo general.</v>
      </c>
      <c r="K64" s="2" t="str">
        <f>IFERROR(__xludf.DUMMYFUNCTION("""COMPUTED_VALUE"""),"Sinaloa")</f>
        <v>Sinaloa</v>
      </c>
      <c r="L64" s="2" t="str">
        <f>IFERROR(__xludf.DUMMYFUNCTION("""COMPUTED_VALUE"""),"Sinaloa")</f>
        <v>Sinaloa</v>
      </c>
      <c r="M64" s="16" t="str">
        <f>IFERROR(__xludf.DUMMYFUNCTION("""COMPUTED_VALUE"""),"https://www.milenio.com/estados/lerdo-disminuyen-las-quejas-contra-policias-y-transitos")</f>
        <v>https://www.milenio.com/estados/lerdo-disminuyen-las-quejas-contra-policias-y-transitos</v>
      </c>
      <c r="N64" s="2" t="str">
        <f>IFERROR(__xludf.DUMMYFUNCTION("""COMPUTED_VALUE"""),"La Contraloría Municipal deLerdoregistró una reducción cercana al 40 por ciento en las quejas ciudadanas contra servidores públicos,principalmente elementos de Tránsito y Policía,durante el periodo de septiembre a diciembre del presente año, así lo dio a "&amp;"conocer José Alonso Villalobos de la Cruz, contralor municipal. Atribuyó esta disminución a lasconstantes capacitaciones y acciones de concientizaciónimpulsadas por la presidenta municipal, Susy Torrecillas Salazar, en coordinación con instancias estatale"&amp;"s y áreas municipales. Indicó que mientras en el mismo periodo del año pasado se recibieronalrededor de 60 denuncias,en este 2025 se contabilizaron aproximadamente 20, además de que en lo que va del mes de diciembre no se ha registrado ninguna queja relac"&amp;"ionada con agentes de Tránsito ni policías municipales. Señaló queno todos los reportes corresponden a quejas formales,ya que también se reciben sugerencias e incluso reconocimientos hacia algunos elementos por su actuación y apoyo a la ciudadanía. Asimis"&amp;"mo,hizo un llamado a la población para que las denuncias se presenten por los canales formalesy no únicamente a través de redes sociales, con el objetivo de garantizar un debido proceso tanto para los ciudadanos como para los servidores públicos. Entre la"&amp;"s principales causas de las quejas que presenta la ciudadanía, dijo,destacan el presunto abuso de autoridad y posibles casos de cohecho;sin embargo, explicó que no todas las situaciones constituyen faltas administrativas, ya que algunas son canalizadas a "&amp;"las áreas de asuntos internos de las corporaciones para su análisis, de acuerdo con los reglamentos internos. El contralor municipalreconoció el trabajo de la alcaldesa en materia de prevención y combate a la corrupción,a través de las recientes capacitac"&amp;"iones impartidas por el fiscal anticorrupción y los programas de formación permanente que llevan a cabo las direcciones de Tránsito y Seguridad Pública.")</f>
        <v>La Contraloría Municipal deLerdoregistró una reducción cercana al 40 por ciento en las quejas ciudadanas contra servidores públicos,principalmente elementos de Tránsito y Policía,durante el periodo de septiembre a diciembre del presente año, así lo dio a conocer José Alonso Villalobos de la Cruz, contralor municipal. Atribuyó esta disminución a lasconstantes capacitaciones y acciones de concientizaciónimpulsadas por la presidenta municipal, Susy Torrecillas Salazar, en coordinación con instancias estatales y áreas municipales. Indicó que mientras en el mismo periodo del año pasado se recibieronalrededor de 60 denuncias,en este 2025 se contabilizaron aproximadamente 20, además de que en lo que va del mes de diciembre no se ha registrado ninguna queja relacionada con agentes de Tránsito ni policías municipales. Señaló queno todos los reportes corresponden a quejas formales,ya que también se reciben sugerencias e incluso reconocimientos hacia algunos elementos por su actuación y apoyo a la ciudadanía. Asimismo,hizo un llamado a la población para que las denuncias se presenten por los canales formalesy no únicamente a través de redes sociales, con el objetivo de garantizar un debido proceso tanto para los ciudadanos como para los servidores públicos. Entre las principales causas de las quejas que presenta la ciudadanía, dijo,destacan el presunto abuso de autoridad y posibles casos de cohecho;sin embargo, explicó que no todas las situaciones constituyen faltas administrativas, ya que algunas son canalizadas a las áreas de asuntos internos de las corporaciones para su análisis, de acuerdo con los reglamentos internos. El contralor municipalreconoció el trabajo de la alcaldesa en materia de prevención y combate a la corrupción,a través de las recientes capacitaciones impartidas por el fiscal anticorrupción y los programas de formación permanente que llevan a cabo las direcciones de Tránsito y Seguridad Pública.</v>
      </c>
      <c r="O64" s="15">
        <f>IFERROR(__xludf.DUMMYFUNCTION("""COMPUTED_VALUE"""),0.4996)</f>
        <v>0.4996</v>
      </c>
      <c r="P64" s="2"/>
      <c r="Q64" s="17">
        <f>IFERROR(__xludf.DUMMYFUNCTION("""COMPUTED_VALUE"""),0.0)</f>
        <v>0</v>
      </c>
      <c r="R64" s="2" t="str">
        <f>IFERROR(__xludf.DUMMYFUNCTION("""COMPUTED_VALUE"""),"Low")</f>
        <v>Low</v>
      </c>
      <c r="S64" s="17">
        <f>IFERROR(__xludf.DUMMYFUNCTION("""COMPUTED_VALUE"""),0.0)</f>
        <v>0</v>
      </c>
      <c r="T64" s="17">
        <f>IFERROR(__xludf.DUMMYFUNCTION("""COMPUTED_VALUE"""),0.0)</f>
        <v>0</v>
      </c>
      <c r="U64" s="14">
        <f>IFERROR(__xludf.DUMMYFUNCTION("""COMPUTED_VALUE"""),3.0)</f>
        <v>3</v>
      </c>
      <c r="V64" s="14">
        <v>2025.0</v>
      </c>
      <c r="W64" s="2" t="s">
        <v>1168</v>
      </c>
      <c r="X64" s="2" t="s">
        <v>1199</v>
      </c>
      <c r="Y64" s="13" t="s">
        <v>274</v>
      </c>
      <c r="Z64" s="14">
        <v>0.0</v>
      </c>
      <c r="AA64" s="14">
        <v>0.0</v>
      </c>
      <c r="AB64" s="14">
        <v>0.0</v>
      </c>
      <c r="AC64" s="14">
        <v>0.0</v>
      </c>
      <c r="AD64" s="2">
        <v>0.0</v>
      </c>
      <c r="AE64" s="2">
        <v>0.0</v>
      </c>
      <c r="AF64" s="2">
        <v>12.0</v>
      </c>
      <c r="AG64" s="2" t="s">
        <v>1172</v>
      </c>
      <c r="AH64" s="2">
        <v>0.0</v>
      </c>
    </row>
    <row r="65" ht="15.75" customHeight="1">
      <c r="A65" s="2" t="str">
        <f>IFERROR(__xludf.DUMMYFUNCTION("""COMPUTED_VALUE"""),"Milenio")</f>
        <v>Milenio</v>
      </c>
      <c r="B65" s="12" t="str">
        <f>IFERROR(__xludf.DUMMYFUNCTION("""COMPUTED_VALUE"""),"Michoacán inicia operativo de seguridad para blindar zona del Aeropuerto de Morelia")</f>
        <v>Michoacán inicia operativo de seguridad para blindar zona del Aeropuerto de Morelia</v>
      </c>
      <c r="C65" s="13" t="str">
        <f>IFERROR(__xludf.DUMMYFUNCTION("""COMPUTED_VALUE"""),"2025-12-20 23:23:00")</f>
        <v>2025-12-20 23:23:00</v>
      </c>
      <c r="D65" s="14">
        <f>IFERROR(__xludf.DUMMYFUNCTION("""COMPUTED_VALUE"""),1.0)</f>
        <v>1</v>
      </c>
      <c r="E65" s="15">
        <f>IFERROR(__xludf.DUMMYFUNCTION("""COMPUTED_VALUE"""),0.4492)</f>
        <v>0.4492</v>
      </c>
      <c r="F65" s="2" t="str">
        <f>IFERROR(__xludf.DUMMYFUNCTION("""COMPUTED_VALUE"""),"Positivo")</f>
        <v>Positivo</v>
      </c>
      <c r="G65" s="15">
        <f>IFERROR(__xludf.DUMMYFUNCTION("""COMPUTED_VALUE"""),0.4492)</f>
        <v>0.4492</v>
      </c>
      <c r="H65" s="2" t="str">
        <f>IFERROR(__xludf.DUMMYFUNCTION("""COMPUTED_VALUE"""),"Noticia corporativa o regulación de transporte")</f>
        <v>Noticia corporativa o regulación de transporte</v>
      </c>
      <c r="I65" s="2" t="str">
        <f>IFERROR(__xludf.DUMMYFUNCTION("""COMPUTED_VALUE"""),"N/A")</f>
        <v>N/A</v>
      </c>
      <c r="J65" s="2" t="str">
        <f>IFERROR(__xludf.DUMMYFUNCTION("""COMPUTED_VALUE"""),"Monitoreo general.")</f>
        <v>Monitoreo general.</v>
      </c>
      <c r="K65" s="2" t="str">
        <f>IFERROR(__xludf.DUMMYFUNCTION("""COMPUTED_VALUE"""),"Michoacán")</f>
        <v>Michoacán</v>
      </c>
      <c r="L65" s="2" t="str">
        <f>IFERROR(__xludf.DUMMYFUNCTION("""COMPUTED_VALUE"""),"Michoacán")</f>
        <v>Michoacán</v>
      </c>
      <c r="M65" s="16" t="str">
        <f>IFERROR(__xludf.DUMMYFUNCTION("""COMPUTED_VALUE"""),"https://www.milenio.com/policia/blindan-zona-del-aeropuerto-de-morelia-michoacan-ramirez-bedolla")</f>
        <v>https://www.milenio.com/policia/blindan-zona-del-aeropuerto-de-morelia-michoacan-ramirez-bedolla</v>
      </c>
      <c r="N65" s="2" t="str">
        <f>IFERROR(__xludf.DUMMYFUNCTION("""COMPUTED_VALUE"""),"El gobernador de Michoacán, Alfredo Ramírez Bedolla, puso en marcha el operativo interinstitucionalGuardianes del Caminocon el objetivo defortalecer la seguridad en la red carretera que conecta con la zona del Aeropuerto de Morelia. En el despliegue opera"&amp;"tivoparticipan agentesde la Guardia Civil, Guardia Nacional, Policía de Morelia y agentes delos municipios de Álvaro Obregón, Queréndaro y Zinapécuaro, quienes operarán las 24 horas del día. ​Reforzamiento de seguridad: Plan Michoacán El mandatario estata"&amp;"l señaló que se vigilará la carretera federal desde El Trébol, municipio de Tarímbaro, Álvaro Obregón, aeropuerto, hasta el municipio de Zinapécuaro,con estas nuevas patrullas recientemente adquiridas Police Interceptor, que son desde la planta armadas pa"&amp;"ra cumplir una función policial. Resaltó que este operativo se pone en marchacomo parte del Plan Michoacán por la Paz y la Justicia, el cual tiene el propósito dereforzar la seguridad y brindar certeza al tránsito de personas y mercancías en la zona. Ramí"&amp;"rez Bedolla manifestó que la semana pasada también se inició este esquema de seguridad en la región Tocumbo, y de manera paulatinase contempla en 15 rutas, a fin de evitar la comisión de hechos delictivos en las carreteras con mayor flujo vehicular. Hoy p"&amp;"onemos en marcha el operativo Guardianes del Camino en la región centro. Reforzamos la vigilancia en los municipios de Álvaro Obregón, Morelia, Queréndaro y Zinapécuaro para que tú y tu familia viajen con total tranquilidad por nuestras carreteras.Queremo"&amp;"s que cada…pic.twitter.com/RjWcNr5Sw1 En tanto, el secretario de Seguridad Pública, José Antonio Cruz Medina, informó quelos agentes se encuentran capacitados para desarrollar labores de proximidad social, generar una respuesta inmediata para la prevenció"&amp;"n del delito yante cualquier situación. Además, todos los oficiales cuentan con una cámara corporal ""bodycam"", la cual tieneconexión directa con el C5para llevar a cabo su actuar con eficacia,privilegiando la seguridad del ciudadano. En el marco del Pla"&amp;"n Michoacán para la Paz y la Justicia, autoridades federales y estatales presentaron en Morelia elCertificado Laboral para la Agroexportación y la plataforma digital VELAGRO. Un mecanismo diseñado para garantizar que las exportaciones agrícolas, iniciando"&amp;" con el aguacate,cuenten con mano de obra formal y condiciones de trabajo digno. Este sistema verificará que cada embarque tenga trabajadores afiliados al Instituto Mexicano del Seguro Social (IMSS), cumpliendo con la legislación laboral y la seguridad so"&amp;"cial. El objetivo es que el mundo reconozca no solo la calidad del aguacate michoacano, sino también su responsabilidad social en toda la cadena de producción. El esquema operará inicialmente con el aguacate hass y se prevé que se extienda a otros product"&amp;"os agrícolas de exportación en próximos años. Además de fortalecer la formalización laboral, se busca posicionar al sector agrícola mexicano como ejemplo en materia de derechos laborales y competitividad global, lo que podría influir positivamente en las "&amp;"futuras negociaciones del T-MEC y en la percepción internacional del producto mexicano.")</f>
        <v>El gobernador de Michoacán, Alfredo Ramírez Bedolla, puso en marcha el operativo interinstitucionalGuardianes del Caminocon el objetivo defortalecer la seguridad en la red carretera que conecta con la zona del Aeropuerto de Morelia. En el despliegue operativoparticipan agentesde la Guardia Civil, Guardia Nacional, Policía de Morelia y agentes delos municipios de Álvaro Obregón, Queréndaro y Zinapécuaro, quienes operarán las 24 horas del día. ​Reforzamiento de seguridad: Plan Michoacán El mandatario estatal señaló que se vigilará la carretera federal desde El Trébol, municipio de Tarímbaro, Álvaro Obregón, aeropuerto, hasta el municipio de Zinapécuaro,con estas nuevas patrullas recientemente adquiridas Police Interceptor, que son desde la planta armadas para cumplir una función policial. Resaltó que este operativo se pone en marchacomo parte del Plan Michoacán por la Paz y la Justicia, el cual tiene el propósito dereforzar la seguridad y brindar certeza al tránsito de personas y mercancías en la zona. Ramírez Bedolla manifestó que la semana pasada también se inició este esquema de seguridad en la región Tocumbo, y de manera paulatinase contempla en 15 rutas, a fin de evitar la comisión de hechos delictivos en las carreteras con mayor flujo vehicular. Hoy ponemos en marcha el operativo Guardianes del Camino en la región centro. Reforzamos la vigilancia en los municipios de Álvaro Obregón, Morelia, Queréndaro y Zinapécuaro para que tú y tu familia viajen con total tranquilidad por nuestras carreteras.Queremos que cada…pic.twitter.com/RjWcNr5Sw1 En tanto, el secretario de Seguridad Pública, José Antonio Cruz Medina, informó quelos agentes se encuentran capacitados para desarrollar labores de proximidad social, generar una respuesta inmediata para la prevención del delito yante cualquier situación. Además, todos los oficiales cuentan con una cámara corporal "bodycam", la cual tieneconexión directa con el C5para llevar a cabo su actuar con eficacia,privilegiando la seguridad del ciudadano. En el marco del Plan Michoacán para la Paz y la Justicia, autoridades federales y estatales presentaron en Morelia elCertificado Laboral para la Agroexportación y la plataforma digital VELAGRO. Un mecanismo diseñado para garantizar que las exportaciones agrícolas, iniciando con el aguacate,cuenten con mano de obra formal y condiciones de trabajo digno. Este sistema verificará que cada embarque tenga trabajadores afiliados al Instituto Mexicano del Seguro Social (IMSS), cumpliendo con la legislación laboral y la seguridad social. El objetivo es que el mundo reconozca no solo la calidad del aguacate michoacano, sino también su responsabilidad social en toda la cadena de producción. El esquema operará inicialmente con el aguacate hass y se prevé que se extienda a otros productos agrícolas de exportación en próximos años. Además de fortalecer la formalización laboral, se busca posicionar al sector agrícola mexicano como ejemplo en materia de derechos laborales y competitividad global, lo que podría influir positivamente en las futuras negociaciones del T-MEC y en la percepción internacional del producto mexicano.</v>
      </c>
      <c r="O65" s="15">
        <f>IFERROR(__xludf.DUMMYFUNCTION("""COMPUTED_VALUE"""),0.3229)</f>
        <v>0.3229</v>
      </c>
      <c r="P65" s="2"/>
      <c r="Q65" s="17">
        <f>IFERROR(__xludf.DUMMYFUNCTION("""COMPUTED_VALUE"""),8.5)</f>
        <v>8.5</v>
      </c>
      <c r="R65" s="2" t="str">
        <f>IFERROR(__xludf.DUMMYFUNCTION("""COMPUTED_VALUE"""),"Low")</f>
        <v>Low</v>
      </c>
      <c r="S65" s="17">
        <f>IFERROR(__xludf.DUMMYFUNCTION("""COMPUTED_VALUE"""),0.0)</f>
        <v>0</v>
      </c>
      <c r="T65" s="17">
        <f>IFERROR(__xludf.DUMMYFUNCTION("""COMPUTED_VALUE"""),0.0)</f>
        <v>0</v>
      </c>
      <c r="U65" s="14">
        <f>IFERROR(__xludf.DUMMYFUNCTION("""COMPUTED_VALUE"""),3.0)</f>
        <v>3</v>
      </c>
      <c r="V65" s="14">
        <v>2025.0</v>
      </c>
      <c r="W65" s="2" t="s">
        <v>1168</v>
      </c>
      <c r="X65" s="2" t="s">
        <v>1194</v>
      </c>
      <c r="Y65" s="13" t="s">
        <v>278</v>
      </c>
      <c r="Z65" s="14">
        <v>0.0</v>
      </c>
      <c r="AA65" s="14">
        <v>0.0</v>
      </c>
      <c r="AB65" s="14">
        <v>0.0</v>
      </c>
      <c r="AC65" s="14">
        <v>0.0</v>
      </c>
      <c r="AD65" s="2">
        <v>0.0</v>
      </c>
      <c r="AE65" s="2">
        <v>0.0</v>
      </c>
      <c r="AF65" s="2">
        <v>12.0</v>
      </c>
      <c r="AG65" s="2" t="s">
        <v>1174</v>
      </c>
      <c r="AH65" s="2">
        <v>0.0</v>
      </c>
    </row>
    <row r="66" ht="15.75" customHeight="1">
      <c r="A66" s="2" t="str">
        <f>IFERROR(__xludf.DUMMYFUNCTION("""COMPUTED_VALUE"""),"Milenio")</f>
        <v>Milenio</v>
      </c>
      <c r="B66" s="12" t="str">
        <f>IFERROR(__xludf.DUMMYFUNCTION("""COMPUTED_VALUE"""),"Director de la Policía Municipal de Asientos, Aguascalientes, resulta herido tras volcadura")</f>
        <v>Director de la Policía Municipal de Asientos, Aguascalientes, resulta herido tras volcadura</v>
      </c>
      <c r="C66" s="13" t="str">
        <f>IFERROR(__xludf.DUMMYFUNCTION("""COMPUTED_VALUE"""),"2025-12-20 09:29:00")</f>
        <v>2025-12-20 09:29:00</v>
      </c>
      <c r="D66" s="14">
        <f>IFERROR(__xludf.DUMMYFUNCTION("""COMPUTED_VALUE"""),2.0)</f>
        <v>2</v>
      </c>
      <c r="E66" s="15">
        <f>IFERROR(__xludf.DUMMYFUNCTION("""COMPUTED_VALUE"""),-0.6323)</f>
        <v>-0.6323</v>
      </c>
      <c r="F66" s="2" t="str">
        <f>IFERROR(__xludf.DUMMYFUNCTION("""COMPUTED_VALUE"""),"Negativo")</f>
        <v>Negativo</v>
      </c>
      <c r="G66" s="15">
        <f>IFERROR(__xludf.DUMMYFUNCTION("""COMPUTED_VALUE"""),0.6323)</f>
        <v>0.6323</v>
      </c>
      <c r="H66" s="2" t="str">
        <f>IFERROR(__xludf.DUMMYFUNCTION("""COMPUTED_VALUE"""),"Accidente de tránsito o choque vial")</f>
        <v>Accidente de tránsito o choque vial</v>
      </c>
      <c r="I66" s="2" t="str">
        <f>IFERROR(__xludf.DUMMYFUNCTION("""COMPUTED_VALUE"""),"volcadura")</f>
        <v>volcadura</v>
      </c>
      <c r="J66" s="2" t="str">
        <f>IFERROR(__xludf.DUMMYFUNCTION("""COMPUTED_VALUE"""),"Seguridad Vial: Monitoreo de zona.")</f>
        <v>Seguridad Vial: Monitoreo de zona.</v>
      </c>
      <c r="K66" s="2" t="str">
        <f>IFERROR(__xludf.DUMMYFUNCTION("""COMPUTED_VALUE"""),"Aguascalientes")</f>
        <v>Aguascalientes</v>
      </c>
      <c r="L66" s="2" t="str">
        <f>IFERROR(__xludf.DUMMYFUNCTION("""COMPUTED_VALUE"""),"Aguascalientes")</f>
        <v>Aguascalientes</v>
      </c>
      <c r="M66" s="16" t="str">
        <f>IFERROR(__xludf.DUMMYFUNCTION("""COMPUTED_VALUE"""),"https://www.milenio.com/estados/titular-policia-de-asientos-aguascalientes-sufre-accidente-carretera")</f>
        <v>https://www.milenio.com/estados/titular-policia-de-asientos-aguascalientes-sufre-accidente-carretera</v>
      </c>
      <c r="N66" s="2" t="str">
        <f>IFERROR(__xludf.DUMMYFUNCTION("""COMPUTED_VALUE"""),"El director de laPolicía Municipal de Asientos,Alejandro Carranza, se volcó cuando circulaba a bordo de su patrulla junto con su escolta. Los hechos ocurrieron en la carretera 43, en elmunicipio de Asientos. El director junto con su escolta, circulaban po"&amp;"r dicha carretera cuando se les atravesó unmotociclista; para evitar impactarlo, perdieron el control del vehículo, salió de la cinta asfáltica y terminóvolcado. El director fue trasladado alHospital Miguel Hidalgoa bordo de un helicóptero para recibir at"&amp;"ención médica. El escolta, identificado comoPablo, fue trasladado para recibir atención médica a bordo de unaambulancia. El municipio de Asientos se localiza en elnoreste del estado de Aguascalientes, en la región limítrofe conZacatecas. Es conocido por s"&amp;"u cabecera,Real de Asientos, un Pueblo Mágico. Asientos se encuentra aproximadamente a 60 kilómetros de la ciudad de Aguascalientes, capital del estado. La cabecera municipal, Real de Asientos, fue fundada en el siglo XVI como un importantecentro minero.")</f>
        <v>El director de laPolicía Municipal de Asientos,Alejandro Carranza, se volcó cuando circulaba a bordo de su patrulla junto con su escolta. Los hechos ocurrieron en la carretera 43, en elmunicipio de Asientos. El director junto con su escolta, circulaban por dicha carretera cuando se les atravesó unmotociclista; para evitar impactarlo, perdieron el control del vehículo, salió de la cinta asfáltica y terminóvolcado. El director fue trasladado alHospital Miguel Hidalgoa bordo de un helicóptero para recibir atención médica. El escolta, identificado comoPablo, fue trasladado para recibir atención médica a bordo de unaambulancia. El municipio de Asientos se localiza en elnoreste del estado de Aguascalientes, en la región limítrofe conZacatecas. Es conocido por su cabecera,Real de Asientos, un Pueblo Mágico. Asientos se encuentra aproximadamente a 60 kilómetros de la ciudad de Aguascalientes, capital del estado. La cabecera municipal, Real de Asientos, fue fundada en el siglo XVI como un importantecentro minero.</v>
      </c>
      <c r="O66" s="15">
        <f>IFERROR(__xludf.DUMMYFUNCTION("""COMPUTED_VALUE"""),1.0)</f>
        <v>1</v>
      </c>
      <c r="P66" s="2"/>
      <c r="Q66" s="17">
        <f>IFERROR(__xludf.DUMMYFUNCTION("""COMPUTED_VALUE"""),6.5)</f>
        <v>6.5</v>
      </c>
      <c r="R66" s="2" t="str">
        <f>IFERROR(__xludf.DUMMYFUNCTION("""COMPUTED_VALUE"""),"Low")</f>
        <v>Low</v>
      </c>
      <c r="S66" s="17">
        <f>IFERROR(__xludf.DUMMYFUNCTION("""COMPUTED_VALUE"""),0.0)</f>
        <v>0</v>
      </c>
      <c r="T66" s="17">
        <f>IFERROR(__xludf.DUMMYFUNCTION("""COMPUTED_VALUE"""),0.0)</f>
        <v>0</v>
      </c>
      <c r="U66" s="14">
        <f>IFERROR(__xludf.DUMMYFUNCTION("""COMPUTED_VALUE"""),3.0)</f>
        <v>3</v>
      </c>
      <c r="V66" s="14">
        <v>2025.0</v>
      </c>
      <c r="W66" s="2" t="s">
        <v>1168</v>
      </c>
      <c r="X66" s="2" t="s">
        <v>1194</v>
      </c>
      <c r="Y66" s="13" t="s">
        <v>283</v>
      </c>
      <c r="Z66" s="14">
        <v>0.0</v>
      </c>
      <c r="AA66" s="14">
        <v>0.0</v>
      </c>
      <c r="AB66" s="14">
        <v>0.0</v>
      </c>
      <c r="AC66" s="14">
        <v>0.0</v>
      </c>
      <c r="AD66" s="2">
        <v>0.0</v>
      </c>
      <c r="AE66" s="2">
        <v>0.0</v>
      </c>
      <c r="AF66" s="2">
        <v>12.0</v>
      </c>
      <c r="AG66" s="2" t="s">
        <v>1191</v>
      </c>
      <c r="AH66" s="2">
        <v>0.0</v>
      </c>
    </row>
    <row r="67" ht="15.75" customHeight="1">
      <c r="A67" s="2" t="str">
        <f>IFERROR(__xludf.DUMMYFUNCTION("""COMPUTED_VALUE"""),"Milenio")</f>
        <v>Milenio</v>
      </c>
      <c r="B67" s="12" t="str">
        <f>IFERROR(__xludf.DUMMYFUNCTION("""COMPUTED_VALUE"""),"Coyoacán refuerza seguridad con operativo especial durante vacaciones decembrinas")</f>
        <v>Coyoacán refuerza seguridad con operativo especial durante vacaciones decembrinas</v>
      </c>
      <c r="C67" s="13" t="str">
        <f>IFERROR(__xludf.DUMMYFUNCTION("""COMPUTED_VALUE"""),"2025-12-19 23:10:00")</f>
        <v>2025-12-19 23:10:00</v>
      </c>
      <c r="D67" s="14">
        <f>IFERROR(__xludf.DUMMYFUNCTION("""COMPUTED_VALUE"""),2.0)</f>
        <v>2</v>
      </c>
      <c r="E67" s="15">
        <f>IFERROR(__xludf.DUMMYFUNCTION("""COMPUTED_VALUE"""),0.0)</f>
        <v>0</v>
      </c>
      <c r="F67" s="2" t="str">
        <f>IFERROR(__xludf.DUMMYFUNCTION("""COMPUTED_VALUE"""),"Neutral")</f>
        <v>Neutral</v>
      </c>
      <c r="G67" s="15">
        <f>IFERROR(__xludf.DUMMYFUNCTION("""COMPUTED_VALUE"""),0.4712)</f>
        <v>0.4712</v>
      </c>
      <c r="H67" s="2" t="str">
        <f>IFERROR(__xludf.DUMMYFUNCTION("""COMPUTED_VALUE"""),"Operativo policial o detención")</f>
        <v>Operativo policial o detención</v>
      </c>
      <c r="I67" s="2" t="str">
        <f>IFERROR(__xludf.DUMMYFUNCTION("""COMPUTED_VALUE"""),"N/A")</f>
        <v>N/A</v>
      </c>
      <c r="J67" s="2" t="str">
        <f>IFERROR(__xludf.DUMMYFUNCTION("""COMPUTED_VALUE"""),"Monitoreo general.")</f>
        <v>Monitoreo general.</v>
      </c>
      <c r="K67" s="2" t="str">
        <f>IFERROR(__xludf.DUMMYFUNCTION("""COMPUTED_VALUE"""),"Coyoacán")</f>
        <v>Coyoacán</v>
      </c>
      <c r="L67" s="2" t="str">
        <f>IFERROR(__xludf.DUMMYFUNCTION("""COMPUTED_VALUE"""),"Ciudad de México")</f>
        <v>Ciudad de México</v>
      </c>
      <c r="M67" s="16" t="str">
        <f>IFERROR(__xludf.DUMMYFUNCTION("""COMPUTED_VALUE"""),"https://www.milenio.com/policia/coyoacan-refuerza-seguridad-y-vigilancia-en-temporada-navidena")</f>
        <v>https://www.milenio.com/policia/coyoacan-refuerza-seguridad-y-vigilancia-en-temporada-navidena</v>
      </c>
      <c r="N67" s="2" t="str">
        <f>IFERROR(__xludf.DUMMYFUNCTION("""COMPUTED_VALUE"""),"La alcaldía Coyoacán puso en marcha elOperativo de Seguridad Decembrino 2025, una estrategia integral que contempla recorridos permanentes yacciones de vigilancia coordinadas entre autoridades locales y federales. El operativo se realizó en el Parque Frid"&amp;"a Kahlo, dondeautoridades de la demarcación informaron que las labores de seguridad se llevarán a cabo en coordinación conla Guardia Nacional, la Secretaría de Marina, la Secretaría de la Defensa Nacional y dependencias del Gobierno de laCiudad de México."&amp;" El despliegue tiene como finalidadgarantizar el orden, la tranquilidad y la sana convivencia de las familiasque habitan o visitan Coyoacán durante las fiestas decembrinas. Durante el acto protocolario, la directora general de Seguridad Ciudadana, Aurora "&amp;"Monserrat Cruz, en representación del alcalde Giovani Gutiérrez Aguilar,destacó que la seguridad de la población es una prioridad permanente. Particularmente en esta época caracterizadapor el incremento de actividades comerciales, recreativas y de convive"&amp;"ncia social. Señaló que la estrategia se basa en el trabajo transversal entre autoridades y en elfortalecimiento de la prevención del delito. En esta temporada de “Fiestas Decembrinas” y vacaciones, ten la seguridad de que#EscudoCoyoacánen conjunto con la"&amp;"@Semar_mxla@Defensamx1, la@GN_Mexico_y la Unidad de Gestión Integral de Riesgos y Protección Civil te protegeremos a ti y a tu familia. Cuidémonos entre todos.pic.twitter.com/7kgmRYXxJh La funcionaria subrayó además la importancia de la corresponsabilidad"&amp;" social, al considerar que la participación activa de la ciudadanía es un elemento clave paramantener condiciones de paz y seguridad en la demarcación. Por su parte, el titular de la Unidad de Gestión Integral de Riesgos y Protección Civil, Jorge Peña, hi"&amp;"zo un llamado a la población paraextremar medidas preventivas durante este periodo. Entre las principales recomendaciones, destacóevitar el uso de pirotecnia, debido a los riesgos de quemaduras, especialmente en niñas y niños, así como la posibilidad de p"&amp;"rovocar incendios. Asimismo, exhortó arevisar las instalaciones eléctricas y de gas en los hogares, tomar previsiones al salir de casa durante las vacaciones yevitar conducir bajo los efectos del alcohol. También pidió especial atención para elcuidado de "&amp;"personas adultas mayores, personas con discapacidad y menores de edad. Las autoridades informaron queel operativo contempla vigilancia las 24 horas del día, los siete días de la semana, así comouna coordinación permanente con instancias de atención a emer"&amp;"gencias. En caso de cualquier eventualidad,la población puede comunicarse al número de emergencias 911o a los canales de atención de la alcaldía. Finalmente,se reiteró que la seguridad es una tarea compartida entre autoridades y ciudadanía, y que la colab"&amp;"oración responsable de las y los vecinos es fundamental parapreservar a Coyoacán como un espacio seguro durante las festividades decembrinas.")</f>
        <v>La alcaldía Coyoacán puso en marcha elOperativo de Seguridad Decembrino 2025, una estrategia integral que contempla recorridos permanentes yacciones de vigilancia coordinadas entre autoridades locales y federales. El operativo se realizó en el Parque Frida Kahlo, dondeautoridades de la demarcación informaron que las labores de seguridad se llevarán a cabo en coordinación conla Guardia Nacional, la Secretaría de Marina, la Secretaría de la Defensa Nacional y dependencias del Gobierno de laCiudad de México. El despliegue tiene como finalidadgarantizar el orden, la tranquilidad y la sana convivencia de las familiasque habitan o visitan Coyoacán durante las fiestas decembrinas. Durante el acto protocolario, la directora general de Seguridad Ciudadana, Aurora Monserrat Cruz, en representación del alcalde Giovani Gutiérrez Aguilar,destacó que la seguridad de la población es una prioridad permanente. Particularmente en esta época caracterizadapor el incremento de actividades comerciales, recreativas y de convivencia social. Señaló que la estrategia se basa en el trabajo transversal entre autoridades y en elfortalecimiento de la prevención del delito. En esta temporada de “Fiestas Decembrinas” y vacaciones, ten la seguridad de que#EscudoCoyoacánen conjunto con la@Semar_mxla@Defensamx1, la@GN_Mexico_y la Unidad de Gestión Integral de Riesgos y Protección Civil te protegeremos a ti y a tu familia. Cuidémonos entre todos.pic.twitter.com/7kgmRYXxJh La funcionaria subrayó además la importancia de la corresponsabilidad social, al considerar que la participación activa de la ciudadanía es un elemento clave paramantener condiciones de paz y seguridad en la demarcación. Por su parte, el titular de la Unidad de Gestión Integral de Riesgos y Protección Civil, Jorge Peña, hizo un llamado a la población paraextremar medidas preventivas durante este periodo. Entre las principales recomendaciones, destacóevitar el uso de pirotecnia, debido a los riesgos de quemaduras, especialmente en niñas y niños, así como la posibilidad de provocar incendios. Asimismo, exhortó arevisar las instalaciones eléctricas y de gas en los hogares, tomar previsiones al salir de casa durante las vacaciones yevitar conducir bajo los efectos del alcohol. También pidió especial atención para elcuidado de personas adultas mayores, personas con discapacidad y menores de edad. Las autoridades informaron queel operativo contempla vigilancia las 24 horas del día, los siete días de la semana, así comouna coordinación permanente con instancias de atención a emergencias. En caso de cualquier eventualidad,la población puede comunicarse al número de emergencias 911o a los canales de atención de la alcaldía. Finalmente,se reiteró que la seguridad es una tarea compartida entre autoridades y ciudadanía, y que la colaboración responsable de las y los vecinos es fundamental parapreservar a Coyoacán como un espacio seguro durante las festividades decembrinas.</v>
      </c>
      <c r="O67" s="15">
        <f>IFERROR(__xludf.DUMMYFUNCTION("""COMPUTED_VALUE"""),0.3645)</f>
        <v>0.3645</v>
      </c>
      <c r="P67" s="2"/>
      <c r="Q67" s="17">
        <f>IFERROR(__xludf.DUMMYFUNCTION("""COMPUTED_VALUE"""),8.5)</f>
        <v>8.5</v>
      </c>
      <c r="R67" s="2" t="str">
        <f>IFERROR(__xludf.DUMMYFUNCTION("""COMPUTED_VALUE"""),"Low")</f>
        <v>Low</v>
      </c>
      <c r="S67" s="17">
        <f>IFERROR(__xludf.DUMMYFUNCTION("""COMPUTED_VALUE"""),0.0)</f>
        <v>0</v>
      </c>
      <c r="T67" s="17">
        <f>IFERROR(__xludf.DUMMYFUNCTION("""COMPUTED_VALUE"""),0.0)</f>
        <v>0</v>
      </c>
      <c r="U67" s="14">
        <f>IFERROR(__xludf.DUMMYFUNCTION("""COMPUTED_VALUE"""),3.0)</f>
        <v>3</v>
      </c>
      <c r="V67" s="14">
        <v>2025.0</v>
      </c>
      <c r="W67" s="2" t="s">
        <v>1168</v>
      </c>
      <c r="X67" s="2" t="s">
        <v>1199</v>
      </c>
      <c r="Y67" s="13" t="s">
        <v>288</v>
      </c>
      <c r="Z67" s="14">
        <v>0.0</v>
      </c>
      <c r="AA67" s="14">
        <v>0.0</v>
      </c>
      <c r="AB67" s="14">
        <v>0.0</v>
      </c>
      <c r="AC67" s="14">
        <v>0.0</v>
      </c>
      <c r="AD67" s="2">
        <v>0.0</v>
      </c>
      <c r="AE67" s="2">
        <v>0.0</v>
      </c>
      <c r="AF67" s="2">
        <v>12.0</v>
      </c>
      <c r="AG67" s="2" t="s">
        <v>1200</v>
      </c>
      <c r="AH67" s="2">
        <v>0.0</v>
      </c>
    </row>
    <row r="68" ht="15.75" customHeight="1">
      <c r="A68" s="2" t="str">
        <f>IFERROR(__xludf.DUMMYFUNCTION("""COMPUTED_VALUE"""),"Milenio")</f>
        <v>Milenio</v>
      </c>
      <c r="B68" s="12" t="str">
        <f>IFERROR(__xludf.DUMMYFUNCTION("""COMPUTED_VALUE"""),"En Acambay, autoridades refuerzan seguridad ante pugna de grupos delicuenciales")</f>
        <v>En Acambay, autoridades refuerzan seguridad ante pugna de grupos delicuenciales</v>
      </c>
      <c r="C68" s="13" t="str">
        <f>IFERROR(__xludf.DUMMYFUNCTION("""COMPUTED_VALUE"""),"2025-12-11 17:06:00")</f>
        <v>2025-12-11 17:06:00</v>
      </c>
      <c r="D68" s="14">
        <f>IFERROR(__xludf.DUMMYFUNCTION("""COMPUTED_VALUE"""),5.0)</f>
        <v>5</v>
      </c>
      <c r="E68" s="15">
        <f>IFERROR(__xludf.DUMMYFUNCTION("""COMPUTED_VALUE"""),-0.6476)</f>
        <v>-0.6476</v>
      </c>
      <c r="F68" s="2" t="str">
        <f>IFERROR(__xludf.DUMMYFUNCTION("""COMPUTED_VALUE"""),"Negativo")</f>
        <v>Negativo</v>
      </c>
      <c r="G68" s="15">
        <f>IFERROR(__xludf.DUMMYFUNCTION("""COMPUTED_VALUE"""),0.6476)</f>
        <v>0.6476</v>
      </c>
      <c r="H68" s="2" t="str">
        <f>IFERROR(__xludf.DUMMYFUNCTION("""COMPUTED_VALUE"""),"Otros temas generales")</f>
        <v>Otros temas generales</v>
      </c>
      <c r="I68" s="2" t="str">
        <f>IFERROR(__xludf.DUMMYFUNCTION("""COMPUTED_VALUE"""),"N/A")</f>
        <v>N/A</v>
      </c>
      <c r="J68" s="2" t="str">
        <f>IFERROR(__xludf.DUMMYFUNCTION("""COMPUTED_VALUE"""),"Descartar / Baja prioridad.")</f>
        <v>Descartar / Baja prioridad.</v>
      </c>
      <c r="K68" s="2" t="str">
        <f>IFERROR(__xludf.DUMMYFUNCTION("""COMPUTED_VALUE"""),"Estado de México")</f>
        <v>Estado de México</v>
      </c>
      <c r="L68" s="2" t="str">
        <f>IFERROR(__xludf.DUMMYFUNCTION("""COMPUTED_VALUE"""),"Estado de México")</f>
        <v>Estado de México</v>
      </c>
      <c r="M68" s="16" t="str">
        <f>IFERROR(__xludf.DUMMYFUNCTION("""COMPUTED_VALUE"""),"https://www.milenio.com/policia/autoridades-de-acambay-refuerzan-seguridad-por-grupos-criminales")</f>
        <v>https://www.milenio.com/policia/autoridades-de-acambay-refuerzan-seguridad-por-grupos-criminales</v>
      </c>
      <c r="N68" s="2" t="str">
        <f>IFERROR(__xludf.DUMMYFUNCTION("""COMPUTED_VALUE"""),"El secretario general de Gobierno, Horacio Duarte Olivares, advirtió quese ha detectado una pugna entre dos grupos delictivosquebuscan controlar la zona norte delEstado de México, por lo que informó se reforzó la seguridad. Ante ello las autoridades asegu"&amp;"raron se no se ha registrado incremento en la incidencia delictiva. En entrevista, el secretario general refirió que uno de los sucesos que generaron alarma fue ladetención de 12 elementos de la Dirección de Seguridad Pública Municipal, entre ellos su com"&amp;"isario, tras el enfrentamiento con policías estatales quedejó un muerto y cuatro lesionados el pasado 22 de noviembre. Por esos hechos, el encargado de la política interna informó quese desplegaron 40 elementosde la Secretaría de Seguridad estatal (SSEM),"&amp;" quienesse suman a los aproximadamente 27 policías municipalescon los que cuenta la corporación para mantener patrullajes yreforzar la seguridad en el municipio mexiquense. Tras enfrentamiento en Acambay, Policía Estatal asume dirección de seguridad munic"&amp;"ipal????️@abadielmtzpic.twitter.com/diFIAnsgEE Duarte Olivaresnegó que la administración estatal haya asumido la dirección de seguridaddel municipio, ya que mencionó que la presidenta municipalcuenta con la facultades que la ley le otorga para designar a "&amp;"su comisario. Por su parte, el Ayuntamiento en un comunicadoinformó que no se ha designado a ningún director de Seguridad Pública Municipalsolo hay un encargado de despacho. En el norte del Estado de México, particularmente en Acambay,operan células delic"&amp;"tivascomoLos Torrijos, involucradas enextorsión a comerciantes, secuestros, robo de carga y delitos contra la salud, en pugna con otros grupos posiblemente originarios de Michoacán. La regiónsufre infiltración policial, evidenciada por lasentencia de 46 a"&amp;" 68 añoscontra el ex comisarioEulises González Hernándezpordesaparición forzada y extorsiónen la Operación Enjambre, donde entregó armas a criminales. Autoridadeshan detenido líderescomo Jonathan 'N' deLos Torrijosy desplegado más fuerzas paracombatir la "&amp;"corrupción y disputas territoriales.")</f>
        <v>El secretario general de Gobierno, Horacio Duarte Olivares, advirtió quese ha detectado una pugna entre dos grupos delictivosquebuscan controlar la zona norte delEstado de México, por lo que informó se reforzó la seguridad. Ante ello las autoridades aseguraron se no se ha registrado incremento en la incidencia delictiva. En entrevista, el secretario general refirió que uno de los sucesos que generaron alarma fue ladetención de 12 elementos de la Dirección de Seguridad Pública Municipal, entre ellos su comisario, tras el enfrentamiento con policías estatales quedejó un muerto y cuatro lesionados el pasado 22 de noviembre. Por esos hechos, el encargado de la política interna informó quese desplegaron 40 elementosde la Secretaría de Seguridad estatal (SSEM), quienesse suman a los aproximadamente 27 policías municipalescon los que cuenta la corporación para mantener patrullajes yreforzar la seguridad en el municipio mexiquense. Tras enfrentamiento en Acambay, Policía Estatal asume dirección de seguridad municipal????️@abadielmtzpic.twitter.com/diFIAnsgEE Duarte Olivaresnegó que la administración estatal haya asumido la dirección de seguridaddel municipio, ya que mencionó que la presidenta municipalcuenta con la facultades que la ley le otorga para designar a su comisario. Por su parte, el Ayuntamiento en un comunicadoinformó que no se ha designado a ningún director de Seguridad Pública Municipalsolo hay un encargado de despacho. En el norte del Estado de México, particularmente en Acambay,operan células delictivascomoLos Torrijos, involucradas enextorsión a comerciantes, secuestros, robo de carga y delitos contra la salud, en pugna con otros grupos posiblemente originarios de Michoacán. La regiónsufre infiltración policial, evidenciada por lasentencia de 46 a 68 añoscontra el ex comisarioEulises González Hernándezpordesaparición forzada y extorsiónen la Operación Enjambre, donde entregó armas a criminales. Autoridadeshan detenido líderescomo Jonathan 'N' deLos Torrijosy desplegado más fuerzas paracombatir la corrupción y disputas territoriales.</v>
      </c>
      <c r="O68" s="15">
        <f>IFERROR(__xludf.DUMMYFUNCTION("""COMPUTED_VALUE"""),0.3238)</f>
        <v>0.3238</v>
      </c>
      <c r="P68" s="2"/>
      <c r="Q68" s="17">
        <f>IFERROR(__xludf.DUMMYFUNCTION("""COMPUTED_VALUE"""),3.0)</f>
        <v>3</v>
      </c>
      <c r="R68" s="2" t="str">
        <f>IFERROR(__xludf.DUMMYFUNCTION("""COMPUTED_VALUE"""),"Low")</f>
        <v>Low</v>
      </c>
      <c r="S68" s="17">
        <f>IFERROR(__xludf.DUMMYFUNCTION("""COMPUTED_VALUE"""),0.0)</f>
        <v>0</v>
      </c>
      <c r="T68" s="17">
        <f>IFERROR(__xludf.DUMMYFUNCTION("""COMPUTED_VALUE"""),0.0)</f>
        <v>0</v>
      </c>
      <c r="U68" s="14">
        <f>IFERROR(__xludf.DUMMYFUNCTION("""COMPUTED_VALUE"""),3.0)</f>
        <v>3</v>
      </c>
      <c r="V68" s="14">
        <v>2025.0</v>
      </c>
      <c r="W68" s="2" t="s">
        <v>1168</v>
      </c>
      <c r="X68" s="2" t="s">
        <v>1201</v>
      </c>
      <c r="Y68" s="13" t="s">
        <v>293</v>
      </c>
      <c r="Z68" s="14">
        <v>0.0</v>
      </c>
      <c r="AA68" s="14">
        <v>0.0</v>
      </c>
      <c r="AB68" s="14">
        <v>0.0</v>
      </c>
      <c r="AC68" s="14">
        <v>0.0</v>
      </c>
      <c r="AD68" s="2">
        <v>0.0</v>
      </c>
      <c r="AE68" s="2">
        <v>1.0</v>
      </c>
      <c r="AF68" s="2">
        <v>12.0</v>
      </c>
      <c r="AG68" s="2" t="s">
        <v>1202</v>
      </c>
      <c r="AH68" s="2">
        <v>0.0</v>
      </c>
    </row>
    <row r="69" ht="15.75" customHeight="1">
      <c r="A69" s="2" t="str">
        <f>IFERROR(__xludf.DUMMYFUNCTION("""COMPUTED_VALUE"""),"Milenio")</f>
        <v>Milenio</v>
      </c>
      <c r="B69" s="12" t="str">
        <f>IFERROR(__xludf.DUMMYFUNCTION("""COMPUTED_VALUE"""),"Matan a una policía municipal de Culiacán mientras regresaba a su hogar en Navolato")</f>
        <v>Matan a una policía municipal de Culiacán mientras regresaba a su hogar en Navolato</v>
      </c>
      <c r="C69" s="13" t="str">
        <f>IFERROR(__xludf.DUMMYFUNCTION("""COMPUTED_VALUE"""),"2025-12-11 08:28:00")</f>
        <v>2025-12-11 08:28:00</v>
      </c>
      <c r="D69" s="14">
        <f>IFERROR(__xludf.DUMMYFUNCTION("""COMPUTED_VALUE"""),4.0)</f>
        <v>4</v>
      </c>
      <c r="E69" s="15">
        <f>IFERROR(__xludf.DUMMYFUNCTION("""COMPUTED_VALUE"""),0.0)</f>
        <v>0</v>
      </c>
      <c r="F69" s="2" t="str">
        <f>IFERROR(__xludf.DUMMYFUNCTION("""COMPUTED_VALUE"""),"Neutral")</f>
        <v>Neutral</v>
      </c>
      <c r="G69" s="15">
        <f>IFERROR(__xludf.DUMMYFUNCTION("""COMPUTED_VALUE"""),0.5249)</f>
        <v>0.5249</v>
      </c>
      <c r="H69" s="2" t="str">
        <f>IFERROR(__xludf.DUMMYFUNCTION("""COMPUTED_VALUE"""),"Operativo policial o detención")</f>
        <v>Operativo policial o detención</v>
      </c>
      <c r="I69" s="2" t="str">
        <f>IFERROR(__xludf.DUMMYFUNCTION("""COMPUTED_VALUE"""),"N/A")</f>
        <v>N/A</v>
      </c>
      <c r="J69" s="2" t="str">
        <f>IFERROR(__xludf.DUMMYFUNCTION("""COMPUTED_VALUE"""),"Monitoreo general.")</f>
        <v>Monitoreo general.</v>
      </c>
      <c r="K69" s="2" t="str">
        <f>IFERROR(__xludf.DUMMYFUNCTION("""COMPUTED_VALUE"""),"Culiacán")</f>
        <v>Culiacán</v>
      </c>
      <c r="L69" s="2" t="str">
        <f>IFERROR(__xludf.DUMMYFUNCTION("""COMPUTED_VALUE"""),"Sinaloa")</f>
        <v>Sinaloa</v>
      </c>
      <c r="M69" s="16" t="str">
        <f>IFERROR(__xludf.DUMMYFUNCTION("""COMPUTED_VALUE"""),"https://www.milenio.com/policia/asesinan-a-balazos-a-una-policia-municipal-de-culiacan-en-navolato")</f>
        <v>https://www.milenio.com/policia/asesinan-a-balazos-a-una-policia-municipal-de-culiacan-en-navolato</v>
      </c>
      <c r="N69" s="2" t="str">
        <f>IFERROR(__xludf.DUMMYFUNCTION("""COMPUTED_VALUE"""),"La noche del 10 de diciembre, una integrante de laPolicía Municipal deCuliacán,identificada comoNayeli 'N', de42 añosy con una trayectoria de 14 en la corporación,fueasesinada en Navolato. La oficial se dirigía a su domicilio, tras concluir su turno, cuan"&amp;"do fue sorprendida por hombres armados. El ataque ocurrió sobre lacarretera Culiacán–Navolato, a la altura del ejidoLosAlamitos, en la sindicatura deSan Pedro. De acuerdo con los primeros reportes, la víctima viajaba en su camioneta particular cuandofue i"&amp;"nterceptada y atacada a balazos, falleciendo en el lugar. Elementos de Bomberos, Protección Civil, Cruz Roja y policías municipales de Navolato, además de personal operativo de seguridad pública, acudieron para asegurar la zona y brindar apoyo inmediato, "&amp;"informó la autoridad. En un comunicado, laSecretaría de Seguridad Pública y Tránsito Municipal expresó su pesarpor lo ocurrido y afirmó que la familia de la agente recibirá el acompañamiento correspondiente conforme a la ley. También, manifestó su disposi"&amp;"ción total para colaborar con la Fiscalía General del Estado(FGE)de Sinaloaen la investigación del crimen. La institución reiteró que mantiene su compromiso con la protección de su personal y de la ciudadanía, y aseguró que responderá con determinación fr"&amp;"ente a agresiones dirigidas contra la corporación.")</f>
        <v>La noche del 10 de diciembre, una integrante de laPolicía Municipal deCuliacán,identificada comoNayeli 'N', de42 añosy con una trayectoria de 14 en la corporación,fueasesinada en Navolato. La oficial se dirigía a su domicilio, tras concluir su turno, cuando fue sorprendida por hombres armados. El ataque ocurrió sobre lacarretera Culiacán–Navolato, a la altura del ejidoLosAlamitos, en la sindicatura deSan Pedro. De acuerdo con los primeros reportes, la víctima viajaba en su camioneta particular cuandofue interceptada y atacada a balazos, falleciendo en el lugar. Elementos de Bomberos, Protección Civil, Cruz Roja y policías municipales de Navolato, además de personal operativo de seguridad pública, acudieron para asegurar la zona y brindar apoyo inmediato, informó la autoridad. En un comunicado, laSecretaría de Seguridad Pública y Tránsito Municipal expresó su pesarpor lo ocurrido y afirmó que la familia de la agente recibirá el acompañamiento correspondiente conforme a la ley. También, manifestó su disposición total para colaborar con la Fiscalía General del Estado(FGE)de Sinaloaen la investigación del crimen. La institución reiteró que mantiene su compromiso con la protección de su personal y de la ciudadanía, y aseguró que responderá con determinación frente a agresiones dirigidas contra la corporación.</v>
      </c>
      <c r="O69" s="15">
        <f>IFERROR(__xludf.DUMMYFUNCTION("""COMPUTED_VALUE"""),0.732)</f>
        <v>0.732</v>
      </c>
      <c r="P69" s="2"/>
      <c r="Q69" s="17">
        <f>IFERROR(__xludf.DUMMYFUNCTION("""COMPUTED_VALUE"""),5.5)</f>
        <v>5.5</v>
      </c>
      <c r="R69" s="2" t="str">
        <f>IFERROR(__xludf.DUMMYFUNCTION("""COMPUTED_VALUE"""),"Low")</f>
        <v>Low</v>
      </c>
      <c r="S69" s="17">
        <f>IFERROR(__xludf.DUMMYFUNCTION("""COMPUTED_VALUE"""),0.0)</f>
        <v>0</v>
      </c>
      <c r="T69" s="17">
        <f>IFERROR(__xludf.DUMMYFUNCTION("""COMPUTED_VALUE"""),0.0)</f>
        <v>0</v>
      </c>
      <c r="U69" s="14">
        <f>IFERROR(__xludf.DUMMYFUNCTION("""COMPUTED_VALUE"""),3.0)</f>
        <v>3</v>
      </c>
      <c r="V69" s="14">
        <v>2025.0</v>
      </c>
      <c r="W69" s="2" t="s">
        <v>1168</v>
      </c>
      <c r="X69" s="2" t="s">
        <v>1201</v>
      </c>
      <c r="Y69" s="13" t="s">
        <v>298</v>
      </c>
      <c r="Z69" s="14">
        <v>0.0</v>
      </c>
      <c r="AA69" s="14">
        <v>0.0</v>
      </c>
      <c r="AB69" s="14">
        <v>0.0</v>
      </c>
      <c r="AC69" s="14">
        <v>0.0</v>
      </c>
      <c r="AD69" s="2">
        <v>0.0</v>
      </c>
      <c r="AE69" s="2">
        <v>1.0</v>
      </c>
      <c r="AF69" s="2">
        <v>12.0</v>
      </c>
      <c r="AG69" s="2" t="s">
        <v>1180</v>
      </c>
      <c r="AH69" s="2">
        <v>0.0</v>
      </c>
    </row>
    <row r="70" ht="15.75" customHeight="1">
      <c r="A70" s="2" t="str">
        <f>IFERROR(__xludf.DUMMYFUNCTION("""COMPUTED_VALUE"""),"Milenio")</f>
        <v>Milenio</v>
      </c>
      <c r="B70" s="12" t="str">
        <f>IFERROR(__xludf.DUMMYFUNCTION("""COMPUTED_VALUE"""),"Policías de Torreón salvan a perrito tras sufrir amputación parcial; pagarán su rehabilitación")</f>
        <v>Policías de Torreón salvan a perrito tras sufrir amputación parcial; pagarán su rehabilitación</v>
      </c>
      <c r="C70" s="13" t="str">
        <f>IFERROR(__xludf.DUMMYFUNCTION("""COMPUTED_VALUE"""),"2025-12-10 16:50:00")</f>
        <v>2025-12-10 16:50:00</v>
      </c>
      <c r="D70" s="14">
        <f>IFERROR(__xludf.DUMMYFUNCTION("""COMPUTED_VALUE"""),2.0)</f>
        <v>2</v>
      </c>
      <c r="E70" s="15">
        <f>IFERROR(__xludf.DUMMYFUNCTION("""COMPUTED_VALUE"""),0.0)</f>
        <v>0</v>
      </c>
      <c r="F70" s="2" t="str">
        <f>IFERROR(__xludf.DUMMYFUNCTION("""COMPUTED_VALUE"""),"Neutral")</f>
        <v>Neutral</v>
      </c>
      <c r="G70" s="15">
        <f>IFERROR(__xludf.DUMMYFUNCTION("""COMPUTED_VALUE"""),0.6685)</f>
        <v>0.6685</v>
      </c>
      <c r="H70" s="2" t="str">
        <f>IFERROR(__xludf.DUMMYFUNCTION("""COMPUTED_VALUE"""),"Operativo policial o detención")</f>
        <v>Operativo policial o detención</v>
      </c>
      <c r="I70" s="2" t="str">
        <f>IFERROR(__xludf.DUMMYFUNCTION("""COMPUTED_VALUE"""),"N/A")</f>
        <v>N/A</v>
      </c>
      <c r="J70" s="2" t="str">
        <f>IFERROR(__xludf.DUMMYFUNCTION("""COMPUTED_VALUE"""),"Monitoreo general.")</f>
        <v>Monitoreo general.</v>
      </c>
      <c r="K70" s="2" t="str">
        <f>IFERROR(__xludf.DUMMYFUNCTION("""COMPUTED_VALUE"""),"Torreón")</f>
        <v>Torreón</v>
      </c>
      <c r="L70" s="2" t="str">
        <f>IFERROR(__xludf.DUMMYFUNCTION("""COMPUTED_VALUE"""),"Coahuila")</f>
        <v>Coahuila</v>
      </c>
      <c r="M70" s="16" t="str">
        <f>IFERROR(__xludf.DUMMYFUNCTION("""COMPUTED_VALUE"""),"https://www.milenio.com/estados/policias-de-torreon-salvan-a-perrito-tras-sufrir-amputacion-parcial")</f>
        <v>https://www.milenio.com/estados/policias-de-torreon-salvan-a-perrito-tras-sufrir-amputacion-parcial</v>
      </c>
      <c r="N70" s="2" t="str">
        <f>IFERROR(__xludf.DUMMYFUNCTION("""COMPUTED_VALUE"""),"Elementos de laPolicía Municipal de Torreónrescataron a unperritogravemente herido en el sector Alianza, luego de encontrarlo con una amputación parcial en una de sus patas. Gracias a la rápida y humana intervención de los oficiales,el animal logró sobrev"&amp;"ivir y recibir atención veterinaria, aunque deberá someterse a la amputación completa y a un proceso de rehabilitación que será cubierto por los propios policías que lo auxiliaron. De acuerdo con el reporte, los agentes realizaban un recorrido de vigilanc"&amp;"ia cuando escucharon los lamentos del animal, que yacía malherido en la vía pública. Al acercarse,lo encontraron con la pata derecha severamente dañada, presuntamente a causa del impacto de un diablito utilizado para transportar carga en la zona del merca"&amp;"do Alianza. Los oficiales levantaron con cuidado al perrito y lo trasladaron de inmediato a una clínica veterinaria, donde se confirmó que, debido a la gravedad de la lesión,será necesaria la amputación total de la extremidad para iniciar su recuperación."&amp;" Aunque ya se localizó a la dueña del animal, los gastos médicos y de rehabilitación serán asumidos por los policías que participaron en el rescate, quienes afirmaron que no podían dejarlo solo tras haberlo encontrado en agonía. Además,señalaron que el pe"&amp;"rrito necesitará una prótesis y varias semanas de cuidados, periodo en el que se comprometieron a acompañarlo hasta que pueda regresar en mejores condiciones a su hogar. El caso ha generado muestras de apoyo en redes sociales, donde ciudadanos reconocen l"&amp;"a labor humanitaria de los elementos municipales y su compromiso para salvar la vida del animal.")</f>
        <v>Elementos de laPolicía Municipal de Torreónrescataron a unperritogravemente herido en el sector Alianza, luego de encontrarlo con una amputación parcial en una de sus patas. Gracias a la rápida y humana intervención de los oficiales,el animal logró sobrevivir y recibir atención veterinaria, aunque deberá someterse a la amputación completa y a un proceso de rehabilitación que será cubierto por los propios policías que lo auxiliaron. De acuerdo con el reporte, los agentes realizaban un recorrido de vigilancia cuando escucharon los lamentos del animal, que yacía malherido en la vía pública. Al acercarse,lo encontraron con la pata derecha severamente dañada, presuntamente a causa del impacto de un diablito utilizado para transportar carga en la zona del mercado Alianza. Los oficiales levantaron con cuidado al perrito y lo trasladaron de inmediato a una clínica veterinaria, donde se confirmó que, debido a la gravedad de la lesión,será necesaria la amputación total de la extremidad para iniciar su recuperación. Aunque ya se localizó a la dueña del animal, los gastos médicos y de rehabilitación serán asumidos por los policías que participaron en el rescate, quienes afirmaron que no podían dejarlo solo tras haberlo encontrado en agonía. Además,señalaron que el perrito necesitará una prótesis y varias semanas de cuidados, periodo en el que se comprometieron a acompañarlo hasta que pueda regresar en mejores condiciones a su hogar. El caso ha generado muestras de apoyo en redes sociales, donde ciudadanos reconocen la labor humanitaria de los elementos municipales y su compromiso para salvar la vida del animal.</v>
      </c>
      <c r="O70" s="15">
        <f>IFERROR(__xludf.DUMMYFUNCTION("""COMPUTED_VALUE"""),0.8168)</f>
        <v>0.8168</v>
      </c>
      <c r="P70" s="2"/>
      <c r="Q70" s="17">
        <f>IFERROR(__xludf.DUMMYFUNCTION("""COMPUTED_VALUE"""),5.5)</f>
        <v>5.5</v>
      </c>
      <c r="R70" s="2" t="str">
        <f>IFERROR(__xludf.DUMMYFUNCTION("""COMPUTED_VALUE"""),"Low")</f>
        <v>Low</v>
      </c>
      <c r="S70" s="17">
        <f>IFERROR(__xludf.DUMMYFUNCTION("""COMPUTED_VALUE"""),0.0)</f>
        <v>0</v>
      </c>
      <c r="T70" s="17">
        <f>IFERROR(__xludf.DUMMYFUNCTION("""COMPUTED_VALUE"""),0.0)</f>
        <v>0</v>
      </c>
      <c r="U70" s="14">
        <f>IFERROR(__xludf.DUMMYFUNCTION("""COMPUTED_VALUE"""),3.0)</f>
        <v>3</v>
      </c>
      <c r="V70" s="14">
        <v>2025.0</v>
      </c>
      <c r="W70" s="2" t="s">
        <v>1168</v>
      </c>
      <c r="X70" s="2" t="s">
        <v>1203</v>
      </c>
      <c r="Y70" s="13" t="s">
        <v>302</v>
      </c>
      <c r="Z70" s="14">
        <v>0.0</v>
      </c>
      <c r="AA70" s="14">
        <v>0.0</v>
      </c>
      <c r="AB70" s="14">
        <v>0.0</v>
      </c>
      <c r="AC70" s="14">
        <v>0.0</v>
      </c>
      <c r="AD70" s="2">
        <v>0.0</v>
      </c>
      <c r="AE70" s="2">
        <v>0.0</v>
      </c>
      <c r="AF70" s="2">
        <v>12.0</v>
      </c>
      <c r="AG70" s="2" t="s">
        <v>1204</v>
      </c>
      <c r="AH70" s="2">
        <v>0.0</v>
      </c>
    </row>
    <row r="71" ht="15.75" customHeight="1">
      <c r="A71" s="2" t="str">
        <f>IFERROR(__xludf.DUMMYFUNCTION("""COMPUTED_VALUE"""),"Milenio")</f>
        <v>Milenio</v>
      </c>
      <c r="B71" s="12" t="str">
        <f>IFERROR(__xludf.DUMMYFUNCTION("""COMPUTED_VALUE"""),"Detienen a 7 personas acusadas de golpear y desarmar a policías en la colonia Maza")</f>
        <v>Detienen a 7 personas acusadas de golpear y desarmar a policías en la colonia Maza</v>
      </c>
      <c r="C71" s="13" t="str">
        <f>IFERROR(__xludf.DUMMYFUNCTION("""COMPUTED_VALUE"""),"2025-12-04 20:27:00")</f>
        <v>2025-12-04 20:27:00</v>
      </c>
      <c r="D71" s="14">
        <f>IFERROR(__xludf.DUMMYFUNCTION("""COMPUTED_VALUE"""),2.0)</f>
        <v>2</v>
      </c>
      <c r="E71" s="15">
        <f>IFERROR(__xludf.DUMMYFUNCTION("""COMPUTED_VALUE"""),-0.7032)</f>
        <v>-0.7032</v>
      </c>
      <c r="F71" s="2" t="str">
        <f>IFERROR(__xludf.DUMMYFUNCTION("""COMPUTED_VALUE"""),"Negativo")</f>
        <v>Negativo</v>
      </c>
      <c r="G71" s="15">
        <f>IFERROR(__xludf.DUMMYFUNCTION("""COMPUTED_VALUE"""),0.7032)</f>
        <v>0.7032</v>
      </c>
      <c r="H71" s="2" t="str">
        <f>IFERROR(__xludf.DUMMYFUNCTION("""COMPUTED_VALUE"""),"Operativo policial o detención")</f>
        <v>Operativo policial o detención</v>
      </c>
      <c r="I71" s="2" t="str">
        <f>IFERROR(__xludf.DUMMYFUNCTION("""COMPUTED_VALUE"""),"N/A")</f>
        <v>N/A</v>
      </c>
      <c r="J71" s="2" t="str">
        <f>IFERROR(__xludf.DUMMYFUNCTION("""COMPUTED_VALUE"""),"Monitoreo general.")</f>
        <v>Monitoreo general.</v>
      </c>
      <c r="K71" s="2" t="str">
        <f>IFERROR(__xludf.DUMMYFUNCTION("""COMPUTED_VALUE"""),"Cuauhtémoc")</f>
        <v>Cuauhtémoc</v>
      </c>
      <c r="L71" s="2" t="str">
        <f>IFERROR(__xludf.DUMMYFUNCTION("""COMPUTED_VALUE"""),"Ciudad de México")</f>
        <v>Ciudad de México</v>
      </c>
      <c r="M71" s="16" t="str">
        <f>IFERROR(__xludf.DUMMYFUNCTION("""COMPUTED_VALUE"""),"https://www.milenio.com/policia/golpean-y-desarman-a-policias-en-la-colonia-maza-cdmx")</f>
        <v>https://www.milenio.com/policia/golpean-y-desarman-a-policias-en-la-colonia-maza-cdmx</v>
      </c>
      <c r="N71" s="2" t="str">
        <f>IFERROR(__xludf.DUMMYFUNCTION("""COMPUTED_VALUE"""),"Policías de la Secretaría de Seguridad Ciudadana (SSC) de la Ciudad de Méxicodetuvieron a siete personas acusadas de agredir físicamente a elementos de la dependencia capitalinadurante una revisión a una motocicleta en calles de lacolonia Maza, alcaldía C"&amp;"uauhtémoc. Los oficiales realizaban revisiones a conductores de motocicletas y, al marcarle el alto a una unidad,el conductor se tornó agresivo y se resistió a bajar. Posteriormente, el motociclista pidió ayuda a personas que se encontraban en el lugar, q"&amp;"uienes comenzaron a agredir físicamente a los policías capitalinos. Ante esto, las autoridades capitalinas solicitaron el apoyo de otros elementos de seguridad quienes, minuto después,arribaron al punto y detuvieron a siete personas, mismas que despojaron"&amp;" de su arma de cargo a uno de los policías. Por lo anterior,cuatro mujeres de 23, 39, 27 y 49 años de edad y tres hombres de 27, 26 y 49 años,fueron detenidos y presentados ante un agente del Ministerio Público correspondiente, quien determinará su situac"&amp;"ión legal. Al lugar de los hechos, arribaron paramédicos de Protección Civil, que diagnosticaron a dos efectivos policialescon golpes contusos en la cabeza y el cuerpo, por lo que los trasladaron a un hospital para su pronta atención. Cabe señalar que los"&amp;" elementos de la secretarias de Movilidad (Semovi) y de la SSC pueden hacer operativos que consisten en revisar a motociclistas,para garantizar que cuenten con los documentos necesarios para circular, no conduzcan en estado de ebriedad y usen su equipo de"&amp;" seguridad. En caso de ser necesario, pueden emitir multas de tránsito a algunos de los motociclistas que han revisadoo remitir los vehículos al corralón por no tener licencia, placas o tarjeta de circulación.")</f>
        <v>Policías de la Secretaría de Seguridad Ciudadana (SSC) de la Ciudad de Méxicodetuvieron a siete personas acusadas de agredir físicamente a elementos de la dependencia capitalinadurante una revisión a una motocicleta en calles de lacolonia Maza, alcaldía Cuauhtémoc. Los oficiales realizaban revisiones a conductores de motocicletas y, al marcarle el alto a una unidad,el conductor se tornó agresivo y se resistió a bajar. Posteriormente, el motociclista pidió ayuda a personas que se encontraban en el lugar, quienes comenzaron a agredir físicamente a los policías capitalinos. Ante esto, las autoridades capitalinas solicitaron el apoyo de otros elementos de seguridad quienes, minuto después,arribaron al punto y detuvieron a siete personas, mismas que despojaron de su arma de cargo a uno de los policías. Por lo anterior,cuatro mujeres de 23, 39, 27 y 49 años de edad y tres hombres de 27, 26 y 49 años,fueron detenidos y presentados ante un agente del Ministerio Público correspondiente, quien determinará su situación legal. Al lugar de los hechos, arribaron paramédicos de Protección Civil, que diagnosticaron a dos efectivos policialescon golpes contusos en la cabeza y el cuerpo, por lo que los trasladaron a un hospital para su pronta atención. Cabe señalar que los elementos de la secretarias de Movilidad (Semovi) y de la SSC pueden hacer operativos que consisten en revisar a motociclistas,para garantizar que cuenten con los documentos necesarios para circular, no conduzcan en estado de ebriedad y usen su equipo de seguridad. En caso de ser necesario, pueden emitir multas de tránsito a algunos de los motociclistas que han revisadoo remitir los vehículos al corralón por no tener licencia, placas o tarjeta de circulación.</v>
      </c>
      <c r="O71" s="15">
        <f>IFERROR(__xludf.DUMMYFUNCTION("""COMPUTED_VALUE"""),0.8698)</f>
        <v>0.8698</v>
      </c>
      <c r="P71" s="2"/>
      <c r="Q71" s="17">
        <f>IFERROR(__xludf.DUMMYFUNCTION("""COMPUTED_VALUE"""),4.0)</f>
        <v>4</v>
      </c>
      <c r="R71" s="2" t="str">
        <f>IFERROR(__xludf.DUMMYFUNCTION("""COMPUTED_VALUE"""),"Low")</f>
        <v>Low</v>
      </c>
      <c r="S71" s="17">
        <f>IFERROR(__xludf.DUMMYFUNCTION("""COMPUTED_VALUE"""),0.0)</f>
        <v>0</v>
      </c>
      <c r="T71" s="17">
        <f>IFERROR(__xludf.DUMMYFUNCTION("""COMPUTED_VALUE"""),0.0)</f>
        <v>0</v>
      </c>
      <c r="U71" s="14">
        <f>IFERROR(__xludf.DUMMYFUNCTION("""COMPUTED_VALUE"""),3.0)</f>
        <v>3</v>
      </c>
      <c r="V71" s="14">
        <v>2025.0</v>
      </c>
      <c r="W71" s="2" t="s">
        <v>1168</v>
      </c>
      <c r="X71" s="2" t="s">
        <v>1201</v>
      </c>
      <c r="Y71" s="13" t="s">
        <v>308</v>
      </c>
      <c r="Z71" s="14">
        <v>0.0</v>
      </c>
      <c r="AA71" s="14">
        <v>0.0</v>
      </c>
      <c r="AB71" s="14">
        <v>0.0</v>
      </c>
      <c r="AC71" s="14">
        <v>0.0</v>
      </c>
      <c r="AD71" s="2">
        <v>0.0</v>
      </c>
      <c r="AE71" s="2">
        <v>0.0</v>
      </c>
      <c r="AF71" s="2">
        <v>12.0</v>
      </c>
      <c r="AG71" s="2" t="s">
        <v>1205</v>
      </c>
      <c r="AH71" s="2">
        <v>0.0</v>
      </c>
    </row>
    <row r="72" ht="15.75" customHeight="1">
      <c r="A72" s="2" t="str">
        <f>IFERROR(__xludf.DUMMYFUNCTION("""COMPUTED_VALUE"""),"Milenio")</f>
        <v>Milenio</v>
      </c>
      <c r="B72" s="12" t="str">
        <f>IFERROR(__xludf.DUMMYFUNCTION("""COMPUTED_VALUE"""),"Policía de CdMx emite recomendaciones para comerciantes en época navideña")</f>
        <v>Policía de CdMx emite recomendaciones para comerciantes en época navideña</v>
      </c>
      <c r="C72" s="13" t="str">
        <f>IFERROR(__xludf.DUMMYFUNCTION("""COMPUTED_VALUE"""),"2025-12-04 20:05:00")</f>
        <v>2025-12-04 20:05:00</v>
      </c>
      <c r="D72" s="14">
        <f>IFERROR(__xludf.DUMMYFUNCTION("""COMPUTED_VALUE"""),2.0)</f>
        <v>2</v>
      </c>
      <c r="E72" s="15">
        <f>IFERROR(__xludf.DUMMYFUNCTION("""COMPUTED_VALUE"""),0.0)</f>
        <v>0</v>
      </c>
      <c r="F72" s="2" t="str">
        <f>IFERROR(__xludf.DUMMYFUNCTION("""COMPUTED_VALUE"""),"Neutral")</f>
        <v>Neutral</v>
      </c>
      <c r="G72" s="15">
        <f>IFERROR(__xludf.DUMMYFUNCTION("""COMPUTED_VALUE"""),0.636)</f>
        <v>0.636</v>
      </c>
      <c r="H72" s="2" t="str">
        <f>IFERROR(__xludf.DUMMYFUNCTION("""COMPUTED_VALUE"""),"Operativo policial o detención")</f>
        <v>Operativo policial o detención</v>
      </c>
      <c r="I72" s="2" t="str">
        <f>IFERROR(__xludf.DUMMYFUNCTION("""COMPUTED_VALUE"""),"N/A")</f>
        <v>N/A</v>
      </c>
      <c r="J72" s="2" t="str">
        <f>IFERROR(__xludf.DUMMYFUNCTION("""COMPUTED_VALUE"""),"Monitoreo general.")</f>
        <v>Monitoreo general.</v>
      </c>
      <c r="K72" s="2" t="str">
        <f>IFERROR(__xludf.DUMMYFUNCTION("""COMPUTED_VALUE"""),"Ciudad de México")</f>
        <v>Ciudad de México</v>
      </c>
      <c r="L72" s="2" t="str">
        <f>IFERROR(__xludf.DUMMYFUNCTION("""COMPUTED_VALUE"""),"Ciudad de México")</f>
        <v>Ciudad de México</v>
      </c>
      <c r="M72" s="16" t="str">
        <f>IFERROR(__xludf.DUMMYFUNCTION("""COMPUTED_VALUE"""),"https://www.milenio.com/policia/comerciantes-navidenos-recomendaciones-para-vender-seguro")</f>
        <v>https://www.milenio.com/policia/comerciantes-navidenos-recomendaciones-para-vender-seguro</v>
      </c>
      <c r="N72" s="2" t="str">
        <f>IFERROR(__xludf.DUMMYFUNCTION("""COMPUTED_VALUE"""),"La Secretaría de Seguridad Ciudadana(SSC) de laCiudad de Méxicollamó a propietarios, comerciantes y administradores de establecimientos mercantilespara implementar medidas preventivas ante las fiestas de Navidad. Estas acciones buscanproteger al personal,"&amp;" clientes y mercancíadurante elperiodo de alta demanda, reduciendo riesgos comorobos y extorsiones. A través de la Policía Bancaria e Industrial (PBI) se aconseja a los comerciantes mantener accesos, pasillos y áreas de caja despejados e iluminados; ademá"&amp;"s deverificar el funcionamiento de cámaras de videovigilancia, alarmas y botones de pánico. También, sugirieroncontrolar el ingreso a bodegas y zonas restringidas, así comocapacitar al personalpara identificarconductas inusualesmediante claves internas de"&amp;" alerta yseguimiento discreto a personas sospechosas. Para proveedores, se recomendóverificar identidades y recibir mercancía en áreas iluminadas. Entre las recomendaciones para el manejo de dinero, la PBI sugirió evitaracumular efectivo en caja,realizar "&amp;"cortes y depósitos parciales con rutas y horarios variables, y revisar billetes con pluma detectora o luz ultravioletasin contar frente al público. Respecto a la mercancía, aconsejaron mantenerinventarios actualizados, estantes ordenadosy, si el giro lo p"&amp;"ermite,solicitar a clientes ingresar sin mochilas grandes o bolsas opacas para prevenir el robo hormiga. Para evitar extorsiones, el personal debe abstenerse de proporcionar datos del negociopor teléfono,colgar ante amenazas, verificar yreportar inmediata"&amp;"mente a responsables. Al cerrar el local, es importanteasegurar puertas, cortinas y exhibidores, además deactivar sistemas de alarmayconservar grabacionesde incidentes para reportarlosde forma inmediata a las autoridades. Estas orientaciones forman parte "&amp;"de laestrategiade la SSCpara fortalecer la resiliencia de los comercios en épocas festivas. Incremento de robo en temporada navideñas La temporada navideña en México registra un notable aumento en robosdebido al mayor flujo de dinero, compras y mercancías"&amp;",con al menos 85 robos por horasegún elSistema Nacional de Seguridad Pública. En 2024, se contabilizaron44 mil 949 robos a casahabitación,31 mil 780 a negociosy 54 mil 428 a transeúntesdurante diciembre,cifras que se repiten anualmente por el aguinaldo y "&amp;"ventas festivas. Esto equivale a cerca de85 robos por hora, aunque se estima que la cifra real podría sermucho mayor debido al alto índice de delitos no denunciados, que alcanza el93%según elInstituto Nacional de Geografía y Estadística(Inegi). La tempora"&amp;"da navideña representa un blanco atractivo para los delincuentes debido a: Ausencia de seguridad en viviendas:  Muchas familiassalen de viaje,dejando sus hogares desprotegidos Concentración de actividades comerciales:  El aumento de transacciones ycompras"&amp;" en zonas comerciales eleva el riesgo de asaltos y robos")</f>
        <v>La Secretaría de Seguridad Ciudadana(SSC) de laCiudad de Méxicollamó a propietarios, comerciantes y administradores de establecimientos mercantilespara implementar medidas preventivas ante las fiestas de Navidad. Estas acciones buscanproteger al personal, clientes y mercancíadurante elperiodo de alta demanda, reduciendo riesgos comorobos y extorsiones. A través de la Policía Bancaria e Industrial (PBI) se aconseja a los comerciantes mantener accesos, pasillos y áreas de caja despejados e iluminados; además deverificar el funcionamiento de cámaras de videovigilancia, alarmas y botones de pánico. También, sugirieroncontrolar el ingreso a bodegas y zonas restringidas, así comocapacitar al personalpara identificarconductas inusualesmediante claves internas de alerta yseguimiento discreto a personas sospechosas. Para proveedores, se recomendóverificar identidades y recibir mercancía en áreas iluminadas. Entre las recomendaciones para el manejo de dinero, la PBI sugirió evitaracumular efectivo en caja,realizar cortes y depósitos parciales con rutas y horarios variables, y revisar billetes con pluma detectora o luz ultravioletasin contar frente al público. Respecto a la mercancía, aconsejaron mantenerinventarios actualizados, estantes ordenadosy, si el giro lo permite,solicitar a clientes ingresar sin mochilas grandes o bolsas opacas para prevenir el robo hormiga. Para evitar extorsiones, el personal debe abstenerse de proporcionar datos del negociopor teléfono,colgar ante amenazas, verificar yreportar inmediatamente a responsables. Al cerrar el local, es importanteasegurar puertas, cortinas y exhibidores, además deactivar sistemas de alarmayconservar grabacionesde incidentes para reportarlosde forma inmediata a las autoridades. Estas orientaciones forman parte de laestrategiade la SSCpara fortalecer la resiliencia de los comercios en épocas festivas. Incremento de robo en temporada navideñas La temporada navideña en México registra un notable aumento en robosdebido al mayor flujo de dinero, compras y mercancías,con al menos 85 robos por horasegún elSistema Nacional de Seguridad Pública. En 2024, se contabilizaron44 mil 949 robos a casahabitación,31 mil 780 a negociosy 54 mil 428 a transeúntesdurante diciembre,cifras que se repiten anualmente por el aguinaldo y ventas festivas. Esto equivale a cerca de85 robos por hora, aunque se estima que la cifra real podría sermucho mayor debido al alto índice de delitos no denunciados, que alcanza el93%según elInstituto Nacional de Geografía y Estadística(Inegi). La temporada navideña representa un blanco atractivo para los delincuentes debido a: Ausencia de seguridad en viviendas:  Muchas familiassalen de viaje,dejando sus hogares desprotegidos Concentración de actividades comerciales:  El aumento de transacciones ycompras en zonas comerciales eleva el riesgo de asaltos y robos</v>
      </c>
      <c r="O72" s="15">
        <f>IFERROR(__xludf.DUMMYFUNCTION("""COMPUTED_VALUE"""),0.3769)</f>
        <v>0.3769</v>
      </c>
      <c r="P72" s="2"/>
      <c r="Q72" s="17">
        <f>IFERROR(__xludf.DUMMYFUNCTION("""COMPUTED_VALUE"""),3.0)</f>
        <v>3</v>
      </c>
      <c r="R72" s="2" t="str">
        <f>IFERROR(__xludf.DUMMYFUNCTION("""COMPUTED_VALUE"""),"Medium")</f>
        <v>Medium</v>
      </c>
      <c r="S72" s="17">
        <f>IFERROR(__xludf.DUMMYFUNCTION("""COMPUTED_VALUE"""),3.0)</f>
        <v>3</v>
      </c>
      <c r="T72" s="17">
        <f>IFERROR(__xludf.DUMMYFUNCTION("""COMPUTED_VALUE"""),0.0)</f>
        <v>0</v>
      </c>
      <c r="U72" s="14">
        <f>IFERROR(__xludf.DUMMYFUNCTION("""COMPUTED_VALUE"""),3.0)</f>
        <v>3</v>
      </c>
      <c r="V72" s="14">
        <v>2025.0</v>
      </c>
      <c r="W72" s="2" t="s">
        <v>1168</v>
      </c>
      <c r="X72" s="2" t="s">
        <v>1201</v>
      </c>
      <c r="Y72" s="13" t="s">
        <v>313</v>
      </c>
      <c r="Z72" s="14">
        <v>0.0</v>
      </c>
      <c r="AA72" s="14">
        <v>0.0</v>
      </c>
      <c r="AB72" s="14">
        <v>0.0</v>
      </c>
      <c r="AC72" s="14">
        <v>0.0</v>
      </c>
      <c r="AD72" s="2">
        <v>0.0</v>
      </c>
      <c r="AE72" s="2">
        <v>0.0</v>
      </c>
      <c r="AF72" s="2">
        <v>12.0</v>
      </c>
      <c r="AG72" s="2" t="s">
        <v>1175</v>
      </c>
      <c r="AH72" s="2">
        <v>0.0</v>
      </c>
    </row>
    <row r="73" ht="15.75" customHeight="1">
      <c r="A73" s="2" t="str">
        <f>IFERROR(__xludf.DUMMYFUNCTION("""COMPUTED_VALUE"""),"Milenio")</f>
        <v>Milenio</v>
      </c>
      <c r="B73" s="12" t="str">
        <f>IFERROR(__xludf.DUMMYFUNCTION("""COMPUTED_VALUE"""),"Detienen a policía estatal implicado en la desaparición de la niña Noelia en Oaxaca")</f>
        <v>Detienen a policía estatal implicado en la desaparición de la niña Noelia en Oaxaca</v>
      </c>
      <c r="C73" s="13" t="str">
        <f>IFERROR(__xludf.DUMMYFUNCTION("""COMPUTED_VALUE"""),"2025-11-19 15:04:00")</f>
        <v>2025-11-19 15:04:00</v>
      </c>
      <c r="D73" s="14">
        <f>IFERROR(__xludf.DUMMYFUNCTION("""COMPUTED_VALUE"""),4.0)</f>
        <v>4</v>
      </c>
      <c r="E73" s="15">
        <f>IFERROR(__xludf.DUMMYFUNCTION("""COMPUTED_VALUE"""),0.0)</f>
        <v>0</v>
      </c>
      <c r="F73" s="2" t="str">
        <f>IFERROR(__xludf.DUMMYFUNCTION("""COMPUTED_VALUE"""),"Neutral")</f>
        <v>Neutral</v>
      </c>
      <c r="G73" s="15">
        <f>IFERROR(__xludf.DUMMYFUNCTION("""COMPUTED_VALUE"""),0.4846)</f>
        <v>0.4846</v>
      </c>
      <c r="H73" s="2" t="str">
        <f>IFERROR(__xludf.DUMMYFUNCTION("""COMPUTED_VALUE"""),"Delito violento, robo o asalto")</f>
        <v>Delito violento, robo o asalto</v>
      </c>
      <c r="I73" s="2" t="str">
        <f>IFERROR(__xludf.DUMMYFUNCTION("""COMPUTED_VALUE"""),"homicidio")</f>
        <v>homicidio</v>
      </c>
      <c r="J73" s="2" t="str">
        <f>IFERROR(__xludf.DUMMYFUNCTION("""COMPUTED_VALUE"""),"Prevención PAX: Contactos de confianza.")</f>
        <v>Prevención PAX: Contactos de confianza.</v>
      </c>
      <c r="K73" s="2" t="str">
        <f>IFERROR(__xludf.DUMMYFUNCTION("""COMPUTED_VALUE"""),"Oaxaca")</f>
        <v>Oaxaca</v>
      </c>
      <c r="L73" s="2" t="str">
        <f>IFERROR(__xludf.DUMMYFUNCTION("""COMPUTED_VALUE"""),"Oaxaca")</f>
        <v>Oaxaca</v>
      </c>
      <c r="M73" s="16" t="str">
        <f>IFERROR(__xludf.DUMMYFUNCTION("""COMPUTED_VALUE"""),"https://www.milenio.com/estados/detienen-a-policia-implicado-en-desaparicion-de-nina-noelia-en-oaxaca")</f>
        <v>https://www.milenio.com/estados/detienen-a-policia-implicado-en-desaparicion-de-nina-noelia-en-oaxaca</v>
      </c>
      <c r="N73" s="2" t="str">
        <f>IFERROR(__xludf.DUMMYFUNCTION("""COMPUTED_VALUE"""),"Fuerzas de seguridad estatales y federales lograron la detención de L.S.V., elemento de laPolicía Auxiliar Bancaria, Industrial y Comercial (PABIC), como probable autor material del triple homicidio; dos mujeres y un hombre, así como de ladesaparición de "&amp;"Noelia, una niña de 4 años de edad. En conferencia de prensa, el fiscal General, Bernardo Rodríguez Alamilla, precisó que desde el asesinato de la menor se han logrado capturar a12 imputados y siete miembros de la célula criminal del llamado Comandante Cr"&amp;"omo. Informó que en las detenciones participaron más de 500 elementos que para la operación efectuaron más de 30 cateos donde aseguraron armas y drogas. Fiscalía de Oaxaca y Gabinete de Seguridad Estatal detienen a probable autor del triple homicidio y la"&amp;" desaparición de una niña cometidos en Juchitán de ZaragozaOaxaca de Juárez a 19 de noviembre de 2025.- Durante la conferencia de prensa de Seguridad del Gobierno del Estado de…pic.twitter.com/pK0oYGrakq Rodríguez Alamilla reportó que el policía estatal, "&amp;"era miembro de la célula criminal delComandante Cromo, que buscaba crear su propio grupo criminal dedicado a la cebra de drogas al menudeo en el municipio de Juchitán de Zaragoza.")</f>
        <v>Fuerzas de seguridad estatales y federales lograron la detención de L.S.V., elemento de laPolicía Auxiliar Bancaria, Industrial y Comercial (PABIC), como probable autor material del triple homicidio; dos mujeres y un hombre, así como de ladesaparición de Noelia, una niña de 4 años de edad. En conferencia de prensa, el fiscal General, Bernardo Rodríguez Alamilla, precisó que desde el asesinato de la menor se han logrado capturar a12 imputados y siete miembros de la célula criminal del llamado Comandante Cromo. Informó que en las detenciones participaron más de 500 elementos que para la operación efectuaron más de 30 cateos donde aseguraron armas y drogas. Fiscalía de Oaxaca y Gabinete de Seguridad Estatal detienen a probable autor del triple homicidio y la desaparición de una niña cometidos en Juchitán de ZaragozaOaxaca de Juárez a 19 de noviembre de 2025.- Durante la conferencia de prensa de Seguridad del Gobierno del Estado de…pic.twitter.com/pK0oYGrakq Rodríguez Alamilla reportó que el policía estatal, era miembro de la célula criminal delComandante Cromo, que buscaba crear su propio grupo criminal dedicado a la cebra de drogas al menudeo en el municipio de Juchitán de Zaragoza.</v>
      </c>
      <c r="O73" s="15">
        <f>IFERROR(__xludf.DUMMYFUNCTION("""COMPUTED_VALUE"""),1.0)</f>
        <v>1</v>
      </c>
      <c r="P73" s="2"/>
      <c r="Q73" s="17">
        <f>IFERROR(__xludf.DUMMYFUNCTION("""COMPUTED_VALUE"""),6.5)</f>
        <v>6.5</v>
      </c>
      <c r="R73" s="2" t="str">
        <f>IFERROR(__xludf.DUMMYFUNCTION("""COMPUTED_VALUE"""),"High")</f>
        <v>High</v>
      </c>
      <c r="S73" s="17">
        <f>IFERROR(__xludf.DUMMYFUNCTION("""COMPUTED_VALUE"""),2.5)</f>
        <v>2.5</v>
      </c>
      <c r="T73" s="17">
        <f>IFERROR(__xludf.DUMMYFUNCTION("""COMPUTED_VALUE"""),0.0)</f>
        <v>0</v>
      </c>
      <c r="U73" s="14">
        <f>IFERROR(__xludf.DUMMYFUNCTION("""COMPUTED_VALUE"""),3.0)</f>
        <v>3</v>
      </c>
      <c r="V73" s="14">
        <v>2025.0</v>
      </c>
      <c r="W73" s="2" t="s">
        <v>1206</v>
      </c>
      <c r="X73" s="2" t="s">
        <v>1203</v>
      </c>
      <c r="Y73" s="13" t="s">
        <v>317</v>
      </c>
      <c r="Z73" s="14">
        <v>0.0</v>
      </c>
      <c r="AA73" s="14">
        <v>0.0</v>
      </c>
      <c r="AB73" s="14">
        <v>0.0</v>
      </c>
      <c r="AC73" s="14">
        <v>0.0</v>
      </c>
      <c r="AD73" s="2">
        <v>0.0</v>
      </c>
      <c r="AE73" s="2">
        <v>1.0</v>
      </c>
      <c r="AF73" s="2">
        <v>11.0</v>
      </c>
      <c r="AG73" s="2" t="s">
        <v>1176</v>
      </c>
      <c r="AH73" s="2">
        <v>0.0</v>
      </c>
    </row>
    <row r="74" ht="15.75" customHeight="1">
      <c r="A74" s="2" t="str">
        <f>IFERROR(__xludf.DUMMYFUNCTION("""COMPUTED_VALUE"""),"Milenio")</f>
        <v>Milenio</v>
      </c>
      <c r="B74" s="12" t="str">
        <f>IFERROR(__xludf.DUMMYFUNCTION("""COMPUTED_VALUE"""),"Atacan a tiros a jefe policiaco de Tlaquiltenango Morelos; al parecer  intentaron asaltarlo")</f>
        <v>Atacan a tiros a jefe policiaco de Tlaquiltenango Morelos; al parecer  intentaron asaltarlo</v>
      </c>
      <c r="C74" s="13" t="str">
        <f>IFERROR(__xludf.DUMMYFUNCTION("""COMPUTED_VALUE"""),"2025-11-19 11:42:00")</f>
        <v>2025-11-19 11:42:00</v>
      </c>
      <c r="D74" s="14">
        <f>IFERROR(__xludf.DUMMYFUNCTION("""COMPUTED_VALUE"""),4.0)</f>
        <v>4</v>
      </c>
      <c r="E74" s="15">
        <f>IFERROR(__xludf.DUMMYFUNCTION("""COMPUTED_VALUE"""),-0.6227)</f>
        <v>-0.6227</v>
      </c>
      <c r="F74" s="2" t="str">
        <f>IFERROR(__xludf.DUMMYFUNCTION("""COMPUTED_VALUE"""),"Negativo")</f>
        <v>Negativo</v>
      </c>
      <c r="G74" s="15">
        <f>IFERROR(__xludf.DUMMYFUNCTION("""COMPUTED_VALUE"""),0.6227)</f>
        <v>0.6227</v>
      </c>
      <c r="H74" s="2" t="str">
        <f>IFERROR(__xludf.DUMMYFUNCTION("""COMPUTED_VALUE"""),"Accidente de tránsito o choque vial")</f>
        <v>Accidente de tránsito o choque vial</v>
      </c>
      <c r="I74" s="2" t="str">
        <f>IFERROR(__xludf.DUMMYFUNCTION("""COMPUTED_VALUE"""),"N/A")</f>
        <v>N/A</v>
      </c>
      <c r="J74" s="2" t="str">
        <f>IFERROR(__xludf.DUMMYFUNCTION("""COMPUTED_VALUE"""),"Seguridad Vial: Monitoreo de zona.")</f>
        <v>Seguridad Vial: Monitoreo de zona.</v>
      </c>
      <c r="K74" s="2" t="str">
        <f>IFERROR(__xludf.DUMMYFUNCTION("""COMPUTED_VALUE"""),"Morelos")</f>
        <v>Morelos</v>
      </c>
      <c r="L74" s="2" t="str">
        <f>IFERROR(__xludf.DUMMYFUNCTION("""COMPUTED_VALUE"""),"Morelos")</f>
        <v>Morelos</v>
      </c>
      <c r="M74" s="16" t="str">
        <f>IFERROR(__xludf.DUMMYFUNCTION("""COMPUTED_VALUE"""),"https://www.milenio.com/estados/titular-policia-tlaquiltenango-sufre-atentado-armado")</f>
        <v>https://www.milenio.com/estados/titular-policia-tlaquiltenango-sufre-atentado-armado</v>
      </c>
      <c r="N74" s="2" t="str">
        <f>IFERROR(__xludf.DUMMYFUNCTION("""COMPUTED_VALUE"""),"Esta mañana,Abraham Emmanuel Córdoba Valdés, director de la Policía de Tlaquiltenango en la zona sur de Morelos, resultó herido de bala al parecer por unintento de asaltoen el tramo carretero Tecomán-Las Estacas, a la altura del poblado de Huatecalco. De "&amp;"acuerdo con datos de las autoridades estatales, el ataque ocurrió alrededor de las 06:55 horas, cuando Córdoba Valdés, quien viajaba hacia el municipio de Tlaquiltenango a bordo de su auto particular, fueemboscado por dos hombresquienes lo esperaban metro"&amp;"s adelante en una motocicleta. De acuerdo con los primeros reportes, autoridades locales recibieron una llamada de auxilio alertando sobre disparos en la zona. Al llegar al lugar, encontraron al director de seguridad pública conheridas visibles de bala, p"&amp;"ero consciente. Rápidamente, paramédicos fueron llamados parabrindarle los primeros auxilios, confirmando que había recibido varios impactos de arma de fuego. Debido a la gravedad de las lesiones, fue trasladado de emergencia a un hospital para recibir at"&amp;"ención médica. Miguel Ángel Urrutiatitular de seguridad pública del estado, en conferencia de prensa mencionó que una de las primeras líneas de investigación refieren que el policía se resistió al asalto. Atenta invitación.Los integrantes de la Mesa de Co"&amp;"nstrucción de Paz y Seguridad, te invitan a seguir la Conferencia de Prensa este Miércoles 19 de Noviembre a las 9:00 horas, donde se informará de las detección más relevantes en los últimos 15 días en Morelos.¡Los esperamos!pic.twitter.com/XGISfzeCa9 La "&amp;"fiscalía de justicia en la zona sur, ya inició con las investigaciones correspondientes para esclarecer los hechos y dar con los responsables, quienes se encuentranprófugos de la justicia. Las autoridades mantienen vigilancia sobre el estado de salud del "&amp;"director y continúan las diligencias para esclarecer el ataque.")</f>
        <v>Esta mañana,Abraham Emmanuel Córdoba Valdés, director de la Policía de Tlaquiltenango en la zona sur de Morelos, resultó herido de bala al parecer por unintento de asaltoen el tramo carretero Tecomán-Las Estacas, a la altura del poblado de Huatecalco. De acuerdo con datos de las autoridades estatales, el ataque ocurrió alrededor de las 06:55 horas, cuando Córdoba Valdés, quien viajaba hacia el municipio de Tlaquiltenango a bordo de su auto particular, fueemboscado por dos hombresquienes lo esperaban metros adelante en una motocicleta. De acuerdo con los primeros reportes, autoridades locales recibieron una llamada de auxilio alertando sobre disparos en la zona. Al llegar al lugar, encontraron al director de seguridad pública conheridas visibles de bala, pero consciente. Rápidamente, paramédicos fueron llamados parabrindarle los primeros auxilios, confirmando que había recibido varios impactos de arma de fuego. Debido a la gravedad de las lesiones, fue trasladado de emergencia a un hospital para recibir atención médica. Miguel Ángel Urrutiatitular de seguridad pública del estado, en conferencia de prensa mencionó que una de las primeras líneas de investigación refieren que el policía se resistió al asalto. Atenta invitación.Los integrantes de la Mesa de Construcción de Paz y Seguridad, te invitan a seguir la Conferencia de Prensa este Miércoles 19 de Noviembre a las 9:00 horas, donde se informará de las detección más relevantes en los últimos 15 días en Morelos.¡Los esperamos!pic.twitter.com/XGISfzeCa9 La fiscalía de justicia en la zona sur, ya inició con las investigaciones correspondientes para esclarecer los hechos y dar con los responsables, quienes se encuentranprófugos de la justicia. Las autoridades mantienen vigilancia sobre el estado de salud del director y continúan las diligencias para esclarecer el ataque.</v>
      </c>
      <c r="O74" s="15">
        <f>IFERROR(__xludf.DUMMYFUNCTION("""COMPUTED_VALUE"""),0.3412)</f>
        <v>0.3412</v>
      </c>
      <c r="P74" s="2"/>
      <c r="Q74" s="17">
        <f>IFERROR(__xludf.DUMMYFUNCTION("""COMPUTED_VALUE"""),8.0)</f>
        <v>8</v>
      </c>
      <c r="R74" s="2" t="str">
        <f>IFERROR(__xludf.DUMMYFUNCTION("""COMPUTED_VALUE"""),"Medium")</f>
        <v>Medium</v>
      </c>
      <c r="S74" s="17">
        <f>IFERROR(__xludf.DUMMYFUNCTION("""COMPUTED_VALUE"""),1.0)</f>
        <v>1</v>
      </c>
      <c r="T74" s="17">
        <f>IFERROR(__xludf.DUMMYFUNCTION("""COMPUTED_VALUE"""),0.0)</f>
        <v>0</v>
      </c>
      <c r="U74" s="14">
        <f>IFERROR(__xludf.DUMMYFUNCTION("""COMPUTED_VALUE"""),3.0)</f>
        <v>3</v>
      </c>
      <c r="V74" s="14">
        <v>2025.0</v>
      </c>
      <c r="W74" s="2" t="s">
        <v>1206</v>
      </c>
      <c r="X74" s="2" t="s">
        <v>1203</v>
      </c>
      <c r="Y74" s="13" t="s">
        <v>322</v>
      </c>
      <c r="Z74" s="14">
        <v>0.0</v>
      </c>
      <c r="AA74" s="14">
        <v>0.0</v>
      </c>
      <c r="AB74" s="14">
        <v>0.0</v>
      </c>
      <c r="AC74" s="14">
        <v>0.0</v>
      </c>
      <c r="AD74" s="2">
        <v>0.0</v>
      </c>
      <c r="AE74" s="2">
        <v>1.0</v>
      </c>
      <c r="AF74" s="2">
        <v>11.0</v>
      </c>
      <c r="AG74" s="2" t="s">
        <v>1207</v>
      </c>
      <c r="AH74" s="2">
        <v>0.0</v>
      </c>
    </row>
    <row r="75" ht="15.75" customHeight="1">
      <c r="A75" s="2" t="str">
        <f>IFERROR(__xludf.DUMMYFUNCTION("""COMPUTED_VALUE"""),"Milenio")</f>
        <v>Milenio</v>
      </c>
      <c r="B75" s="12" t="str">
        <f>IFERROR(__xludf.DUMMYFUNCTION("""COMPUTED_VALUE"""),"Policía es apuñalado en el abdomen durante asalto tras salir de la estación Ecatepec del Metro")</f>
        <v>Policía es apuñalado en el abdomen durante asalto tras salir de la estación Ecatepec del Metro</v>
      </c>
      <c r="C75" s="13" t="str">
        <f>IFERROR(__xludf.DUMMYFUNCTION("""COMPUTED_VALUE"""),"2025-11-17 19:26:00")</f>
        <v>2025-11-17 19:26:00</v>
      </c>
      <c r="D75" s="14">
        <f>IFERROR(__xludf.DUMMYFUNCTION("""COMPUTED_VALUE"""),2.0)</f>
        <v>2</v>
      </c>
      <c r="E75" s="15">
        <f>IFERROR(__xludf.DUMMYFUNCTION("""COMPUTED_VALUE"""),-0.5702)</f>
        <v>-0.5702</v>
      </c>
      <c r="F75" s="2" t="str">
        <f>IFERROR(__xludf.DUMMYFUNCTION("""COMPUTED_VALUE"""),"Negativo")</f>
        <v>Negativo</v>
      </c>
      <c r="G75" s="15">
        <f>IFERROR(__xludf.DUMMYFUNCTION("""COMPUTED_VALUE"""),0.5702)</f>
        <v>0.5702</v>
      </c>
      <c r="H75" s="2" t="str">
        <f>IFERROR(__xludf.DUMMYFUNCTION("""COMPUTED_VALUE"""),"Operativo policial o detención")</f>
        <v>Operativo policial o detención</v>
      </c>
      <c r="I75" s="2" t="str">
        <f>IFERROR(__xludf.DUMMYFUNCTION("""COMPUTED_VALUE"""),"N/A")</f>
        <v>N/A</v>
      </c>
      <c r="J75" s="2" t="str">
        <f>IFERROR(__xludf.DUMMYFUNCTION("""COMPUTED_VALUE"""),"Monitoreo general.")</f>
        <v>Monitoreo general.</v>
      </c>
      <c r="K75" s="2" t="str">
        <f>IFERROR(__xludf.DUMMYFUNCTION("""COMPUTED_VALUE"""),"Ecatepec")</f>
        <v>Ecatepec</v>
      </c>
      <c r="L75" s="2" t="str">
        <f>IFERROR(__xludf.DUMMYFUNCTION("""COMPUTED_VALUE"""),"Estado de México")</f>
        <v>Estado de México</v>
      </c>
      <c r="M75" s="16" t="str">
        <f>IFERROR(__xludf.DUMMYFUNCTION("""COMPUTED_VALUE"""),"https://www.milenio.com/policia/apunalan-a-policia-durante-asalto-afuera-estacion-ecatepec-del-metro")</f>
        <v>https://www.milenio.com/policia/apunalan-a-policia-durante-asalto-afuera-estacion-ecatepec-del-metro</v>
      </c>
      <c r="N75" s="2" t="str">
        <f>IFERROR(__xludf.DUMMYFUNCTION("""COMPUTED_VALUE"""),"Un policía de la Secretaría de Seguridad Ciudadana (SSC) de la Ciudad de Méxicofue asaltado y lesionado tras salir de la estación Ecatepec de la Línea B delSistema de Transporte Colectivo (STC) Metro. Los hechos ocurrieron en la estación ubicada entre las"&amp;" avenidas Carlos Hank González y Sor Juana Inés de la Cruz, de la colonia Valle de Anáhuac Sección A, Estado de México,donde elementos de la Policía Auxiliar atendieron la situación y auxiliaron a su compañero. Los compañeros de la víctima observaron que "&amp;"en el área de torniquetes estaba una persona con manchas de sangre en el rostro y en ropa, por lo cual le brindaron apoyo y solicitaron los servidos médicos. El lesionado —quien se identificó como elemento de la SSC y horas antes del asalto salió de servi"&amp;"cio—explicó a los policías que fue agredido físicamente por dos hombres al exterior de las instalaciones de la estación. La víctima señaló que intentaron despojarlo de sus pertenencias, pero, al oponerse al asalto,fue lesionado con un objeto punzocortante"&amp;". Posteriormente,por sus propios medios caminó para refugiarse de sus presuntos agresores en la estación, donde esperaba recibir apoyo de sus compañeros. Por su parte, los policías auxiliares trasladaron al lesionado al cubículo del Inspector jefe de esta"&amp;"ción, donde llegó personal de Seguridad Industrial del Metro,que diagnosticó al oficial, de 56 años de edad, con cuatro heridas punzocortantes penetrantes y abdomen agudo. Antes de su traslado, la víctima indicó que una vez que se encuentre establepresent"&amp;"ará una denuncia formal ante las autoridades ministeriales mexiquensespara investigar el caso y dar con los presuntos responsables. Finalmente, se supo que personal deInspección Policial de la Policía Auxiliar y de la Dirección General de Asuntos Internos"&amp;"integran las carpetas de investigación internas para los trámites administrativos pertinentes.")</f>
        <v>Un policía de la Secretaría de Seguridad Ciudadana (SSC) de la Ciudad de Méxicofue asaltado y lesionado tras salir de la estación Ecatepec de la Línea B delSistema de Transporte Colectivo (STC) Metro. Los hechos ocurrieron en la estación ubicada entre las avenidas Carlos Hank González y Sor Juana Inés de la Cruz, de la colonia Valle de Anáhuac Sección A, Estado de México,donde elementos de la Policía Auxiliar atendieron la situación y auxiliaron a su compañero. Los compañeros de la víctima observaron que en el área de torniquetes estaba una persona con manchas de sangre en el rostro y en ropa, por lo cual le brindaron apoyo y solicitaron los servidos médicos. El lesionado —quien se identificó como elemento de la SSC y horas antes del asalto salió de servicio—explicó a los policías que fue agredido físicamente por dos hombres al exterior de las instalaciones de la estación. La víctima señaló que intentaron despojarlo de sus pertenencias, pero, al oponerse al asalto,fue lesionado con un objeto punzocortante. Posteriormente,por sus propios medios caminó para refugiarse de sus presuntos agresores en la estación, donde esperaba recibir apoyo de sus compañeros. Por su parte, los policías auxiliares trasladaron al lesionado al cubículo del Inspector jefe de estación, donde llegó personal de Seguridad Industrial del Metro,que diagnosticó al oficial, de 56 años de edad, con cuatro heridas punzocortantes penetrantes y abdomen agudo. Antes de su traslado, la víctima indicó que una vez que se encuentre establepresentará una denuncia formal ante las autoridades ministeriales mexiquensespara investigar el caso y dar con los presuntos responsables. Finalmente, se supo que personal deInspección Policial de la Policía Auxiliar y de la Dirección General de Asuntos Internosintegran las carpetas de investigación internas para los trámites administrativos pertinentes.</v>
      </c>
      <c r="O75" s="15">
        <f>IFERROR(__xludf.DUMMYFUNCTION("""COMPUTED_VALUE"""),0.281)</f>
        <v>0.281</v>
      </c>
      <c r="P75" s="2"/>
      <c r="Q75" s="17">
        <f>IFERROR(__xludf.DUMMYFUNCTION("""COMPUTED_VALUE"""),8.5)</f>
        <v>8.5</v>
      </c>
      <c r="R75" s="2" t="str">
        <f>IFERROR(__xludf.DUMMYFUNCTION("""COMPUTED_VALUE"""),"High")</f>
        <v>High</v>
      </c>
      <c r="S75" s="17">
        <f>IFERROR(__xludf.DUMMYFUNCTION("""COMPUTED_VALUE"""),5.5)</f>
        <v>5.5</v>
      </c>
      <c r="T75" s="17">
        <f>IFERROR(__xludf.DUMMYFUNCTION("""COMPUTED_VALUE"""),0.0)</f>
        <v>0</v>
      </c>
      <c r="U75" s="14">
        <f>IFERROR(__xludf.DUMMYFUNCTION("""COMPUTED_VALUE"""),3.0)</f>
        <v>3</v>
      </c>
      <c r="V75" s="14">
        <v>2025.0</v>
      </c>
      <c r="W75" s="2" t="s">
        <v>1206</v>
      </c>
      <c r="X75" s="2" t="s">
        <v>1169</v>
      </c>
      <c r="Y75" s="13" t="s">
        <v>327</v>
      </c>
      <c r="Z75" s="14">
        <v>0.0</v>
      </c>
      <c r="AA75" s="14">
        <v>0.0</v>
      </c>
      <c r="AB75" s="14">
        <v>0.0</v>
      </c>
      <c r="AC75" s="14">
        <v>0.0</v>
      </c>
      <c r="AD75" s="2">
        <v>0.0</v>
      </c>
      <c r="AE75" s="2">
        <v>0.0</v>
      </c>
      <c r="AF75" s="2">
        <v>11.0</v>
      </c>
      <c r="AG75" s="2" t="s">
        <v>1208</v>
      </c>
      <c r="AH75" s="2">
        <v>0.0</v>
      </c>
    </row>
    <row r="76" ht="15.75" customHeight="1">
      <c r="A76" s="2" t="str">
        <f>IFERROR(__xludf.DUMMYFUNCTION("""COMPUTED_VALUE"""),"Milenio")</f>
        <v>Milenio</v>
      </c>
      <c r="B76" s="12" t="str">
        <f>IFERROR(__xludf.DUMMYFUNCTION("""COMPUTED_VALUE"""),"Detienen a tres hombres por posesión de armas en Tlaquepaque")</f>
        <v>Detienen a tres hombres por posesión de armas en Tlaquepaque</v>
      </c>
      <c r="C76" s="13" t="str">
        <f>IFERROR(__xludf.DUMMYFUNCTION("""COMPUTED_VALUE"""),"2025-11-07 10:59:05")</f>
        <v>2025-11-07 10:59:05</v>
      </c>
      <c r="D76" s="14">
        <f>IFERROR(__xludf.DUMMYFUNCTION("""COMPUTED_VALUE"""),2.0)</f>
        <v>2</v>
      </c>
      <c r="E76" s="15">
        <f>IFERROR(__xludf.DUMMYFUNCTION("""COMPUTED_VALUE"""),-0.6798)</f>
        <v>-0.6798</v>
      </c>
      <c r="F76" s="2" t="str">
        <f>IFERROR(__xludf.DUMMYFUNCTION("""COMPUTED_VALUE"""),"Negativo")</f>
        <v>Negativo</v>
      </c>
      <c r="G76" s="15">
        <f>IFERROR(__xludf.DUMMYFUNCTION("""COMPUTED_VALUE"""),0.6798)</f>
        <v>0.6798</v>
      </c>
      <c r="H76" s="2" t="str">
        <f>IFERROR(__xludf.DUMMYFUNCTION("""COMPUTED_VALUE"""),"Operativo policial o detención")</f>
        <v>Operativo policial o detención</v>
      </c>
      <c r="I76" s="2" t="str">
        <f>IFERROR(__xludf.DUMMYFUNCTION("""COMPUTED_VALUE"""),"N/A")</f>
        <v>N/A</v>
      </c>
      <c r="J76" s="2" t="str">
        <f>IFERROR(__xludf.DUMMYFUNCTION("""COMPUTED_VALUE"""),"Monitoreo general.")</f>
        <v>Monitoreo general.</v>
      </c>
      <c r="K76" s="2" t="str">
        <f>IFERROR(__xludf.DUMMYFUNCTION("""COMPUTED_VALUE"""),"San Pedro Tlaquepaque")</f>
        <v>San Pedro Tlaquepaque</v>
      </c>
      <c r="L76" s="2" t="str">
        <f>IFERROR(__xludf.DUMMYFUNCTION("""COMPUTED_VALUE"""),"Jalisco")</f>
        <v>Jalisco</v>
      </c>
      <c r="M76" s="16" t="str">
        <f>IFERROR(__xludf.DUMMYFUNCTION("""COMPUTED_VALUE"""),"https://www.milenio.com/policia/tlaquepaque-detienen-hombres-posesion-cartuchos-armas")</f>
        <v>https://www.milenio.com/policia/tlaquepaque-detienen-hombres-posesion-cartuchos-armas</v>
      </c>
      <c r="N76" s="2" t="str">
        <f>IFERROR(__xludf.DUMMYFUNCTION("""COMPUTED_VALUE"""),"Tres hombres que portaban consigo varios cartuchos de diversas armas de fuego, en el municipio deTlaquepaquefueron puestos a disposición del Ministerio Público Federal. La detención de los acusados ocurrió luego de quepolicías municipalesrecibieran unrepo"&amp;"rtede la Central de Comunicaciones, en la cual le indicaban de unapersona agresivaen los cruces de López Cotilla y Pedro Moreno en la colonia Emiliano Zapata. A la llegada del personal operativo de seguridad pública de San Pedro Tlaquepaque, detectaron a "&amp;"bordo de un vehículo  Renault Kangoo a tres hombres que actuaban de manera sospechosa por lo cual, les pidieron llevar a cabo una inspección precautoria. Para la revisión fue necesario el apoyo del escuadrón k9. Al momento de llevarse a cabo la inspección"&amp;" se localizaron, dos cargadores de calibre 9 milímetros; 9 cartuchos útiles al calibre 9 mm; dos cartuchos útiles del calibre 357; dos cartuchos útiles del calibre 38; súper y un cartucho útil del calibre 380; así como un hacha de fierro, un esmeril y una"&amp;" barra de acero. Fue por ello que se pidió mando y conducción para asegurar a los tres hombres. Los primeros, un par de jóvenes, Brian ""N"" y Christian Emmanuel ""N"" ambos de 19 años de edad, así como otro de 44 años de nombre José ""N"".")</f>
        <v>Tres hombres que portaban consigo varios cartuchos de diversas armas de fuego, en el municipio deTlaquepaquefueron puestos a disposición del Ministerio Público Federal. La detención de los acusados ocurrió luego de quepolicías municipalesrecibieran unreportede la Central de Comunicaciones, en la cual le indicaban de unapersona agresivaen los cruces de López Cotilla y Pedro Moreno en la colonia Emiliano Zapata. A la llegada del personal operativo de seguridad pública de San Pedro Tlaquepaque, detectaron a bordo de un vehículo  Renault Kangoo a tres hombres que actuaban de manera sospechosa por lo cual, les pidieron llevar a cabo una inspección precautoria. Para la revisión fue necesario el apoyo del escuadrón k9. Al momento de llevarse a cabo la inspección se localizaron, dos cargadores de calibre 9 milímetros; 9 cartuchos útiles al calibre 9 mm; dos cartuchos útiles del calibre 357; dos cartuchos útiles del calibre 38; súper y un cartucho útil del calibre 380; así como un hacha de fierro, un esmeril y una barra de acero. Fue por ello que se pidió mando y conducción para asegurar a los tres hombres. Los primeros, un par de jóvenes, Brian "N" y Christian Emmanuel "N" ambos de 19 años de edad, así como otro de 44 años de nombre José "N".</v>
      </c>
      <c r="O76" s="15">
        <f>IFERROR(__xludf.DUMMYFUNCTION("""COMPUTED_VALUE"""),0.9061)</f>
        <v>0.9061</v>
      </c>
      <c r="P76" s="2"/>
      <c r="Q76" s="17">
        <f>IFERROR(__xludf.DUMMYFUNCTION("""COMPUTED_VALUE"""),4.0)</f>
        <v>4</v>
      </c>
      <c r="R76" s="2" t="str">
        <f>IFERROR(__xludf.DUMMYFUNCTION("""COMPUTED_VALUE"""),"Low")</f>
        <v>Low</v>
      </c>
      <c r="S76" s="17">
        <f>IFERROR(__xludf.DUMMYFUNCTION("""COMPUTED_VALUE"""),0.0)</f>
        <v>0</v>
      </c>
      <c r="T76" s="17">
        <f>IFERROR(__xludf.DUMMYFUNCTION("""COMPUTED_VALUE"""),0.0)</f>
        <v>0</v>
      </c>
      <c r="U76" s="14">
        <f>IFERROR(__xludf.DUMMYFUNCTION("""COMPUTED_VALUE"""),3.0)</f>
        <v>3</v>
      </c>
      <c r="V76" s="14">
        <v>2025.0</v>
      </c>
      <c r="W76" s="2" t="s">
        <v>1206</v>
      </c>
      <c r="X76" s="2" t="s">
        <v>1199</v>
      </c>
      <c r="Y76" s="13" t="s">
        <v>332</v>
      </c>
      <c r="Z76" s="14">
        <v>0.0</v>
      </c>
      <c r="AA76" s="14">
        <v>0.0</v>
      </c>
      <c r="AB76" s="14">
        <v>0.0</v>
      </c>
      <c r="AC76" s="14">
        <v>0.0</v>
      </c>
      <c r="AD76" s="2">
        <v>0.0</v>
      </c>
      <c r="AE76" s="2">
        <v>0.0</v>
      </c>
      <c r="AF76" s="2">
        <v>11.0</v>
      </c>
      <c r="AG76" s="2" t="s">
        <v>1209</v>
      </c>
      <c r="AH76" s="2">
        <v>0.0</v>
      </c>
    </row>
    <row r="77" ht="15.75" customHeight="1">
      <c r="A77" s="2" t="str">
        <f>IFERROR(__xludf.DUMMYFUNCTION("""COMPUTED_VALUE"""),"Milenio")</f>
        <v>Milenio</v>
      </c>
      <c r="B77" s="12" t="str">
        <f>IFERROR(__xludf.DUMMYFUNCTION("""COMPUTED_VALUE"""),"Motociclista resulta lesionado tras chocar contra camión en Torreón")</f>
        <v>Motociclista resulta lesionado tras chocar contra camión en Torreón</v>
      </c>
      <c r="C77" s="13" t="str">
        <f>IFERROR(__xludf.DUMMYFUNCTION("""COMPUTED_VALUE"""),"2025-11-06 19:46:55")</f>
        <v>2025-11-06 19:46:55</v>
      </c>
      <c r="D77" s="14">
        <f>IFERROR(__xludf.DUMMYFUNCTION("""COMPUTED_VALUE"""),2.0)</f>
        <v>2</v>
      </c>
      <c r="E77" s="15">
        <f>IFERROR(__xludf.DUMMYFUNCTION("""COMPUTED_VALUE"""),-0.6624)</f>
        <v>-0.6624</v>
      </c>
      <c r="F77" s="2" t="str">
        <f>IFERROR(__xludf.DUMMYFUNCTION("""COMPUTED_VALUE"""),"Negativo")</f>
        <v>Negativo</v>
      </c>
      <c r="G77" s="15">
        <f>IFERROR(__xludf.DUMMYFUNCTION("""COMPUTED_VALUE"""),0.6624)</f>
        <v>0.6624</v>
      </c>
      <c r="H77" s="2" t="str">
        <f>IFERROR(__xludf.DUMMYFUNCTION("""COMPUTED_VALUE"""),"Accidente de tránsito o choque vial")</f>
        <v>Accidente de tránsito o choque vial</v>
      </c>
      <c r="I77" s="2" t="str">
        <f>IFERROR(__xludf.DUMMYFUNCTION("""COMPUTED_VALUE"""),"N/A")</f>
        <v>N/A</v>
      </c>
      <c r="J77" s="2" t="str">
        <f>IFERROR(__xludf.DUMMYFUNCTION("""COMPUTED_VALUE"""),"Soporte DRV: Seguros/Guía post-siniestro.")</f>
        <v>Soporte DRV: Seguros/Guía post-siniestro.</v>
      </c>
      <c r="K77" s="2" t="str">
        <f>IFERROR(__xludf.DUMMYFUNCTION("""COMPUTED_VALUE"""),"Torreón")</f>
        <v>Torreón</v>
      </c>
      <c r="L77" s="2" t="str">
        <f>IFERROR(__xludf.DUMMYFUNCTION("""COMPUTED_VALUE"""),"Coahuila")</f>
        <v>Coahuila</v>
      </c>
      <c r="M77" s="16" t="str">
        <f>IFERROR(__xludf.DUMMYFUNCTION("""COMPUTED_VALUE"""),"https://www.milenio.com/estados/motociclista-resulta-lesionado-chocar-camion-torreon")</f>
        <v>https://www.milenio.com/estados/motociclista-resulta-lesionado-chocar-camion-torreon</v>
      </c>
      <c r="N77" s="2" t="str">
        <f>IFERROR(__xludf.DUMMYFUNCTION("""COMPUTED_VALUE"""),"Un hombre de 56 años resultó lesionado la tarde de este martes luego de protagonizar unaccidente vialsobre la avenida Hacienda de la Laguna, en la colonia Ex Hacienda La Perla deTorreón. El percance ocurrió alrededor de las 16:47 horas, cuando el señorJua"&amp;"n , de 56 años, quien viajaba a bordo de una motocicletanegra sin placas, impactó contra un camión amarillo con blanco de la ruta Sur Jardines, perteneciente al servicio de transporte público. El motociclista quedó tendido sobre la carpeta asfáltica y fue"&amp;" auxiliado por paramédicos de la Cruz Roja Mexicana, quienes tras brindarle los primeros auxilios, lo trasladaron a un hospital para recibir atención médica, pues presentabadiversas lesiones,entre ellas una posible fractura en una pierna. El chofer de la "&amp;"ruta, identificado como Juan Cruz Hurón, de 22 años, resultó ileso. Elementos deBomberos y Protección Civilacudieron al lugar para apoyar en las labores de auxilio, mientras que personal de Tránsito y Vialidad procedió a delimitar el área con conos preven"&amp;"tivos y realizar el peritaje correspondiente. Las primeras indagatorias indican que la motocicleta habría quedado parcialmente debajo del camión, lo queprovocó que la pierna del conductor quedara prensada,todo por exceso de velocidad.")</f>
        <v>Un hombre de 56 años resultó lesionado la tarde de este martes luego de protagonizar unaccidente vialsobre la avenida Hacienda de la Laguna, en la colonia Ex Hacienda La Perla deTorreón. El percance ocurrió alrededor de las 16:47 horas, cuando el señorJuan , de 56 años, quien viajaba a bordo de una motocicletanegra sin placas, impactó contra un camión amarillo con blanco de la ruta Sur Jardines, perteneciente al servicio de transporte público. El motociclista quedó tendido sobre la carpeta asfáltica y fue auxiliado por paramédicos de la Cruz Roja Mexicana, quienes tras brindarle los primeros auxilios, lo trasladaron a un hospital para recibir atención médica, pues presentabadiversas lesiones,entre ellas una posible fractura en una pierna. El chofer de la ruta, identificado como Juan Cruz Hurón, de 22 años, resultó ileso. Elementos deBomberos y Protección Civilacudieron al lugar para apoyar en las labores de auxilio, mientras que personal de Tránsito y Vialidad procedió a delimitar el área con conos preventivos y realizar el peritaje correspondiente. Las primeras indagatorias indican que la motocicleta habría quedado parcialmente debajo del camión, lo queprovocó que la pierna del conductor quedara prensada,todo por exceso de velocidad.</v>
      </c>
      <c r="O77" s="15">
        <f>IFERROR(__xludf.DUMMYFUNCTION("""COMPUTED_VALUE"""),0.9345)</f>
        <v>0.9345</v>
      </c>
      <c r="P77" s="2"/>
      <c r="Q77" s="17">
        <f>IFERROR(__xludf.DUMMYFUNCTION("""COMPUTED_VALUE"""),5.5)</f>
        <v>5.5</v>
      </c>
      <c r="R77" s="2" t="str">
        <f>IFERROR(__xludf.DUMMYFUNCTION("""COMPUTED_VALUE"""),"High")</f>
        <v>High</v>
      </c>
      <c r="S77" s="17">
        <f>IFERROR(__xludf.DUMMYFUNCTION("""COMPUTED_VALUE"""),5.5)</f>
        <v>5.5</v>
      </c>
      <c r="T77" s="17">
        <f>IFERROR(__xludf.DUMMYFUNCTION("""COMPUTED_VALUE"""),0.0)</f>
        <v>0</v>
      </c>
      <c r="U77" s="14">
        <f>IFERROR(__xludf.DUMMYFUNCTION("""COMPUTED_VALUE"""),3.0)</f>
        <v>3</v>
      </c>
      <c r="V77" s="14">
        <v>2025.0</v>
      </c>
      <c r="W77" s="2" t="s">
        <v>1206</v>
      </c>
      <c r="X77" s="2" t="s">
        <v>1201</v>
      </c>
      <c r="Y77" s="13" t="s">
        <v>337</v>
      </c>
      <c r="Z77" s="14">
        <v>0.0</v>
      </c>
      <c r="AA77" s="14">
        <v>0.0</v>
      </c>
      <c r="AB77" s="14">
        <v>0.0</v>
      </c>
      <c r="AC77" s="14">
        <v>0.0</v>
      </c>
      <c r="AD77" s="2">
        <v>0.0</v>
      </c>
      <c r="AE77" s="2">
        <v>0.0</v>
      </c>
      <c r="AF77" s="2">
        <v>11.0</v>
      </c>
      <c r="AG77" s="2" t="s">
        <v>1204</v>
      </c>
      <c r="AH77" s="2">
        <v>0.0</v>
      </c>
    </row>
    <row r="78" ht="15.75" customHeight="1">
      <c r="A78" s="2" t="str">
        <f>IFERROR(__xludf.DUMMYFUNCTION("""COMPUTED_VALUE"""),"Milenio")</f>
        <v>Milenio</v>
      </c>
      <c r="B78" s="12" t="str">
        <f>IFERROR(__xludf.DUMMYFUNCTION("""COMPUTED_VALUE"""),"Arriban elementos de la SSPC a Uruapan para reforzar la seguridad tras el asesinato de Carlos Manzo")</f>
        <v>Arriban elementos de la SSPC a Uruapan para reforzar la seguridad tras el asesinato de Carlos Manzo</v>
      </c>
      <c r="C78" s="13" t="str">
        <f>IFERROR(__xludf.DUMMYFUNCTION("""COMPUTED_VALUE"""),"2025-11-06 07:31:00")</f>
        <v>2025-11-06 07:31:00</v>
      </c>
      <c r="D78" s="14">
        <f>IFERROR(__xludf.DUMMYFUNCTION("""COMPUTED_VALUE"""),2.0)</f>
        <v>2</v>
      </c>
      <c r="E78" s="15">
        <f>IFERROR(__xludf.DUMMYFUNCTION("""COMPUTED_VALUE"""),0.0)</f>
        <v>0</v>
      </c>
      <c r="F78" s="2" t="str">
        <f>IFERROR(__xludf.DUMMYFUNCTION("""COMPUTED_VALUE"""),"Neutral")</f>
        <v>Neutral</v>
      </c>
      <c r="G78" s="15">
        <f>IFERROR(__xludf.DUMMYFUNCTION("""COMPUTED_VALUE"""),0.5776)</f>
        <v>0.5776</v>
      </c>
      <c r="H78" s="2" t="str">
        <f>IFERROR(__xludf.DUMMYFUNCTION("""COMPUTED_VALUE"""),"Operativo policial o detención")</f>
        <v>Operativo policial o detención</v>
      </c>
      <c r="I78" s="2" t="str">
        <f>IFERROR(__xludf.DUMMYFUNCTION("""COMPUTED_VALUE"""),"N/A")</f>
        <v>N/A</v>
      </c>
      <c r="J78" s="2" t="str">
        <f>IFERROR(__xludf.DUMMYFUNCTION("""COMPUTED_VALUE"""),"Monitoreo general.")</f>
        <v>Monitoreo general.</v>
      </c>
      <c r="K78" s="2" t="str">
        <f>IFERROR(__xludf.DUMMYFUNCTION("""COMPUTED_VALUE"""),"Michoacán")</f>
        <v>Michoacán</v>
      </c>
      <c r="L78" s="2" t="str">
        <f>IFERROR(__xludf.DUMMYFUNCTION("""COMPUTED_VALUE"""),"Michoacán")</f>
        <v>Michoacán</v>
      </c>
      <c r="M78" s="16" t="str">
        <f>IFERROR(__xludf.DUMMYFUNCTION("""COMPUTED_VALUE"""),"https://www.milenio.com/estados/llegan-elementos-de-la-sspc-a-uruapan-para-reforzar-seguridad")</f>
        <v>https://www.milenio.com/estados/llegan-elementos-de-la-sspc-a-uruapan-para-reforzar-seguridad</v>
      </c>
      <c r="N78" s="2" t="str">
        <f>IFERROR(__xludf.DUMMYFUNCTION("""COMPUTED_VALUE"""),"Un convoy de patrullas con los logotipos de laSecretaría de Seguridad y Protección Ciudadana (SSPC)arribaron este miércoles por la noche al municipio de Uruapan, Michoacán, para integrarse a las operaciones de seguridad, luego delasesinato del ex presiden"&amp;"te municipal, Carlos Manzo Rodríguez. Este despliegue forma parte de unplan de acción federal destinado a reforzar la seguridady restablecer el orden en el municipio y en otras regiones de Michoacán, en medio de la tensión social y las manifestaciones que"&amp;" se han registrado en distintos puntos del estado tras el crimen del edil. Se trata de las primeras unidades federales enviadas a la región como parte de unaestrategia coordinada entre los tres niveles de gobierno, enfocada en la pacificación y vigilancia"&amp;" permanente de zonas consideradas de riesgo. El refuerzo de seguridad busca prevenir nuevos hechos de violencia y brindar confianza a la ciudadanía, luego de varios días de movilizaciones, algunas de ellas con incidentes de vandalismo.")</f>
        <v>Un convoy de patrullas con los logotipos de laSecretaría de Seguridad y Protección Ciudadana (SSPC)arribaron este miércoles por la noche al municipio de Uruapan, Michoacán, para integrarse a las operaciones de seguridad, luego delasesinato del ex presidente municipal, Carlos Manzo Rodríguez. Este despliegue forma parte de unplan de acción federal destinado a reforzar la seguridady restablecer el orden en el municipio y en otras regiones de Michoacán, en medio de la tensión social y las manifestaciones que se han registrado en distintos puntos del estado tras el crimen del edil. Se trata de las primeras unidades federales enviadas a la región como parte de unaestrategia coordinada entre los tres niveles de gobierno, enfocada en la pacificación y vigilancia permanente de zonas consideradas de riesgo. El refuerzo de seguridad busca prevenir nuevos hechos de violencia y brindar confianza a la ciudadanía, luego de varios días de movilizaciones, algunas de ellas con incidentes de vandalismo.</v>
      </c>
      <c r="O78" s="15">
        <f>IFERROR(__xludf.DUMMYFUNCTION("""COMPUTED_VALUE"""),0.5089)</f>
        <v>0.5089</v>
      </c>
      <c r="P78" s="2"/>
      <c r="Q78" s="17">
        <f>IFERROR(__xludf.DUMMYFUNCTION("""COMPUTED_VALUE"""),5.0)</f>
        <v>5</v>
      </c>
      <c r="R78" s="2" t="str">
        <f>IFERROR(__xludf.DUMMYFUNCTION("""COMPUTED_VALUE"""),"High")</f>
        <v>High</v>
      </c>
      <c r="S78" s="17">
        <f>IFERROR(__xludf.DUMMYFUNCTION("""COMPUTED_VALUE"""),2.0)</f>
        <v>2</v>
      </c>
      <c r="T78" s="17">
        <f>IFERROR(__xludf.DUMMYFUNCTION("""COMPUTED_VALUE"""),0.0)</f>
        <v>0</v>
      </c>
      <c r="U78" s="14">
        <f>IFERROR(__xludf.DUMMYFUNCTION("""COMPUTED_VALUE"""),3.0)</f>
        <v>3</v>
      </c>
      <c r="V78" s="14">
        <v>2025.0</v>
      </c>
      <c r="W78" s="2" t="s">
        <v>1206</v>
      </c>
      <c r="X78" s="2" t="s">
        <v>1201</v>
      </c>
      <c r="Y78" s="13" t="s">
        <v>341</v>
      </c>
      <c r="Z78" s="14">
        <v>0.0</v>
      </c>
      <c r="AA78" s="14">
        <v>0.0</v>
      </c>
      <c r="AB78" s="14">
        <v>0.0</v>
      </c>
      <c r="AC78" s="14">
        <v>0.0</v>
      </c>
      <c r="AD78" s="2">
        <v>0.0</v>
      </c>
      <c r="AE78" s="2">
        <v>0.0</v>
      </c>
      <c r="AF78" s="2">
        <v>11.0</v>
      </c>
      <c r="AG78" s="2" t="s">
        <v>1174</v>
      </c>
      <c r="AH78" s="2">
        <v>0.0</v>
      </c>
    </row>
    <row r="79" ht="15.75" customHeight="1">
      <c r="A79" s="2" t="str">
        <f>IFERROR(__xludf.DUMMYFUNCTION("""COMPUTED_VALUE"""),"Milenio")</f>
        <v>Milenio</v>
      </c>
      <c r="B79" s="12" t="str">
        <f>IFERROR(__xludf.DUMMYFUNCTION("""COMPUTED_VALUE"""),"Suspenden a 14 policías de Tijuana y Mexicali por presunto robo de droga")</f>
        <v>Suspenden a 14 policías de Tijuana y Mexicali por presunto robo de droga</v>
      </c>
      <c r="C79" s="13" t="str">
        <f>IFERROR(__xludf.DUMMYFUNCTION("""COMPUTED_VALUE"""),"2025-10-23 12:01:00")</f>
        <v>2025-10-23 12:01:00</v>
      </c>
      <c r="D79" s="14">
        <f>IFERROR(__xludf.DUMMYFUNCTION("""COMPUTED_VALUE"""),2.0)</f>
        <v>2</v>
      </c>
      <c r="E79" s="15">
        <f>IFERROR(__xludf.DUMMYFUNCTION("""COMPUTED_VALUE"""),-0.5233)</f>
        <v>-0.5233</v>
      </c>
      <c r="F79" s="2" t="str">
        <f>IFERROR(__xludf.DUMMYFUNCTION("""COMPUTED_VALUE"""),"Negativo")</f>
        <v>Negativo</v>
      </c>
      <c r="G79" s="15">
        <f>IFERROR(__xludf.DUMMYFUNCTION("""COMPUTED_VALUE"""),0.5233)</f>
        <v>0.5233</v>
      </c>
      <c r="H79" s="2" t="str">
        <f>IFERROR(__xludf.DUMMYFUNCTION("""COMPUTED_VALUE"""),"Operativo policial o detención")</f>
        <v>Operativo policial o detención</v>
      </c>
      <c r="I79" s="2" t="str">
        <f>IFERROR(__xludf.DUMMYFUNCTION("""COMPUTED_VALUE"""),"N/A")</f>
        <v>N/A</v>
      </c>
      <c r="J79" s="2" t="str">
        <f>IFERROR(__xludf.DUMMYFUNCTION("""COMPUTED_VALUE"""),"Monitoreo general.")</f>
        <v>Monitoreo general.</v>
      </c>
      <c r="K79" s="2" t="str">
        <f>IFERROR(__xludf.DUMMYFUNCTION("""COMPUTED_VALUE"""),"Tijuana")</f>
        <v>Tijuana</v>
      </c>
      <c r="L79" s="2" t="str">
        <f>IFERROR(__xludf.DUMMYFUNCTION("""COMPUTED_VALUE"""),"Baja California")</f>
        <v>Baja California</v>
      </c>
      <c r="M79" s="16" t="str">
        <f>IFERROR(__xludf.DUMMYFUNCTION("""COMPUTED_VALUE"""),"https://www.milenio.com/policia/suspenden-en-tijuana-a-14-policias-por-presunto-robo-de-droga")</f>
        <v>https://www.milenio.com/policia/suspenden-en-tijuana-a-14-policias-por-presunto-robo-de-droga</v>
      </c>
      <c r="N79" s="2" t="str">
        <f>IFERROR(__xludf.DUMMYFUNCTION("""COMPUTED_VALUE"""),"Catorce agentes de la Fuerza Estatal de Seguridad Ciudadana (FESC), adscritos aMexicali yTijuana, fueronsuspendidosde manera preventiva por supresunta participación en el robode 180 kilos de cocaína. El delito ocurrió el 4 de octubre en un inmueble de lac"&amp;"olonia Ojo de Agua, a las afueras de la ciudad de Tijuana, en los límites con Tecate. El secretario de Seguridad Ciudadana, Laureano Carrillo Rodríguez, explicó que la investigación interna arrojó posiblesindicios de la participación de los elementos, por"&amp;" lo que se determinó separarlos temporalmente de sus puestos, mientras avanza el proceso administrativo. Carrillo expuso, además, que no se descarta laposible implicación de personal militar, aunque hasta ahora solo se ha identificado a agentes civiles en"&amp;" el caso. De acuerdo con la indagatoria interna, en el robo se utilizó unvehículo Kia, que inicialmente se reportó como gris, aunque videos sugieren que es blanco. El funcionario reconoció que ya se presentó una denuncia ante la Fiscalía General de la Rep"&amp;"ública (FGE) por eluso indebido de equipo y unidades oficiales. Esto ha generado una división interna en la Fuerza Estatal de Seguridad Ciudadana (FESC), pues los policías señalados emitieron una carta dondeniegan su participación y denuncian que la indag"&amp;"atoria es imparcial, ya que busca ocultar a quienes en realidad cometieron el ilícito.")</f>
        <v>Catorce agentes de la Fuerza Estatal de Seguridad Ciudadana (FESC), adscritos aMexicali yTijuana, fueronsuspendidosde manera preventiva por supresunta participación en el robode 180 kilos de cocaína. El delito ocurrió el 4 de octubre en un inmueble de lacolonia Ojo de Agua, a las afueras de la ciudad de Tijuana, en los límites con Tecate. El secretario de Seguridad Ciudadana, Laureano Carrillo Rodríguez, explicó que la investigación interna arrojó posiblesindicios de la participación de los elementos, por lo que se determinó separarlos temporalmente de sus puestos, mientras avanza el proceso administrativo. Carrillo expuso, además, que no se descarta laposible implicación de personal militar, aunque hasta ahora solo se ha identificado a agentes civiles en el caso. De acuerdo con la indagatoria interna, en el robo se utilizó unvehículo Kia, que inicialmente se reportó como gris, aunque videos sugieren que es blanco. El funcionario reconoció que ya se presentó una denuncia ante la Fiscalía General de la República (FGE) por eluso indebido de equipo y unidades oficiales. Esto ha generado una división interna en la Fuerza Estatal de Seguridad Ciudadana (FESC), pues los policías señalados emitieron una carta dondeniegan su participación y denuncian que la indagatoria es imparcial, ya que busca ocultar a quienes en realidad cometieron el ilícito.</v>
      </c>
      <c r="O79" s="15">
        <f>IFERROR(__xludf.DUMMYFUNCTION("""COMPUTED_VALUE"""),0.6564)</f>
        <v>0.6564</v>
      </c>
      <c r="P79" s="2"/>
      <c r="Q79" s="17">
        <f>IFERROR(__xludf.DUMMYFUNCTION("""COMPUTED_VALUE"""),6.5)</f>
        <v>6.5</v>
      </c>
      <c r="R79" s="2" t="str">
        <f>IFERROR(__xludf.DUMMYFUNCTION("""COMPUTED_VALUE"""),"High")</f>
        <v>High</v>
      </c>
      <c r="S79" s="17">
        <f>IFERROR(__xludf.DUMMYFUNCTION("""COMPUTED_VALUE"""),2.5)</f>
        <v>2.5</v>
      </c>
      <c r="T79" s="17">
        <f>IFERROR(__xludf.DUMMYFUNCTION("""COMPUTED_VALUE"""),0.0)</f>
        <v>0</v>
      </c>
      <c r="U79" s="14">
        <f>IFERROR(__xludf.DUMMYFUNCTION("""COMPUTED_VALUE"""),3.0)</f>
        <v>3</v>
      </c>
      <c r="V79" s="14">
        <v>2025.0</v>
      </c>
      <c r="W79" s="2" t="s">
        <v>1210</v>
      </c>
      <c r="X79" s="2" t="s">
        <v>1201</v>
      </c>
      <c r="Y79" s="13" t="s">
        <v>345</v>
      </c>
      <c r="Z79" s="14">
        <v>0.0</v>
      </c>
      <c r="AA79" s="14">
        <v>0.0</v>
      </c>
      <c r="AB79" s="14">
        <v>0.0</v>
      </c>
      <c r="AC79" s="14">
        <v>0.0</v>
      </c>
      <c r="AD79" s="2">
        <v>0.0</v>
      </c>
      <c r="AE79" s="2">
        <v>0.0</v>
      </c>
      <c r="AF79" s="2">
        <v>10.0</v>
      </c>
      <c r="AG79" s="2" t="s">
        <v>1211</v>
      </c>
      <c r="AH79" s="2">
        <v>0.0</v>
      </c>
    </row>
    <row r="80" ht="15.75" customHeight="1">
      <c r="A80" s="2" t="str">
        <f>IFERROR(__xludf.DUMMYFUNCTION("""COMPUTED_VALUE"""),"Milenio")</f>
        <v>Milenio</v>
      </c>
      <c r="B80" s="12" t="str">
        <f>IFERROR(__xludf.DUMMYFUNCTION("""COMPUTED_VALUE"""),"Aseguran más de cinco kilos de marihuana en Matamoros")</f>
        <v>Aseguran más de cinco kilos de marihuana en Matamoros</v>
      </c>
      <c r="C80" s="13" t="str">
        <f>IFERROR(__xludf.DUMMYFUNCTION("""COMPUTED_VALUE"""),"2025-10-22 16:46:31")</f>
        <v>2025-10-22 16:46:31</v>
      </c>
      <c r="D80" s="14">
        <f>IFERROR(__xludf.DUMMYFUNCTION("""COMPUTED_VALUE"""),2.0)</f>
        <v>2</v>
      </c>
      <c r="E80" s="15">
        <f>IFERROR(__xludf.DUMMYFUNCTION("""COMPUTED_VALUE"""),0.0)</f>
        <v>0</v>
      </c>
      <c r="F80" s="2" t="str">
        <f>IFERROR(__xludf.DUMMYFUNCTION("""COMPUTED_VALUE"""),"Neutral")</f>
        <v>Neutral</v>
      </c>
      <c r="G80" s="15">
        <f>IFERROR(__xludf.DUMMYFUNCTION("""COMPUTED_VALUE"""),0.5061)</f>
        <v>0.5061</v>
      </c>
      <c r="H80" s="2" t="str">
        <f>IFERROR(__xludf.DUMMYFUNCTION("""COMPUTED_VALUE"""),"Operativo policial o detención")</f>
        <v>Operativo policial o detención</v>
      </c>
      <c r="I80" s="2" t="str">
        <f>IFERROR(__xludf.DUMMYFUNCTION("""COMPUTED_VALUE"""),"N/A")</f>
        <v>N/A</v>
      </c>
      <c r="J80" s="2" t="str">
        <f>IFERROR(__xludf.DUMMYFUNCTION("""COMPUTED_VALUE"""),"Monitoreo general.")</f>
        <v>Monitoreo general.</v>
      </c>
      <c r="K80" s="2" t="str">
        <f>IFERROR(__xludf.DUMMYFUNCTION("""COMPUTED_VALUE"""),"Matamoros")</f>
        <v>Matamoros</v>
      </c>
      <c r="L80" s="2" t="str">
        <f>IFERROR(__xludf.DUMMYFUNCTION("""COMPUTED_VALUE"""),"Tamaulipas")</f>
        <v>Tamaulipas</v>
      </c>
      <c r="M80" s="16" t="str">
        <f>IFERROR(__xludf.DUMMYFUNCTION("""COMPUTED_VALUE"""),"https://www.milenio.com/policia/encuentran-mas-de-cinco-kilos-de-marihuana-en-matamoros")</f>
        <v>https://www.milenio.com/policia/encuentran-mas-de-cinco-kilos-de-marihuana-en-matamoros</v>
      </c>
      <c r="N80" s="2" t="str">
        <f>IFERROR(__xludf.DUMMYFUNCTION("""COMPUTED_VALUE"""),"Una denuncia anónima al número deemergencias del C5permitió a elementos de laGuardia Estatalasegurar más decinco kilos de marihuanadurante un operativo en lacolonia Los Rosalesde este municipio fronterizo. La rápida movilización de las autoridades derivó "&amp;"en eldecomiso del narcótico, aunque los presuntos responsables lograron escapar del lugar antes de ser detenidos. ¿Cómo se originó el operativo? El hallazgo se registró luego de que personal de la Guardia Estatal atendiera unreporte ciudadanoque alertaba "&amp;"sobre movimientos sospechososen un domicilio de la calle Francisco Rincón, entreBegonia y Gardenia. Al llegar al sitio, los agentes observaron a cuatro hombres que, al notar la presencia policial, emprendieron la huida sin dejar rastro, por lo que se proc"&amp;"edió a inspeccionar el área. Durante la revisión del inmueble señalado, los uniformados localizaron una bolsa negra de gran tamaño que conteníaaproximadamente cinco kilosde hierba seca con las características propiasdelamarihuana. Además, en una segunda b"&amp;"olsa blanca se encontraron65 envoltorios transparentes con la misma sustancia, lo que hace presumir que parte del material estaba listo para su distribución. El narcótico y los objetos asegurados fueron trasladados a las instalaciones de laFiscalía Genera"&amp;"l de la República (FGR), donde quedaron a disposición de las autoridades competentes para las investigaciones correspondientes. Con ello, sebusca determinar la procedencia de la droga y dar seguimientoa la identidad de los sujetos que se dieron a la fuga."&amp;" Aunque la intervención de laGuardia Estatalpermitióincautar una importante cantidad de droga, no se reportaron personas detenidas durante el despliegue. Sin embargo, las autoridadescontinúan con las indagatorias para ubicar a los cuatro hombresque fueron"&amp;" vistos en el lugar momentos antes del aseguramiento. Este tipo de acciones, derivadas de la colaboración ciudadana, refuerzan la estrategia de seguridad enTamaulipasy demuestran la importancia de las denuncias anónimas para combatir delitosrelacionados c"&amp;"on el narcotráfico. LaGuardia Estatalreiteró su compromiso de mantener presencia constante en zonas con incidencia delictiva y de atender con prontitud los reportes que contribuyan a preservar la tranquilidad en el municipio deMatamoros.")</f>
        <v>Una denuncia anónima al número deemergencias del C5permitió a elementos de laGuardia Estatalasegurar más decinco kilos de marihuanadurante un operativo en lacolonia Los Rosalesde este municipio fronterizo. La rápida movilización de las autoridades derivó en eldecomiso del narcótico, aunque los presuntos responsables lograron escapar del lugar antes de ser detenidos. ¿Cómo se originó el operativo? El hallazgo se registró luego de que personal de la Guardia Estatal atendiera unreporte ciudadanoque alertaba sobre movimientos sospechososen un domicilio de la calle Francisco Rincón, entreBegonia y Gardenia. Al llegar al sitio, los agentes observaron a cuatro hombres que, al notar la presencia policial, emprendieron la huida sin dejar rastro, por lo que se procedió a inspeccionar el área. Durante la revisión del inmueble señalado, los uniformados localizaron una bolsa negra de gran tamaño que conteníaaproximadamente cinco kilosde hierba seca con las características propiasdelamarihuana. Además, en una segunda bolsa blanca se encontraron65 envoltorios transparentes con la misma sustancia, lo que hace presumir que parte del material estaba listo para su distribución. El narcótico y los objetos asegurados fueron trasladados a las instalaciones de laFiscalía General de la República (FGR), donde quedaron a disposición de las autoridades competentes para las investigaciones correspondientes. Con ello, sebusca determinar la procedencia de la droga y dar seguimientoa la identidad de los sujetos que se dieron a la fuga. Aunque la intervención de laGuardia Estatalpermitióincautar una importante cantidad de droga, no se reportaron personas detenidas durante el despliegue. Sin embargo, las autoridadescontinúan con las indagatorias para ubicar a los cuatro hombresque fueron vistos en el lugar momentos antes del aseguramiento. Este tipo de acciones, derivadas de la colaboración ciudadana, refuerzan la estrategia de seguridad enTamaulipasy demuestran la importancia de las denuncias anónimas para combatir delitosrelacionados con el narcotráfico. LaGuardia Estatalreiteró su compromiso de mantener presencia constante en zonas con incidencia delictiva y de atender con prontitud los reportes que contribuyan a preservar la tranquilidad en el municipio deMatamoros.</v>
      </c>
      <c r="O80" s="15">
        <f>IFERROR(__xludf.DUMMYFUNCTION("""COMPUTED_VALUE"""),0.6396)</f>
        <v>0.6396</v>
      </c>
      <c r="P80" s="2"/>
      <c r="Q80" s="17">
        <f>IFERROR(__xludf.DUMMYFUNCTION("""COMPUTED_VALUE"""),4.5)</f>
        <v>4.5</v>
      </c>
      <c r="R80" s="2" t="str">
        <f>IFERROR(__xludf.DUMMYFUNCTION("""COMPUTED_VALUE"""),"Medium")</f>
        <v>Medium</v>
      </c>
      <c r="S80" s="17">
        <f>IFERROR(__xludf.DUMMYFUNCTION("""COMPUTED_VALUE"""),3.5)</f>
        <v>3.5</v>
      </c>
      <c r="T80" s="17">
        <f>IFERROR(__xludf.DUMMYFUNCTION("""COMPUTED_VALUE"""),0.0)</f>
        <v>0</v>
      </c>
      <c r="U80" s="14">
        <f>IFERROR(__xludf.DUMMYFUNCTION("""COMPUTED_VALUE"""),3.0)</f>
        <v>3</v>
      </c>
      <c r="V80" s="14">
        <v>2025.0</v>
      </c>
      <c r="W80" s="2" t="s">
        <v>1210</v>
      </c>
      <c r="X80" s="2" t="s">
        <v>1203</v>
      </c>
      <c r="Y80" s="13" t="s">
        <v>351</v>
      </c>
      <c r="Z80" s="14">
        <v>0.0</v>
      </c>
      <c r="AA80" s="14">
        <v>0.0</v>
      </c>
      <c r="AB80" s="14">
        <v>0.0</v>
      </c>
      <c r="AC80" s="14">
        <v>0.0</v>
      </c>
      <c r="AD80" s="2">
        <v>0.0</v>
      </c>
      <c r="AE80" s="2">
        <v>0.0</v>
      </c>
      <c r="AF80" s="2">
        <v>10.0</v>
      </c>
      <c r="AG80" s="2" t="s">
        <v>1212</v>
      </c>
      <c r="AH80" s="2">
        <v>0.0</v>
      </c>
    </row>
    <row r="81" ht="15.75" customHeight="1">
      <c r="A81" s="2" t="str">
        <f>IFERROR(__xludf.DUMMYFUNCTION("""COMPUTED_VALUE"""),"Milenio")</f>
        <v>Milenio</v>
      </c>
      <c r="B81" s="12" t="str">
        <f>IFERROR(__xludf.DUMMYFUNCTION("""COMPUTED_VALUE"""),"¿Cuánto ganan los policías en CdMx? Éste es el sueldo que perciben")</f>
        <v>¿Cuánto ganan los policías en CdMx? Éste es el sueldo que perciben</v>
      </c>
      <c r="C81" s="13" t="str">
        <f>IFERROR(__xludf.DUMMYFUNCTION("""COMPUTED_VALUE"""),"2025-10-03 11:57:00")</f>
        <v>2025-10-03 11:57:00</v>
      </c>
      <c r="D81" s="14">
        <f>IFERROR(__xludf.DUMMYFUNCTION("""COMPUTED_VALUE"""),3.0)</f>
        <v>3</v>
      </c>
      <c r="E81" s="15">
        <f>IFERROR(__xludf.DUMMYFUNCTION("""COMPUTED_VALUE"""),-0.7841)</f>
        <v>-0.7841</v>
      </c>
      <c r="F81" s="2" t="str">
        <f>IFERROR(__xludf.DUMMYFUNCTION("""COMPUTED_VALUE"""),"Negativo")</f>
        <v>Negativo</v>
      </c>
      <c r="G81" s="15">
        <f>IFERROR(__xludf.DUMMYFUNCTION("""COMPUTED_VALUE"""),0.7841)</f>
        <v>0.7841</v>
      </c>
      <c r="H81" s="2" t="str">
        <f>IFERROR(__xludf.DUMMYFUNCTION("""COMPUTED_VALUE"""),"Protestas o bloqueos viales")</f>
        <v>Protestas o bloqueos viales</v>
      </c>
      <c r="I81" s="2" t="str">
        <f>IFERROR(__xludf.DUMMYFUNCTION("""COMPUTED_VALUE"""),"manifestación")</f>
        <v>manifestación</v>
      </c>
      <c r="J81" s="2" t="str">
        <f>IFERROR(__xludf.DUMMYFUNCTION("""COMPUTED_VALUE"""),"Operaciones: Notificar zonas a evitar (Waze/Maps).")</f>
        <v>Operaciones: Notificar zonas a evitar (Waze/Maps).</v>
      </c>
      <c r="K81" s="2" t="str">
        <f>IFERROR(__xludf.DUMMYFUNCTION("""COMPUTED_VALUE"""),"Ciudad de México")</f>
        <v>Ciudad de México</v>
      </c>
      <c r="L81" s="2" t="str">
        <f>IFERROR(__xludf.DUMMYFUNCTION("""COMPUTED_VALUE"""),"Ciudad de México")</f>
        <v>Ciudad de México</v>
      </c>
      <c r="M81" s="16" t="str">
        <f>IFERROR(__xludf.DUMMYFUNCTION("""COMPUTED_VALUE"""),"https://www.milenio.com/policia/cuanto-dinero-gana-policia-cdmx-salario-ssc")</f>
        <v>https://www.milenio.com/policia/cuanto-dinero-gana-policia-cdmx-salario-ssc</v>
      </c>
      <c r="N81" s="2" t="str">
        <f>IFERROR(__xludf.DUMMYFUNCTION("""COMPUTED_VALUE"""),"La tarde del2 de octubre, en el marco de la protesta por el 57 aniversario de la masacre contra estudiantes en Tlatelolco, se registraron múltiples episodios de confrontación entre algunos civiles y elementos de la Secretaría de Seguridad Ciudadana (SSC) "&amp;"de la Ciudad de México. Autoridades capitalinas confirmaron que29 civiles tuvieron que recibir atención médicadurante la marcha, lo que se suma a la denuncia sobre agresiones contra al menos ocho fotoperiodistas que cubrían los hechos. Por otro lado, se d"&amp;"ocumentó que94 policías fueron trasladados a distintas unidades médicaspara atender las lesiones que sufrieron durante sus labores de contención en la marcha. Del total, 78 fueron dados de alta durante la noche del mismo 2 de octubre, mientras que 16 perm"&amp;"anecían en observación y tres se reportaban delicados para la mañana siguiente. Los altercados ocurridos a lo largo de la manifestación provocaron diversas reacciones en redes sociales. En plataformas como X, tanto autoridades como ciudadanos externaron s"&amp;"u reconocimiento a la labor de los cuerpos policiacos de la CdMx y a su vocación de servicio. Pero, ¿cuánto ganan? EnMILENIOte contamos. Debido a la amplia variedad de categorías dentro de la SSC, no existe un sueldo único para policías capitalinos, ya qu"&amp;"e cada puesto cumple con funciones específicas. En la escala básica, es decir, la de menor jerarquía al interior de la institución, los salarios se distribuyen de la siguiente manera: Además del grado dentro de la SSC, hay otros factores que determinan lo"&amp;"s ingresos de cada trabajador, como sunivel salarial, lo que explica las diferencias entre los haberes que pueden recibir elementos de una misma jerarquía. Otros cargos policiales en la institución capitalina son los delpersonal de seguridad y custodia, c"&amp;"uyas labores se circunscriben al Sistema Penitenciario. Para estos agentes, los salarios netos mensuales vandesde los 14 mil 232 hasta los 16 mil 49 pesos, según datos del portal de transparencia del Gobierno de la Ciudad de México. Desde febrero de 2025,"&amp;" la SSC reveló que se tenía contemplado aumentar el sueldo de las y los policías en la capitalpor séptimo año consecutivo. Según los registros oficiales, compartidos por la institución en su cuenta de X, entre 2018 y 2025 los salarios del personal policia"&amp;"co acumularon un crecimiento del 76 por ciento, puespasaron de 10 mil a más de 17 mil pesos mensuales, teniendo en cuenta las percepciones de las y los agentes de nuevo ingreso. Un par de meses después, en mayo, la jefa de Gobierno, Clara Brugada Molina,r"&amp;"eiteró la implementación de tal incremento, el cualbeneficiaría a más de 78 mil elementos. Con unainversión de dos mil 303 millones de pesosprogramada para 2025, la mandataria señaló que tal medida constituye un reconocimiento al esfuerzo y labor diaria d"&amp;"el personal policiaco.")</f>
        <v>La tarde del2 de octubre, en el marco de la protesta por el 57 aniversario de la masacre contra estudiantes en Tlatelolco, se registraron múltiples episodios de confrontación entre algunos civiles y elementos de la Secretaría de Seguridad Ciudadana (SSC) de la Ciudad de México. Autoridades capitalinas confirmaron que29 civiles tuvieron que recibir atención médicadurante la marcha, lo que se suma a la denuncia sobre agresiones contra al menos ocho fotoperiodistas que cubrían los hechos. Por otro lado, se documentó que94 policías fueron trasladados a distintas unidades médicaspara atender las lesiones que sufrieron durante sus labores de contención en la marcha. Del total, 78 fueron dados de alta durante la noche del mismo 2 de octubre, mientras que 16 permanecían en observación y tres se reportaban delicados para la mañana siguiente. Los altercados ocurridos a lo largo de la manifestación provocaron diversas reacciones en redes sociales. En plataformas como X, tanto autoridades como ciudadanos externaron su reconocimiento a la labor de los cuerpos policiacos de la CdMx y a su vocación de servicio. Pero, ¿cuánto ganan? EnMILENIOte contamos. Debido a la amplia variedad de categorías dentro de la SSC, no existe un sueldo único para policías capitalinos, ya que cada puesto cumple con funciones específicas. En la escala básica, es decir, la de menor jerarquía al interior de la institución, los salarios se distribuyen de la siguiente manera: Además del grado dentro de la SSC, hay otros factores que determinan los ingresos de cada trabajador, como sunivel salarial, lo que explica las diferencias entre los haberes que pueden recibir elementos de una misma jerarquía. Otros cargos policiales en la institución capitalina son los delpersonal de seguridad y custodia, cuyas labores se circunscriben al Sistema Penitenciario. Para estos agentes, los salarios netos mensuales vandesde los 14 mil 232 hasta los 16 mil 49 pesos, según datos del portal de transparencia del Gobierno de la Ciudad de México. Desde febrero de 2025, la SSC reveló que se tenía contemplado aumentar el sueldo de las y los policías en la capitalpor séptimo año consecutivo. Según los registros oficiales, compartidos por la institución en su cuenta de X, entre 2018 y 2025 los salarios del personal policiaco acumularon un crecimiento del 76 por ciento, puespasaron de 10 mil a más de 17 mil pesos mensuales, teniendo en cuenta las percepciones de las y los agentes de nuevo ingreso. Un par de meses después, en mayo, la jefa de Gobierno, Clara Brugada Molina,reiteró la implementación de tal incremento, el cualbeneficiaría a más de 78 mil elementos. Con unainversión de dos mil 303 millones de pesosprogramada para 2025, la mandataria señaló que tal medida constituye un reconocimiento al esfuerzo y labor diaria del personal policiaco.</v>
      </c>
      <c r="O81" s="15">
        <f>IFERROR(__xludf.DUMMYFUNCTION("""COMPUTED_VALUE"""),1.0)</f>
        <v>1</v>
      </c>
      <c r="P81" s="2"/>
      <c r="Q81" s="17">
        <f>IFERROR(__xludf.DUMMYFUNCTION("""COMPUTED_VALUE"""),8.0)</f>
        <v>8</v>
      </c>
      <c r="R81" s="2" t="str">
        <f>IFERROR(__xludf.DUMMYFUNCTION("""COMPUTED_VALUE"""),"High")</f>
        <v>High</v>
      </c>
      <c r="S81" s="17">
        <f>IFERROR(__xludf.DUMMYFUNCTION("""COMPUTED_VALUE"""),5.0)</f>
        <v>5</v>
      </c>
      <c r="T81" s="17">
        <f>IFERROR(__xludf.DUMMYFUNCTION("""COMPUTED_VALUE"""),0.0)</f>
        <v>0</v>
      </c>
      <c r="U81" s="14">
        <f>IFERROR(__xludf.DUMMYFUNCTION("""COMPUTED_VALUE"""),3.0)</f>
        <v>3</v>
      </c>
      <c r="V81" s="14">
        <v>2025.0</v>
      </c>
      <c r="W81" s="2" t="s">
        <v>1210</v>
      </c>
      <c r="X81" s="2" t="s">
        <v>1199</v>
      </c>
      <c r="Y81" s="13" t="s">
        <v>356</v>
      </c>
      <c r="Z81" s="14">
        <v>0.0</v>
      </c>
      <c r="AA81" s="14">
        <v>0.0</v>
      </c>
      <c r="AB81" s="14">
        <v>0.0</v>
      </c>
      <c r="AC81" s="14">
        <v>0.0</v>
      </c>
      <c r="AD81" s="2">
        <v>0.0</v>
      </c>
      <c r="AE81" s="2">
        <v>0.0</v>
      </c>
      <c r="AF81" s="2">
        <v>10.0</v>
      </c>
      <c r="AG81" s="2" t="s">
        <v>1175</v>
      </c>
      <c r="AH81" s="2">
        <v>0.0</v>
      </c>
    </row>
    <row r="82" ht="15.75" customHeight="1">
      <c r="A82" s="2" t="str">
        <f>IFERROR(__xludf.DUMMYFUNCTION("""COMPUTED_VALUE"""),"Milenio")</f>
        <v>Milenio</v>
      </c>
      <c r="B82" s="12" t="str">
        <f>IFERROR(__xludf.DUMMYFUNCTION("""COMPUTED_VALUE"""),"Asesinan a José Jacinto Ponce, jefe de sector de la SSC en Tlatelolco, durante intento de asalto en Chalco")</f>
        <v>Asesinan a José Jacinto Ponce, jefe de sector de la SSC en Tlatelolco, durante intento de asalto en Chalco</v>
      </c>
      <c r="C82" s="13" t="str">
        <f>IFERROR(__xludf.DUMMYFUNCTION("""COMPUTED_VALUE"""),"2025-10-01 07:48:00")</f>
        <v>2025-10-01 07:48:00</v>
      </c>
      <c r="D82" s="14">
        <f>IFERROR(__xludf.DUMMYFUNCTION("""COMPUTED_VALUE"""),4.0)</f>
        <v>4</v>
      </c>
      <c r="E82" s="15">
        <f>IFERROR(__xludf.DUMMYFUNCTION("""COMPUTED_VALUE"""),-0.5424)</f>
        <v>-0.5424</v>
      </c>
      <c r="F82" s="2" t="str">
        <f>IFERROR(__xludf.DUMMYFUNCTION("""COMPUTED_VALUE"""),"Negativo")</f>
        <v>Negativo</v>
      </c>
      <c r="G82" s="15">
        <f>IFERROR(__xludf.DUMMYFUNCTION("""COMPUTED_VALUE"""),0.5424)</f>
        <v>0.5424</v>
      </c>
      <c r="H82" s="2" t="str">
        <f>IFERROR(__xludf.DUMMYFUNCTION("""COMPUTED_VALUE"""),"Operativo policial o detención")</f>
        <v>Operativo policial o detención</v>
      </c>
      <c r="I82" s="2" t="str">
        <f>IFERROR(__xludf.DUMMYFUNCTION("""COMPUTED_VALUE"""),"N/A")</f>
        <v>N/A</v>
      </c>
      <c r="J82" s="2" t="str">
        <f>IFERROR(__xludf.DUMMYFUNCTION("""COMPUTED_VALUE"""),"Monitoreo general.")</f>
        <v>Monitoreo general.</v>
      </c>
      <c r="K82" s="2" t="str">
        <f>IFERROR(__xludf.DUMMYFUNCTION("""COMPUTED_VALUE"""),"Ciudad de México")</f>
        <v>Ciudad de México</v>
      </c>
      <c r="L82" s="2" t="str">
        <f>IFERROR(__xludf.DUMMYFUNCTION("""COMPUTED_VALUE"""),"Ciudad de México")</f>
        <v>Ciudad de México</v>
      </c>
      <c r="M82" s="16" t="str">
        <f>IFERROR(__xludf.DUMMYFUNCTION("""COMPUTED_VALUE"""),"https://www.milenio.com/policia/asesinan-a-jefe-de-la-ssc-en-chalco-robo-de-motocicleta")</f>
        <v>https://www.milenio.com/policia/asesinan-a-jefe-de-la-ssc-en-chalco-robo-de-motocicleta</v>
      </c>
      <c r="N82" s="2" t="str">
        <f>IFERROR(__xludf.DUMMYFUNCTION("""COMPUTED_VALUE"""),"LaSecretaría de Seguridad Ciudadana(SSC) de la Ciudad de México confirmó elfallecimiento deJosé Jacinto Ponce Alfaro,jefe del sector Tlatelolcode la institución, quien fuevíctima de un ataque armadodurante su día de descanso, en el municipio deChalco, Est"&amp;"ado de México. De acuerdo con los primeros reportes, el oficialse encontraba acompañado de su esposa, igual elemento de la SSC, cuando salían de una tienda departamental ubicada en lacolonia Benito Juárez. En ese momento, dos hombres lo interceptaron con "&amp;"laintención de robarle su motocicleta. Al resistirse al asalto,los agresores le dispararon, provocándole heridas mortales. Paramédicos de la Cruz Roja Mexicanaque acudieron al lugar diagnosticaron al hombre sin signos vitales.Su esposa fue trasladada de i"&amp;"nmediato a un hospitalcercano para recibir atención médica. La SSC informó que, en coordinación con policías municipales y agentes de la Fiscalía General de Justicia del Estado de México, yase realizan investigacionesyse analizan las cámaras de videovigil"&amp;"anciapara identificar a los responsables del crimen. Lamento profundamente la pérdida de mi compañero José Jacinto Ponce Alfaro, Jefe del Sector#Tlatelolco, en un cobarde ataque tras un intento de asalto ocurrido en el municipio de#Chalco, Estado de Méxic"&amp;"o.Su esposa, compañera policía de la@SSC_CDMXy quien también resultó…pic.twitter.com/lXeKtSXhYr La dependencia aseguró queno habrá impunidad en este caso, como en otros que investiga, y que los agresores serán detenidos y llevados ante la justicia. Asimis"&amp;"mo, agradeció elapoyo de las autoridades mexiquensesen el proceso de investigación. Por su parte, compañeros de la SSC expresaron sus condolencias a los familiares y amigos del oficial caído, y confirmaron que se les brindaacompañamiento legal y psicológi"&amp;"coa través de las áreas competentes de la institución.")</f>
        <v>LaSecretaría de Seguridad Ciudadana(SSC) de la Ciudad de México confirmó elfallecimiento deJosé Jacinto Ponce Alfaro,jefe del sector Tlatelolcode la institución, quien fuevíctima de un ataque armadodurante su día de descanso, en el municipio deChalco, Estado de México. De acuerdo con los primeros reportes, el oficialse encontraba acompañado de su esposa, igual elemento de la SSC, cuando salían de una tienda departamental ubicada en lacolonia Benito Juárez. En ese momento, dos hombres lo interceptaron con laintención de robarle su motocicleta. Al resistirse al asalto,los agresores le dispararon, provocándole heridas mortales. Paramédicos de la Cruz Roja Mexicanaque acudieron al lugar diagnosticaron al hombre sin signos vitales.Su esposa fue trasladada de inmediato a un hospitalcercano para recibir atención médica. La SSC informó que, en coordinación con policías municipales y agentes de la Fiscalía General de Justicia del Estado de México, yase realizan investigacionesyse analizan las cámaras de videovigilanciapara identificar a los responsables del crimen. Lamento profundamente la pérdida de mi compañero José Jacinto Ponce Alfaro, Jefe del Sector#Tlatelolco, en un cobarde ataque tras un intento de asalto ocurrido en el municipio de#Chalco, Estado de México.Su esposa, compañera policía de la@SSC_CDMXy quien también resultó…pic.twitter.com/lXeKtSXhYr La dependencia aseguró queno habrá impunidad en este caso, como en otros que investiga, y que los agresores serán detenidos y llevados ante la justicia. Asimismo, agradeció elapoyo de las autoridades mexiquensesen el proceso de investigación. Por su parte, compañeros de la SSC expresaron sus condolencias a los familiares y amigos del oficial caído, y confirmaron que se les brindaacompañamiento legal y psicológicoa través de las áreas competentes de la institución.</v>
      </c>
      <c r="O82" s="15">
        <f>IFERROR(__xludf.DUMMYFUNCTION("""COMPUTED_VALUE"""),0.355)</f>
        <v>0.355</v>
      </c>
      <c r="P82" s="2"/>
      <c r="Q82" s="17">
        <f>IFERROR(__xludf.DUMMYFUNCTION("""COMPUTED_VALUE"""),5.0)</f>
        <v>5</v>
      </c>
      <c r="R82" s="2" t="str">
        <f>IFERROR(__xludf.DUMMYFUNCTION("""COMPUTED_VALUE"""),"Low")</f>
        <v>Low</v>
      </c>
      <c r="S82" s="17">
        <f>IFERROR(__xludf.DUMMYFUNCTION("""COMPUTED_VALUE"""),0.0)</f>
        <v>0</v>
      </c>
      <c r="T82" s="17">
        <f>IFERROR(__xludf.DUMMYFUNCTION("""COMPUTED_VALUE"""),0.0)</f>
        <v>0</v>
      </c>
      <c r="U82" s="14">
        <f>IFERROR(__xludf.DUMMYFUNCTION("""COMPUTED_VALUE"""),3.0)</f>
        <v>3</v>
      </c>
      <c r="V82" s="14">
        <v>2025.0</v>
      </c>
      <c r="W82" s="2" t="s">
        <v>1210</v>
      </c>
      <c r="X82" s="2" t="s">
        <v>1203</v>
      </c>
      <c r="Y82" s="13" t="s">
        <v>360</v>
      </c>
      <c r="Z82" s="14">
        <v>0.0</v>
      </c>
      <c r="AA82" s="14">
        <v>0.0</v>
      </c>
      <c r="AB82" s="14">
        <v>0.0</v>
      </c>
      <c r="AC82" s="14">
        <v>0.0</v>
      </c>
      <c r="AD82" s="2">
        <v>0.0</v>
      </c>
      <c r="AE82" s="2">
        <v>1.0</v>
      </c>
      <c r="AF82" s="2">
        <v>10.0</v>
      </c>
      <c r="AG82" s="2" t="s">
        <v>1175</v>
      </c>
      <c r="AH82" s="2">
        <v>0.0</v>
      </c>
    </row>
    <row r="83" ht="15.75" customHeight="1">
      <c r="A83" s="2" t="str">
        <f>IFERROR(__xludf.DUMMYFUNCTION("""COMPUTED_VALUE"""),"Milenio")</f>
        <v>Milenio</v>
      </c>
      <c r="B83" s="12" t="str">
        <f>IFERROR(__xludf.DUMMYFUNCTION("""COMPUTED_VALUE"""),"Hombre es asesinado en Tonalá, Jalisco con un disparo en la cabeza")</f>
        <v>Hombre es asesinado en Tonalá, Jalisco con un disparo en la cabeza</v>
      </c>
      <c r="C83" s="13" t="str">
        <f>IFERROR(__xludf.DUMMYFUNCTION("""COMPUTED_VALUE"""),"2025-09-29 19:00:20")</f>
        <v>2025-09-29 19:00:20</v>
      </c>
      <c r="D83" s="14">
        <f>IFERROR(__xludf.DUMMYFUNCTION("""COMPUTED_VALUE"""),5.0)</f>
        <v>5</v>
      </c>
      <c r="E83" s="15">
        <f>IFERROR(__xludf.DUMMYFUNCTION("""COMPUTED_VALUE"""),-0.5016)</f>
        <v>-0.5016</v>
      </c>
      <c r="F83" s="2" t="str">
        <f>IFERROR(__xludf.DUMMYFUNCTION("""COMPUTED_VALUE"""),"Negativo")</f>
        <v>Negativo</v>
      </c>
      <c r="G83" s="15">
        <f>IFERROR(__xludf.DUMMYFUNCTION("""COMPUTED_VALUE"""),0.5016)</f>
        <v>0.5016</v>
      </c>
      <c r="H83" s="2" t="str">
        <f>IFERROR(__xludf.DUMMYFUNCTION("""COMPUTED_VALUE"""),"Delito violento, robo o asalto")</f>
        <v>Delito violento, robo o asalto</v>
      </c>
      <c r="I83" s="2" t="str">
        <f>IFERROR(__xludf.DUMMYFUNCTION("""COMPUTED_VALUE"""),"asesinado")</f>
        <v>asesinado</v>
      </c>
      <c r="J83" s="2" t="str">
        <f>IFERROR(__xludf.DUMMYFUNCTION("""COMPUTED_VALUE"""),"Prevención PAX: Contactos de confianza.")</f>
        <v>Prevención PAX: Contactos de confianza.</v>
      </c>
      <c r="K83" s="2" t="str">
        <f>IFERROR(__xludf.DUMMYFUNCTION("""COMPUTED_VALUE"""),"Tonalá")</f>
        <v>Tonalá</v>
      </c>
      <c r="L83" s="2" t="str">
        <f>IFERROR(__xludf.DUMMYFUNCTION("""COMPUTED_VALUE"""),"Jalisco")</f>
        <v>Jalisco</v>
      </c>
      <c r="M83" s="16" t="str">
        <f>IFERROR(__xludf.DUMMYFUNCTION("""COMPUTED_VALUE"""),"https://www.milenio.com/policia/tonala-jalisco-hombre-asesinado-disparo-cabeza")</f>
        <v>https://www.milenio.com/policia/tonala-jalisco-hombre-asesinado-disparo-cabeza</v>
      </c>
      <c r="N83" s="2" t="str">
        <f>IFERROR(__xludf.DUMMYFUNCTION("""COMPUTED_VALUE"""),"La mañana de este lunesvecinos encontraron un cadáverel cual estaba tirado en una brecha que se localiza en el cruce de lascalles5 de Febrero y Aldama en la colonia Coyula, en Tonalá. Con un impacto de bala en el cráneo, el hombre fue asesinado. Los habit"&amp;"antes de la zona inmediatamente realizaron el reporte ante las autoridades municipales quienes a su arribo confirmaron  el hecho y realizaron el acordonamiento de la zona; momentos después acudieron paramédicos de la Cruz Verde quienes informaron se trata"&amp;"ba de un hombre de aproximadamente 25 años de edad y presentaba un impacto de bala en el cráneo. ¿Cómo reaccionaron las autoridades? Vecinos de la colonia Coyula señalaron no identificarlo como habitante de la zona, por lo que se cree fue llevado desde ot"&amp;"ro sitio y aparentemente ejecutado en el predio. La Fiscalía de Jalisco abrió una carpeta de investigación para esclarecer cómo se registró el homicidio en calles del municipio tonalteca, porque hasta el momento no hay información o características de los"&amp;" presuntos causantes. Personal del Instituto Jalisciense de Ciencias Forenses realizaron el levantamiento y traslado del cuerpo a la morgue metropolitana para que se lleve a cabo la autopsia de ley. Debe delimitar, preservar y asegurar el lugar en donde s"&amp;"e encuentre el cuerpo, ubicar elementos o indicios que puedan ayudar en la investigación y pedir la intervención de servicios periciales, los cuales ayudarán a analizar la evidencia. También debe realizar entrevistas de las personas en el lugar de los hec"&amp;"hos para obtener información sobre el suceso y llenar el Informe Policial Homologado. La policía deberá recabar los datos del informante, aunque este no haya sido testigo del homicidio. Llamar al número de emergencias 911 o al número de la policía local. "&amp;"También se puede buscar a la policía en la vía pública para que tenga conocimiento de la situación. En última instancia, se puede realizar la denuncia anónima a través de las líneas telefónicas que tengan las fiscalías en sus páginas oficiales.")</f>
        <v>La mañana de este lunesvecinos encontraron un cadáverel cual estaba tirado en una brecha que se localiza en el cruce de lascalles5 de Febrero y Aldama en la colonia Coyula, en Tonalá. Con un impacto de bala en el cráneo, el hombre fue asesinado. Los habitantes de la zona inmediatamente realizaron el reporte ante las autoridades municipales quienes a su arribo confirmaron  el hecho y realizaron el acordonamiento de la zona; momentos después acudieron paramédicos de la Cruz Verde quienes informaron se trataba de un hombre de aproximadamente 25 años de edad y presentaba un impacto de bala en el cráneo. ¿Cómo reaccionaron las autoridades? Vecinos de la colonia Coyula señalaron no identificarlo como habitante de la zona, por lo que se cree fue llevado desde otro sitio y aparentemente ejecutado en el predio. La Fiscalía de Jalisco abrió una carpeta de investigación para esclarecer cómo se registró el homicidio en calles del municipio tonalteca, porque hasta el momento no hay información o características de los presuntos causantes. Personal del Instituto Jalisciense de Ciencias Forenses realizaron el levantamiento y traslado del cuerpo a la morgue metropolitana para que se lleve a cabo la autopsia de ley. Debe delimitar, preservar y asegurar el lugar en donde se encuentre el cuerpo, ubicar elementos o indicios que puedan ayudar en la investigación y pedir la intervención de servicios periciales, los cuales ayudarán a analizar la evidencia. También debe realizar entrevistas de las personas en el lugar de los hechos para obtener información sobre el suceso y llenar el Informe Policial Homologado. La policía deberá recabar los datos del informante, aunque este no haya sido testigo del homicidio. Llamar al número de emergencias 911 o al número de la policía local. También se puede buscar a la policía en la vía pública para que tenga conocimiento de la situación. En última instancia, se puede realizar la denuncia anónima a través de las líneas telefónicas que tengan las fiscalías en sus páginas oficiales.</v>
      </c>
      <c r="O83" s="15">
        <f>IFERROR(__xludf.DUMMYFUNCTION("""COMPUTED_VALUE"""),1.0)</f>
        <v>1</v>
      </c>
      <c r="P83" s="2"/>
      <c r="Q83" s="17">
        <f>IFERROR(__xludf.DUMMYFUNCTION("""COMPUTED_VALUE"""),8.5)</f>
        <v>8.5</v>
      </c>
      <c r="R83" s="2" t="str">
        <f>IFERROR(__xludf.DUMMYFUNCTION("""COMPUTED_VALUE"""),"High")</f>
        <v>High</v>
      </c>
      <c r="S83" s="17">
        <f>IFERROR(__xludf.DUMMYFUNCTION("""COMPUTED_VALUE"""),2.0)</f>
        <v>2</v>
      </c>
      <c r="T83" s="17">
        <f>IFERROR(__xludf.DUMMYFUNCTION("""COMPUTED_VALUE"""),0.0)</f>
        <v>0</v>
      </c>
      <c r="U83" s="14">
        <f>IFERROR(__xludf.DUMMYFUNCTION("""COMPUTED_VALUE"""),3.0)</f>
        <v>3</v>
      </c>
      <c r="V83" s="14">
        <v>2025.0</v>
      </c>
      <c r="W83" s="2" t="s">
        <v>1213</v>
      </c>
      <c r="X83" s="2" t="s">
        <v>1169</v>
      </c>
      <c r="Y83" s="13" t="s">
        <v>364</v>
      </c>
      <c r="Z83" s="14">
        <v>0.0</v>
      </c>
      <c r="AA83" s="14">
        <v>0.0</v>
      </c>
      <c r="AB83" s="14">
        <v>0.0</v>
      </c>
      <c r="AC83" s="14">
        <v>0.0</v>
      </c>
      <c r="AD83" s="2">
        <v>0.0</v>
      </c>
      <c r="AE83" s="2">
        <v>1.0</v>
      </c>
      <c r="AF83" s="2">
        <v>9.0</v>
      </c>
      <c r="AG83" s="2" t="s">
        <v>1214</v>
      </c>
      <c r="AH83" s="2">
        <v>0.0</v>
      </c>
    </row>
    <row r="84" ht="15.75" customHeight="1">
      <c r="A84" s="2" t="str">
        <f>IFERROR(__xludf.DUMMYFUNCTION("""COMPUTED_VALUE"""),"Diario Portal")</f>
        <v>Diario Portal</v>
      </c>
      <c r="B84" s="12" t="str">
        <f>IFERROR(__xludf.DUMMYFUNCTION("""COMPUTED_VALUE"""),"Ecatepec muestra signos de estabilización; estrategia de seguridad del Gobierno del Edoméx baja 25% los delitos de alto impacto")</f>
        <v>Ecatepec muestra signos de estabilización; estrategia de seguridad del Gobierno del Edoméx baja 25% los delitos de alto impacto</v>
      </c>
      <c r="C84" s="13" t="str">
        <f>IFERROR(__xludf.DUMMYFUNCTION("""COMPUTED_VALUE"""),"2025-12-29 14:46:43")</f>
        <v>2025-12-29 14:46:43</v>
      </c>
      <c r="D84" s="14">
        <f>IFERROR(__xludf.DUMMYFUNCTION("""COMPUTED_VALUE"""),4.0)</f>
        <v>4</v>
      </c>
      <c r="E84" s="15">
        <f>IFERROR(__xludf.DUMMYFUNCTION("""COMPUTED_VALUE"""),0.0)</f>
        <v>0</v>
      </c>
      <c r="F84" s="2" t="str">
        <f>IFERROR(__xludf.DUMMYFUNCTION("""COMPUTED_VALUE"""),"Neutral")</f>
        <v>Neutral</v>
      </c>
      <c r="G84" s="15">
        <f>IFERROR(__xludf.DUMMYFUNCTION("""COMPUTED_VALUE"""),0.5516)</f>
        <v>0.5516</v>
      </c>
      <c r="H84" s="2" t="str">
        <f>IFERROR(__xludf.DUMMYFUNCTION("""COMPUTED_VALUE"""),"Delito violento, robo o asalto")</f>
        <v>Delito violento, robo o asalto</v>
      </c>
      <c r="I84" s="2" t="str">
        <f>IFERROR(__xludf.DUMMYFUNCTION("""COMPUTED_VALUE"""),"homicidio")</f>
        <v>homicidio</v>
      </c>
      <c r="J84" s="2" t="str">
        <f>IFERROR(__xludf.DUMMYFUNCTION("""COMPUTED_VALUE"""),"Prevención PAX: Contactos de confianza.")</f>
        <v>Prevención PAX: Contactos de confianza.</v>
      </c>
      <c r="K84" s="2" t="str">
        <f>IFERROR(__xludf.DUMMYFUNCTION("""COMPUTED_VALUE"""),"Ecatepec")</f>
        <v>Ecatepec</v>
      </c>
      <c r="L84" s="2" t="str">
        <f>IFERROR(__xludf.DUMMYFUNCTION("""COMPUTED_VALUE"""),"Estado de México")</f>
        <v>Estado de México</v>
      </c>
      <c r="M84" s="16" t="str">
        <f>IFERROR(__xludf.DUMMYFUNCTION("""COMPUTED_VALUE"""),"https://diarioportal.com/seguridad-y-justicia/ecatepec-muestra-signos-de-estabilizacion-estrategia-de-seguridad-del-gobierno-del-edomex-baja-25-los-delitos-de-alto-impacto")</f>
        <v>https://diarioportal.com/seguridad-y-justicia/ecatepec-muestra-signos-de-estabilizacion-estrategia-de-seguridad-del-gobierno-del-edomex-baja-25-los-delitos-de-alto-impacto</v>
      </c>
      <c r="N84" s="2" t="str">
        <f>IFERROR(__xludf.DUMMYFUNCTION("""COMPUTED_VALUE"""),"Bajo el liderazgo de la Gobernadora Delfina Gómez Álvarez en la implementación de estrategias de seguridad coordinadas en las Mesas de Paz que encabeza diariamente, en el municipio de Ecatepec disminuyeron 25% los delitos de alto impacto, mientras que el "&amp;"homicidio doloso 33%, del 1 de enero al 28 de diciembre de 2025 comparado con el mismo periodo de 2024, así lo informó la Fiscalía General de Justicia estatal (FGJEM). “Este día, en el #C5 de #Ecatepec, realizamos la Mesa de Paz. En la reunión la Fiscalía"&amp;" General de Justicia del Estado de México compartió que en el municipio existe una disminución de 25% en los delitos de alto impacto y de 33 % en homicidio doloso en lo que va del año, en comparación al 2024. La coordinación y el trabajo en equipo entre t"&amp;"odas las autoridades nos permite avanzar en la paz y bienestar para las familias mexiquenses”, dijo la Mandataria mexiquense en sus redes sociales. De acuerdo con cifras de la FGJEM también bajó 37 por ciento el robo de vehículo con violencia, lo que mues"&amp;"tra una tendencia a la baja en la incidencia delictiva en esta demarcación como resultado del trabajo entre autoridades estatales, federales y municipales, así como del fortalecimiento de las acciones de prevención, inteligencia y operativos conjuntos. Du"&amp;"rante la Mesa de Paz número 242, asistieron Horacio Duarte Olivares, Secretario General de Gobierno; José Luis Cervantes Martínez, Fiscal General de Justicia del Estado de México; Azucena Cisneros Coss, Presidenta Municipal de Ecatepec, así como represent"&amp;"antes de la Secretaría de Seguridad, de la Defensa, Marina, Guardia Nacional, del Centro Nacional de Inteligencia y del Instituto Nacional de Migración. No hay etiquetas asociadas a éste artículo.")</f>
        <v>Bajo el liderazgo de la Gobernadora Delfina Gómez Álvarez en la implementación de estrategias de seguridad coordinadas en las Mesas de Paz que encabeza diariamente, en el municipio de Ecatepec disminuyeron 25% los delitos de alto impacto, mientras que el homicidio doloso 33%, del 1 de enero al 28 de diciembre de 2025 comparado con el mismo periodo de 2024, así lo informó la Fiscalía General de Justicia estatal (FGJEM). “Este día, en el #C5 de #Ecatepec, realizamos la Mesa de Paz. En la reunión la Fiscalía General de Justicia del Estado de México compartió que en el municipio existe una disminución de 25% en los delitos de alto impacto y de 33 % en homicidio doloso en lo que va del año, en comparación al 2024. La coordinación y el trabajo en equipo entre todas las autoridades nos permite avanzar en la paz y bienestar para las familias mexiquenses”, dijo la Mandataria mexiquense en sus redes sociales. De acuerdo con cifras de la FGJEM también bajó 37 por ciento el robo de vehículo con violencia, lo que muestra una tendencia a la baja en la incidencia delictiva en esta demarcación como resultado del trabajo entre autoridades estatales, federales y municipales, así como del fortalecimiento de las acciones de prevención, inteligencia y operativos conjuntos. Durante la Mesa de Paz número 242, asistieron Horacio Duarte Olivares, Secretario General de Gobierno; José Luis Cervantes Martínez, Fiscal General de Justicia del Estado de México; Azucena Cisneros Coss, Presidenta Municipal de Ecatepec, así como representantes de la Secretaría de Seguridad, de la Defensa, Marina, Guardia Nacional, del Centro Nacional de Inteligencia y del Instituto Nacional de Migración. No hay etiquetas asociadas a éste artículo.</v>
      </c>
      <c r="O84" s="15">
        <f>IFERROR(__xludf.DUMMYFUNCTION("""COMPUTED_VALUE"""),1.0)</f>
        <v>1</v>
      </c>
      <c r="P84" s="2"/>
      <c r="Q84" s="17">
        <f>IFERROR(__xludf.DUMMYFUNCTION("""COMPUTED_VALUE"""),8.5)</f>
        <v>8.5</v>
      </c>
      <c r="R84" s="2" t="str">
        <f>IFERROR(__xludf.DUMMYFUNCTION("""COMPUTED_VALUE"""),"High")</f>
        <v>High</v>
      </c>
      <c r="S84" s="17">
        <f>IFERROR(__xludf.DUMMYFUNCTION("""COMPUTED_VALUE"""),2.5)</f>
        <v>2.5</v>
      </c>
      <c r="T84" s="17">
        <f>IFERROR(__xludf.DUMMYFUNCTION("""COMPUTED_VALUE"""),0.0)</f>
        <v>0</v>
      </c>
      <c r="U84" s="14">
        <f>IFERROR(__xludf.DUMMYFUNCTION("""COMPUTED_VALUE"""),2.0)</f>
        <v>2</v>
      </c>
      <c r="V84" s="14">
        <v>2025.0</v>
      </c>
      <c r="W84" s="2" t="s">
        <v>1168</v>
      </c>
      <c r="X84" s="2" t="s">
        <v>1169</v>
      </c>
      <c r="Y84" s="13" t="s">
        <v>370</v>
      </c>
      <c r="Z84" s="14">
        <v>0.0</v>
      </c>
      <c r="AA84" s="14">
        <v>0.0</v>
      </c>
      <c r="AB84" s="14">
        <v>0.0</v>
      </c>
      <c r="AC84" s="14">
        <v>0.0</v>
      </c>
      <c r="AD84" s="2">
        <v>0.0</v>
      </c>
      <c r="AE84" s="2">
        <v>1.0</v>
      </c>
      <c r="AF84" s="2">
        <v>12.0</v>
      </c>
      <c r="AG84" s="2" t="s">
        <v>1208</v>
      </c>
      <c r="AH84" s="2">
        <v>0.0</v>
      </c>
    </row>
    <row r="85" ht="15.75" customHeight="1">
      <c r="A85" s="2" t="str">
        <f>IFERROR(__xludf.DUMMYFUNCTION("""COMPUTED_VALUE"""),"Diario Portal")</f>
        <v>Diario Portal</v>
      </c>
      <c r="B85" s="12" t="str">
        <f>IFERROR(__xludf.DUMMYFUNCTION("""COMPUTED_VALUE"""),"Aplica gobierno de Ecatepec cerca de tres mil pruebas de alcoholímetro")</f>
        <v>Aplica gobierno de Ecatepec cerca de tres mil pruebas de alcoholímetro</v>
      </c>
      <c r="C85" s="13" t="str">
        <f>IFERROR(__xludf.DUMMYFUNCTION("""COMPUTED_VALUE"""),"2025-12-28 19:16:15")</f>
        <v>2025-12-28 19:16:15</v>
      </c>
      <c r="D85" s="14">
        <f>IFERROR(__xludf.DUMMYFUNCTION("""COMPUTED_VALUE"""),4.0)</f>
        <v>4</v>
      </c>
      <c r="E85" s="15">
        <f>IFERROR(__xludf.DUMMYFUNCTION("""COMPUTED_VALUE"""),0.0)</f>
        <v>0</v>
      </c>
      <c r="F85" s="2" t="str">
        <f>IFERROR(__xludf.DUMMYFUNCTION("""COMPUTED_VALUE"""),"Neutral")</f>
        <v>Neutral</v>
      </c>
      <c r="G85" s="15">
        <f>IFERROR(__xludf.DUMMYFUNCTION("""COMPUTED_VALUE"""),0.6068)</f>
        <v>0.6068</v>
      </c>
      <c r="H85" s="2" t="str">
        <f>IFERROR(__xludf.DUMMYFUNCTION("""COMPUTED_VALUE"""),"Otros temas generales")</f>
        <v>Otros temas generales</v>
      </c>
      <c r="I85" s="2" t="str">
        <f>IFERROR(__xludf.DUMMYFUNCTION("""COMPUTED_VALUE"""),"N/A")</f>
        <v>N/A</v>
      </c>
      <c r="J85" s="2" t="str">
        <f>IFERROR(__xludf.DUMMYFUNCTION("""COMPUTED_VALUE"""),"Descartar / Baja prioridad.")</f>
        <v>Descartar / Baja prioridad.</v>
      </c>
      <c r="K85" s="2" t="str">
        <f>IFERROR(__xludf.DUMMYFUNCTION("""COMPUTED_VALUE"""),"Ecatepec")</f>
        <v>Ecatepec</v>
      </c>
      <c r="L85" s="2" t="str">
        <f>IFERROR(__xludf.DUMMYFUNCTION("""COMPUTED_VALUE"""),"Estado de México")</f>
        <v>Estado de México</v>
      </c>
      <c r="M85" s="16" t="str">
        <f>IFERROR(__xludf.DUMMYFUNCTION("""COMPUTED_VALUE"""),"https://diarioportal.com/seguridad-y-justicia/aplica-gobierno-de-ecatepec-cerca-de-tres-mil-pruebas-de-alcoholimetro")</f>
        <v>https://diarioportal.com/seguridad-y-justicia/aplica-gobierno-de-ecatepec-cerca-de-tres-mil-pruebas-de-alcoholimetro</v>
      </c>
      <c r="N85" s="2" t="str">
        <f>IFERROR(__xludf.DUMMYFUNCTION("""COMPUTED_VALUE"""),"De septiembre a la fecha, el gobierno municipal ha aplicado cerca de tres mil pruebas de alcoholemia y remitido a 66 conductores que excedieron el nivel permitido, con la intención de prevenir accidentes automovilísticos mortales y promover una cultura de"&amp;" conducción responsable. Luis Enrique Serna García, subdirector de Tránsito Municipal precisó que los operativos se aplican en vialidades donde se registran mayores incidentes mortales debido a la conducción de personas en estado etílico como Vía Morelos,"&amp;" López Portillo y avenida Central, y agregó que por festejos decembrinos aumentaban los riesgos de este tipo de accidentes. “Reitaramos a la ciudadanía que si toman haya conductor designado porque es primordial evitar accidentes, ya que si manejan en esta"&amp;"do etílico se ponen en pelligro ellos y a los demás”, afirmó. A un par de días de culminar los festejos de cierre de año, el jefe policiaco llamó a la población a tomar conciencia de no conducir si consumen bebidas alcohólicas, respetar límites de velocid"&amp;"ad y señalamientos viales para asegurar su bienestar, llegar bien a sus destinos y no poner en riesgo a su familia o a terceras personas. El gobierno municipal aplicó dos operativos Conduce sin Alcohol donde fueron remitidos aquellos conductores que super"&amp;"aron los límites de alcohol en aire expirado, al registrar más de .40 y quienes pueden llamar a algún familiar o persona conocida para que se lleve su auto y evitar que sea remitido a depósito vehicular. El operativo se realizó en avenida Insurgentes, en "&amp;"San Cristóbal Centro con la intervención de Jurídico, así como diversos agrupamientos de la policía municipal: Tránsito, Célula de Búsqueda, Prevención del Delito, Policía Metropolitana y de sector. En la revisión, dos conductores: Carlos N” de 50 años, o"&amp;"riginiario de Aguascalientes y quien conducía un auto Ford Fusion blanco, superó el grado de alcohol permitido al registrar un nivel de .55;  y otro hombre de 48 años, vecino de Ecatepec, quien manejaba una camioneta Ford Expedition y presentó .75 grados "&amp;"de alcohol, por lo que ambos fueron remitidos al Centro de Detención de Etílicos, y los vehículos entregados a sus familiares. El segundo despliegue operativo se realizó en avenida Central, en la colonia Potrero Chico donde se aplicaron pruebas a 210 cond"&amp;"uctores y tres de los cuales dieron positivo al superar el límite permitido de alcohol, por lo que fueron trasladados al Centro de Detenciones para cumplir su arresto inconmutable de 12 a 36 horas. “Muy bien bien porque están salvando vidas, es por nuestr"&amp;"o bien, es rapidísimo , es correcto lo que hacen, no hay quejas”, señaló Carlos, conductor. No hay etiquetas asociadas a éste artículo.")</f>
        <v>De septiembre a la fecha, el gobierno municipal ha aplicado cerca de tres mil pruebas de alcoholemia y remitido a 66 conductores que excedieron el nivel permitido, con la intención de prevenir accidentes automovilísticos mortales y promover una cultura de conducción responsable. Luis Enrique Serna García, subdirector de Tránsito Municipal precisó que los operativos se aplican en vialidades donde se registran mayores incidentes mortales debido a la conducción de personas en estado etílico como Vía Morelos, López Portillo y avenida Central, y agregó que por festejos decembrinos aumentaban los riesgos de este tipo de accidentes. “Reitaramos a la ciudadanía que si toman haya conductor designado porque es primordial evitar accidentes, ya que si manejan en estado etílico se ponen en pelligro ellos y a los demás”, afirmó. A un par de días de culminar los festejos de cierre de año, el jefe policiaco llamó a la población a tomar conciencia de no conducir si consumen bebidas alcohólicas, respetar límites de velocidad y señalamientos viales para asegurar su bienestar, llegar bien a sus destinos y no poner en riesgo a su familia o a terceras personas. El gobierno municipal aplicó dos operativos Conduce sin Alcohol donde fueron remitidos aquellos conductores que superaron los límites de alcohol en aire expirado, al registrar más de .40 y quienes pueden llamar a algún familiar o persona conocida para que se lleve su auto y evitar que sea remitido a depósito vehicular. El operativo se realizó en avenida Insurgentes, en San Cristóbal Centro con la intervención de Jurídico, así como diversos agrupamientos de la policía municipal: Tránsito, Célula de Búsqueda, Prevención del Delito, Policía Metropolitana y de sector. En la revisión, dos conductores: Carlos N” de 50 años, originiario de Aguascalientes y quien conducía un auto Ford Fusion blanco, superó el grado de alcohol permitido al registrar un nivel de .55;  y otro hombre de 48 años, vecino de Ecatepec, quien manejaba una camioneta Ford Expedition y presentó .75 grados de alcohol, por lo que ambos fueron remitidos al Centro de Detención de Etílicos, y los vehículos entregados a sus familiares. El segundo despliegue operativo se realizó en avenida Central, en la colonia Potrero Chico donde se aplicaron pruebas a 210 conductores y tres de los cuales dieron positivo al superar el límite permitido de alcohol, por lo que fueron trasladados al Centro de Detenciones para cumplir su arresto inconmutable de 12 a 36 horas. “Muy bien bien porque están salvando vidas, es por nuestro bien, es rapidísimo , es correcto lo que hacen, no hay quejas”, señaló Carlos, conductor. No hay etiquetas asociadas a éste artículo.</v>
      </c>
      <c r="O85" s="15">
        <f>IFERROR(__xludf.DUMMYFUNCTION("""COMPUTED_VALUE"""),0.2881)</f>
        <v>0.2881</v>
      </c>
      <c r="P85" s="2"/>
      <c r="Q85" s="17">
        <f>IFERROR(__xludf.DUMMYFUNCTION("""COMPUTED_VALUE"""),6.5)</f>
        <v>6.5</v>
      </c>
      <c r="R85" s="2" t="str">
        <f>IFERROR(__xludf.DUMMYFUNCTION("""COMPUTED_VALUE"""),"High")</f>
        <v>High</v>
      </c>
      <c r="S85" s="17">
        <f>IFERROR(__xludf.DUMMYFUNCTION("""COMPUTED_VALUE"""),3.5)</f>
        <v>3.5</v>
      </c>
      <c r="T85" s="17">
        <f>IFERROR(__xludf.DUMMYFUNCTION("""COMPUTED_VALUE"""),0.0)</f>
        <v>0</v>
      </c>
      <c r="U85" s="14">
        <f>IFERROR(__xludf.DUMMYFUNCTION("""COMPUTED_VALUE"""),2.0)</f>
        <v>2</v>
      </c>
      <c r="V85" s="14">
        <v>2025.0</v>
      </c>
      <c r="W85" s="2" t="s">
        <v>1168</v>
      </c>
      <c r="X85" s="2" t="s">
        <v>1188</v>
      </c>
      <c r="Y85" s="13" t="s">
        <v>374</v>
      </c>
      <c r="Z85" s="14">
        <v>0.0</v>
      </c>
      <c r="AA85" s="14">
        <v>0.0</v>
      </c>
      <c r="AB85" s="14">
        <v>0.0</v>
      </c>
      <c r="AC85" s="14">
        <v>0.0</v>
      </c>
      <c r="AD85" s="2">
        <v>0.0</v>
      </c>
      <c r="AE85" s="2">
        <v>1.0</v>
      </c>
      <c r="AF85" s="2">
        <v>12.0</v>
      </c>
      <c r="AG85" s="2" t="s">
        <v>1208</v>
      </c>
      <c r="AH85" s="2">
        <v>0.0</v>
      </c>
    </row>
    <row r="86" ht="15.75" customHeight="1">
      <c r="A86" s="2" t="str">
        <f>IFERROR(__xludf.DUMMYFUNCTION("""COMPUTED_VALUE"""),"Diario Portal")</f>
        <v>Diario Portal</v>
      </c>
      <c r="B86" s="12" t="str">
        <f>IFERROR(__xludf.DUMMYFUNCTION("""COMPUTED_VALUE"""),"SENTENCIAN A 55 AÑOS DE PRISIÓN A CULPABLE DEL DELITO DE HOMICIDIO EN AGRAVIO DE UN MASCULINO EN EL MUNICIPIO DE NEZAHUALCÓYOTL")</f>
        <v>SENTENCIAN A 55 AÑOS DE PRISIÓN A CULPABLE DEL DELITO DE HOMICIDIO EN AGRAVIO DE UN MASCULINO EN EL MUNICIPIO DE NEZAHUALCÓYOTL</v>
      </c>
      <c r="C86" s="13" t="str">
        <f>IFERROR(__xludf.DUMMYFUNCTION("""COMPUTED_VALUE"""),"2025-12-27 15:45:21")</f>
        <v>2025-12-27 15:45:21</v>
      </c>
      <c r="D86" s="14">
        <f>IFERROR(__xludf.DUMMYFUNCTION("""COMPUTED_VALUE"""),4.0)</f>
        <v>4</v>
      </c>
      <c r="E86" s="15">
        <f>IFERROR(__xludf.DUMMYFUNCTION("""COMPUTED_VALUE"""),-0.4559)</f>
        <v>-0.4559</v>
      </c>
      <c r="F86" s="2" t="str">
        <f>IFERROR(__xludf.DUMMYFUNCTION("""COMPUTED_VALUE"""),"Negativo")</f>
        <v>Negativo</v>
      </c>
      <c r="G86" s="15">
        <f>IFERROR(__xludf.DUMMYFUNCTION("""COMPUTED_VALUE"""),0.4559)</f>
        <v>0.4559</v>
      </c>
      <c r="H86" s="2" t="str">
        <f>IFERROR(__xludf.DUMMYFUNCTION("""COMPUTED_VALUE"""),"Delito violento, robo o asalto")</f>
        <v>Delito violento, robo o asalto</v>
      </c>
      <c r="I86" s="2" t="str">
        <f>IFERROR(__xludf.DUMMYFUNCTION("""COMPUTED_VALUE"""),"homicidio")</f>
        <v>homicidio</v>
      </c>
      <c r="J86" s="2" t="str">
        <f>IFERROR(__xludf.DUMMYFUNCTION("""COMPUTED_VALUE"""),"Prevención PAX: Contactos de confianza.")</f>
        <v>Prevención PAX: Contactos de confianza.</v>
      </c>
      <c r="K86" s="2" t="str">
        <f>IFERROR(__xludf.DUMMYFUNCTION("""COMPUTED_VALUE"""),"Nezahualcóyotl")</f>
        <v>Nezahualcóyotl</v>
      </c>
      <c r="L86" s="2" t="str">
        <f>IFERROR(__xludf.DUMMYFUNCTION("""COMPUTED_VALUE"""),"Estado de México")</f>
        <v>Estado de México</v>
      </c>
      <c r="M86" s="16" t="str">
        <f>IFERROR(__xludf.DUMMYFUNCTION("""COMPUTED_VALUE"""),"https://diarioportal.com/seguridad-y-justicia/sentencian-a-55-anos-de-prision-a-culpable-del-delito-de-homicidio-en-agravio-de-un-masculino-en-el-municipio-de-nezahualcoyotl")</f>
        <v>https://diarioportal.com/seguridad-y-justicia/sentencian-a-55-anos-de-prision-a-culpable-del-delito-de-homicidio-en-agravio-de-un-masculino-en-el-municipio-de-nezahualcoyotl</v>
      </c>
      <c r="N86" s="2" t="str">
        <f>IFERROR(__xludf.DUMMYFUNCTION("""COMPUTED_VALUE"""),"La Fiscalía General de Justicia del Estado de México (FGJEM) obtuvo una sentencia de 55 años de prisión en contra de Irving Guillermo Gamero Díaz, luego de que acreditará su participación en el delito de homicidio en agravio de un masculino, hechos sucedi"&amp;"dos en el municipio de Nezahualcóyotl. De acuerdo a la investigación iniciada por el Agente del Ministerio Público, en diciembre de 2015, la víctima se encontraba afuera de su domicilio, en el municipio de Nezahualcóyotl, lugar al que arribaron el hoy sen"&amp;"tenciado y dos sujetos más, quienes la agredieron con armas de fuego provocándole heridas que la privaron de la vida para después huir del lugar. Una vez que se tuvo conocimiento de estos hechos, se iniciaron las pesquisas correspondientes que permitieron"&amp;" identificar y detener a Irving Guillermo Gamero Díaz, quien fue ingresado a un Centro Penitenciario y de Reinserción Social de la zona a disposición de la Autoridad Judicial. Tras analizar los datos recabados y aportados por esta Representación Social, u"&amp;"n Juez determinó la culpabilidad de Irving Guillermo Gamero Díaz y lo sentenció a 55 años de prisión, así como la suspensión de sus derechos civiles y políticos. Por estos mismos hechos, en fecha 09 de mayo de 2018 se dictó sentencia de condena en contra "&amp;"de José Guillermo Gamero Saldaña y Emanuel Alejandro Gamero Díaz, imponiéndoles una pena de 55 años de prisión. La Fiscalía General de Justicia del Estado de México pone a disposición de la ciudadanía el correo electrónico cerotolerancia@fiscaliaedomex.go"&amp;"b.mx, el número telefónico 800 7028770, o bien, la aplicación FGJEdomex, la cual está disponible de manera gratuita para los teléfonos inteligentes de los sistemas iOS y Android, para que denuncie cualquier hecho delictivo No hay etiquetas asociadas a ést"&amp;"e artículo.")</f>
        <v>La Fiscalía General de Justicia del Estado de México (FGJEM) obtuvo una sentencia de 55 años de prisión en contra de Irving Guillermo Gamero Díaz, luego de que acreditará su participación en el delito de homicidio en agravio de un masculino, hechos sucedidos en el municipio de Nezahualcóyotl. De acuerdo a la investigación iniciada por el Agente del Ministerio Público, en diciembre de 2015, la víctima se encontraba afuera de su domicilio, en el municipio de Nezahualcóyotl, lugar al que arribaron el hoy sentenciado y dos sujetos más, quienes la agredieron con armas de fuego provocándole heridas que la privaron de la vida para después huir del lugar. Una vez que se tuvo conocimiento de estos hechos, se iniciaron las pesquisas correspondientes que permitieron identificar y detener a Irving Guillermo Gamero Díaz, quien fue ingresado a un Centro Penitenciario y de Reinserción Social de la zona a disposición de la Autoridad Judicial. Tras analizar los datos recabados y aportados por esta Representación Social, un Juez determinó la culpabilidad de Irving Guillermo Gamero Díaz y lo sentenció a 55 años de prisión, así como la suspensión de sus derechos civiles y políticos. Por estos mismos hechos, en fecha 09 de mayo de 2018 se dictó sentencia de condena en contra de José Guillermo Gamero Saldaña y Emanuel Alejandro Gamero Díaz, imponiéndoles una pena de 55 años de prisión.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86" s="15">
        <f>IFERROR(__xludf.DUMMYFUNCTION("""COMPUTED_VALUE"""),1.0)</f>
        <v>1</v>
      </c>
      <c r="P86" s="2"/>
      <c r="Q86" s="17">
        <f>IFERROR(__xludf.DUMMYFUNCTION("""COMPUTED_VALUE"""),8.5)</f>
        <v>8.5</v>
      </c>
      <c r="R86" s="2" t="str">
        <f>IFERROR(__xludf.DUMMYFUNCTION("""COMPUTED_VALUE"""),"High")</f>
        <v>High</v>
      </c>
      <c r="S86" s="17">
        <f>IFERROR(__xludf.DUMMYFUNCTION("""COMPUTED_VALUE"""),3.5)</f>
        <v>3.5</v>
      </c>
      <c r="T86" s="17">
        <f>IFERROR(__xludf.DUMMYFUNCTION("""COMPUTED_VALUE"""),0.0)</f>
        <v>0</v>
      </c>
      <c r="U86" s="14">
        <f>IFERROR(__xludf.DUMMYFUNCTION("""COMPUTED_VALUE"""),2.0)</f>
        <v>2</v>
      </c>
      <c r="V86" s="14">
        <v>2025.0</v>
      </c>
      <c r="W86" s="2" t="s">
        <v>1168</v>
      </c>
      <c r="X86" s="2" t="s">
        <v>1194</v>
      </c>
      <c r="Y86" s="13" t="s">
        <v>378</v>
      </c>
      <c r="Z86" s="14">
        <v>0.0</v>
      </c>
      <c r="AA86" s="14">
        <v>0.0</v>
      </c>
      <c r="AB86" s="14">
        <v>0.0</v>
      </c>
      <c r="AC86" s="14">
        <v>0.0</v>
      </c>
      <c r="AD86" s="2">
        <v>0.0</v>
      </c>
      <c r="AE86" s="2">
        <v>1.0</v>
      </c>
      <c r="AF86" s="2">
        <v>12.0</v>
      </c>
      <c r="AG86" s="2" t="s">
        <v>1215</v>
      </c>
      <c r="AH86" s="2">
        <v>0.0</v>
      </c>
    </row>
    <row r="87" ht="15.75" customHeight="1">
      <c r="A87" s="2" t="str">
        <f>IFERROR(__xludf.DUMMYFUNCTION("""COMPUTED_VALUE"""),"Diario Portal")</f>
        <v>Diario Portal</v>
      </c>
      <c r="B87" s="12" t="str">
        <f>IFERROR(__xludf.DUMMYFUNCTION("""COMPUTED_VALUE"""),"CUMPLIMENTA FISCALÍA EDOMÉX ORDEN DE APREHENSIÓN A SUJETO ACUSADO DEL DELITO DE VIOLACIÓN COMETIDO CONTRA UNA MENOR")</f>
        <v>CUMPLIMENTA FISCALÍA EDOMÉX ORDEN DE APREHENSIÓN A SUJETO ACUSADO DEL DELITO DE VIOLACIÓN COMETIDO CONTRA UNA MENOR</v>
      </c>
      <c r="C87" s="13" t="str">
        <f>IFERROR(__xludf.DUMMYFUNCTION("""COMPUTED_VALUE"""),"2025-12-27 11:42:02")</f>
        <v>2025-12-27 11:42:02</v>
      </c>
      <c r="D87" s="14">
        <f>IFERROR(__xludf.DUMMYFUNCTION("""COMPUTED_VALUE"""),5.0)</f>
        <v>5</v>
      </c>
      <c r="E87" s="15">
        <f>IFERROR(__xludf.DUMMYFUNCTION("""COMPUTED_VALUE"""),0.0)</f>
        <v>0</v>
      </c>
      <c r="F87" s="2" t="str">
        <f>IFERROR(__xludf.DUMMYFUNCTION("""COMPUTED_VALUE"""),"Neutral")</f>
        <v>Neutral</v>
      </c>
      <c r="G87" s="15">
        <f>IFERROR(__xludf.DUMMYFUNCTION("""COMPUTED_VALUE"""),0.4702)</f>
        <v>0.4702</v>
      </c>
      <c r="H87" s="2" t="str">
        <f>IFERROR(__xludf.DUMMYFUNCTION("""COMPUTED_VALUE"""),"Acoso o agresión sexual")</f>
        <v>Acoso o agresión sexual</v>
      </c>
      <c r="I87" s="2" t="str">
        <f>IFERROR(__xludf.DUMMYFUNCTION("""COMPUTED_VALUE"""),"violación")</f>
        <v>violación</v>
      </c>
      <c r="J87" s="2" t="str">
        <f>IFERROR(__xludf.DUMMYFUNCTION("""COMPUTED_VALUE"""),"INTEGRIDAD / GÉNERO: Cero Tolerancia.")</f>
        <v>INTEGRIDAD / GÉNERO: Cero Tolerancia.</v>
      </c>
      <c r="K87" s="2" t="str">
        <f>IFERROR(__xludf.DUMMYFUNCTION("""COMPUTED_VALUE"""),"Estado de México")</f>
        <v>Estado de México</v>
      </c>
      <c r="L87" s="2" t="str">
        <f>IFERROR(__xludf.DUMMYFUNCTION("""COMPUTED_VALUE"""),"Estado de México")</f>
        <v>Estado de México</v>
      </c>
      <c r="M87" s="16" t="str">
        <f>IFERROR(__xludf.DUMMYFUNCTION("""COMPUTED_VALUE"""),"https://diarioportal.com/seguridad-y-justicia/cumplimenta-fiscalia-edomex-orden-de-aprehension-a-sujeto-acusado-del-delito-de-violacion-cometido-contra-una-menor")</f>
        <v>https://diarioportal.com/seguridad-y-justicia/cumplimenta-fiscalia-edomex-orden-de-aprehension-a-sujeto-acusado-del-delito-de-violacion-cometido-contra-una-menor</v>
      </c>
      <c r="N87" s="2" t="str">
        <f>IFERROR(__xludf.DUMMYFUNCTION("""COMPUTED_VALUE"""),"Elementos de la Fiscalía General de Justicia del Estado de México dieron cumplimiento a una orden de aprehensión en reclusión en contra de Isidro Gustavo “N”, por su presunta participación en el delito de violación. Luego de que el Agente del Ministerio P"&amp;"úblico aportara los datos de prueba necesarios para que una Autoridad Judicial emitiera una orden de aprehensión en contra de este sujeto por su posible participación en este ilícito, elementos de la Fiscalía mexiquense cumplimentaron dicho mandamiento en"&amp;" el Centro Penitenciario y de Readaptación Social de Texcoco, toda vez que el hoy investigado se encuentra ingresado en dicho lugar por un hecho diverso de violación. De acuerdo a las investigaciones realizadas por la Fiscalía de Justicia mexiquense, Isid"&amp;"ro Gustavo “N” habría agredido sexualmente a una menor de edad el 16 de junio del año 2007, en un cuarto de una vivienda que ambos compartían en la colonia Xocoilan, en Texcoco, amenazándola con causarle daño a ella o a un familiar en caso de denunciar lo"&amp;" ocurrido. Una vez cumplimentado el mandamiento judicial, esta persona quedó a disposición de la autoridad, la cual habrá de definir su situación legal Sin embargo, debe de considerársele inocente hasta que no sea dictada una sentencia condenatoria en su "&amp;"contra, emitida por una autoridad competente. La Fiscalía General de Justicia del Estado de México pone a disposición de la ciudadanía el correo electrónico cerotolerancia@fiscaliaedomex.gob.mx, el número telefónico 800 7028770, o bien, la aplicación FGJE"&amp;"domex, la cual está disponible de manera gratuita para los teléfonos inteligentes de los sistemas iOS y Android, para que en caso de reconocer a este individuo como probable implicado en otro hecho delictivo, sea denunciado. No hay etiquetas asociadas a é"&amp;"ste artículo.")</f>
        <v>Elementos de la Fiscalía General de Justicia del Estado de México dieron cumplimiento a una orden de aprehensión en reclusión en contra de Isidro Gustavo “N”, por su presunta participación en el delito de violación. Luego de que el Agente del Ministerio Público aportara los datos de prueba necesarios para que una Autoridad Judicial emitiera una orden de aprehensión en contra de este sujeto por su posible participación en este ilícito, elementos de la Fiscalía mexiquense cumplimentaron dicho mandamiento en el Centro Penitenciario y de Readaptación Social de Texcoco, toda vez que el hoy investigado se encuentra ingresado en dicho lugar por un hecho diverso de violación. De acuerdo a las investigaciones realizadas por la Fiscalía de Justicia mexiquense, Isidro Gustavo “N” habría agredido sexualmente a una menor de edad el 16 de junio del año 2007, en un cuarto de una vivienda que ambos compartían en la colonia Xocoilan, en Texcoco, amenazándola con causarle daño a ella o a un familiar en caso de denunciar lo ocurrido. Una vez cumplimentado el mandamiento judicial, esta persona quedó a disposición de la autoridad, la cual habrá de definir su situación legal Sin embargo, debe de considerársele inocente hasta que no sea dictada una sentencia condenatoria en su contra, emitida por una autoridad competente.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individuo como probable implicado en otro hecho delictivo, sea denunciado. No hay etiquetas asociadas a éste artículo.</v>
      </c>
      <c r="O87" s="15">
        <f>IFERROR(__xludf.DUMMYFUNCTION("""COMPUTED_VALUE"""),1.0)</f>
        <v>1</v>
      </c>
      <c r="P87" s="2"/>
      <c r="Q87" s="17">
        <f>IFERROR(__xludf.DUMMYFUNCTION("""COMPUTED_VALUE"""),8.0)</f>
        <v>8</v>
      </c>
      <c r="R87" s="2" t="str">
        <f>IFERROR(__xludf.DUMMYFUNCTION("""COMPUTED_VALUE"""),"High")</f>
        <v>High</v>
      </c>
      <c r="S87" s="17">
        <f>IFERROR(__xludf.DUMMYFUNCTION("""COMPUTED_VALUE"""),5.0)</f>
        <v>5</v>
      </c>
      <c r="T87" s="17">
        <f>IFERROR(__xludf.DUMMYFUNCTION("""COMPUTED_VALUE"""),0.0)</f>
        <v>0</v>
      </c>
      <c r="U87" s="14">
        <f>IFERROR(__xludf.DUMMYFUNCTION("""COMPUTED_VALUE"""),2.0)</f>
        <v>2</v>
      </c>
      <c r="V87" s="14">
        <v>2025.0</v>
      </c>
      <c r="W87" s="2" t="s">
        <v>1168</v>
      </c>
      <c r="X87" s="2" t="s">
        <v>1194</v>
      </c>
      <c r="Y87" s="13" t="s">
        <v>383</v>
      </c>
      <c r="Z87" s="14">
        <v>0.0</v>
      </c>
      <c r="AA87" s="14">
        <v>0.0</v>
      </c>
      <c r="AB87" s="14">
        <v>0.0</v>
      </c>
      <c r="AC87" s="14">
        <v>0.0</v>
      </c>
      <c r="AD87" s="2">
        <v>0.0</v>
      </c>
      <c r="AE87" s="2">
        <v>1.0</v>
      </c>
      <c r="AF87" s="2">
        <v>12.0</v>
      </c>
      <c r="AG87" s="2" t="s">
        <v>1202</v>
      </c>
      <c r="AH87" s="2">
        <v>0.0</v>
      </c>
    </row>
    <row r="88" ht="15.75" customHeight="1">
      <c r="A88" s="2" t="str">
        <f>IFERROR(__xludf.DUMMYFUNCTION("""COMPUTED_VALUE"""),"Diario Portal")</f>
        <v>Diario Portal</v>
      </c>
      <c r="B88" s="12" t="str">
        <f>IFERROR(__xludf.DUMMYFUNCTION("""COMPUTED_VALUE"""),"Denuncias ciudadanas frenan 78% de extorsiones en Edoméx.")</f>
        <v>Denuncias ciudadanas frenan 78% de extorsiones en Edoméx.</v>
      </c>
      <c r="C88" s="13" t="str">
        <f>IFERROR(__xludf.DUMMYFUNCTION("""COMPUTED_VALUE"""),"2025-12-26 15:18:33")</f>
        <v>2025-12-26 15:18:33</v>
      </c>
      <c r="D88" s="14">
        <f>IFERROR(__xludf.DUMMYFUNCTION("""COMPUTED_VALUE"""),2.0)</f>
        <v>2</v>
      </c>
      <c r="E88" s="15">
        <f>IFERROR(__xludf.DUMMYFUNCTION("""COMPUTED_VALUE"""),-0.4484)</f>
        <v>-0.4484</v>
      </c>
      <c r="F88" s="2" t="str">
        <f>IFERROR(__xludf.DUMMYFUNCTION("""COMPUTED_VALUE"""),"Negativo")</f>
        <v>Negativo</v>
      </c>
      <c r="G88" s="15">
        <f>IFERROR(__xludf.DUMMYFUNCTION("""COMPUTED_VALUE"""),0.4484)</f>
        <v>0.4484</v>
      </c>
      <c r="H88" s="2" t="str">
        <f>IFERROR(__xludf.DUMMYFUNCTION("""COMPUTED_VALUE"""),"Operativo policial o detención")</f>
        <v>Operativo policial o detención</v>
      </c>
      <c r="I88" s="2" t="str">
        <f>IFERROR(__xludf.DUMMYFUNCTION("""COMPUTED_VALUE"""),"N/A")</f>
        <v>N/A</v>
      </c>
      <c r="J88" s="2" t="str">
        <f>IFERROR(__xludf.DUMMYFUNCTION("""COMPUTED_VALUE"""),"Monitoreo general.")</f>
        <v>Monitoreo general.</v>
      </c>
      <c r="K88" s="2" t="str">
        <f>IFERROR(__xludf.DUMMYFUNCTION("""COMPUTED_VALUE"""),"Estado de México")</f>
        <v>Estado de México</v>
      </c>
      <c r="L88" s="2" t="str">
        <f>IFERROR(__xludf.DUMMYFUNCTION("""COMPUTED_VALUE"""),"Estado de México")</f>
        <v>Estado de México</v>
      </c>
      <c r="M88" s="16" t="str">
        <f>IFERROR(__xludf.DUMMYFUNCTION("""COMPUTED_VALUE"""),"https://diarioportal.com/seguridad-y-justicia/denuncias-ciudadanas-frenan-78-de-extorsiones-en-edomex")</f>
        <v>https://diarioportal.com/seguridad-y-justicia/denuncias-ciudadanas-frenan-78-de-extorsiones-en-edomex</v>
      </c>
      <c r="N88" s="2" t="str">
        <f>IFERROR(__xludf.DUMMYFUNCTION("""COMPUTED_VALUE"""),"Como parte de la estrategia contra la extorsión, el Gobierno del Estado de México frenó la entrega del 78% por ciento del dinero exigido por este delito del 18 al 24 de diciembre, así se informó en la Mesa de Paz que preside diariamente la Maestra Delfina"&amp;" Gómez Álvarez. “Hoy, en la reunión de Mesa de Paz, que realizamos en el #C5 de Toluca, la Secretaría de Seguridad del Estado de México informó que gracias a las acciones de la Policía Cibernética, se evitó la entrega de más de 6.8 millones de pesos por i"&amp;"ntentos de extorsión. En equipo, hacemos frente a este delito para el bienestar de las y los mexiquenses. Les invito a denunciar al 089 si ustedes o alguien que conozcan son víctimas”, dijo la Gobernadora Delfina Gómez en sus redes sociales. De acuerdo co"&amp;"n la dependencia, el resultado se deriva de las 646 denuncias ciudadanas presentadas en ese periodo, las cuales son importantes para activar de inmediato los protocolos de atención. Del total de reportes recibidos, 279 correspondieron a extorsión telefóni"&amp;"ca; 202, a fraude telefónico; 37, a llamadas maliciosas; 14, a extorsión electrónica; 14, a amenazas; ocho, a extorsión por derecho de piso; cinco, a extorsión directa, y 87 a otros tipos de ilícitos. Los municipios con mayor incidencia son Ecatepec, Tolu"&amp;"ca y Naucalpan. El Gobierno de la Maestra Delfina Gómez invita a la ciudadanía a denunciar en el 089 que se encuentra disponible las 24 horas, ya que mediante la confianza de la población es posible combatir la extorsión. A la Mesa de Paz número 241, asis"&amp;"tieron Horacio Duarte Olivares, Secretario General de Gobierno; Cristóbal Castañeda Camarillo, Secretario de Seguridad; Maricela López Urbina, Secretaria Técnica, así como representantes de la Fiscalía General de Justicia del Estado de México (FGJEM), Def"&amp;"ensa, Marina, Guardia Nacional y el Centro Nacional de Inteligencia No hay etiquetas asociadas a éste artículo.")</f>
        <v>Como parte de la estrategia contra la extorsión, el Gobierno del Estado de México frenó la entrega del 78% por ciento del dinero exigido por este delito del 18 al 24 de diciembre, así se informó en la Mesa de Paz que preside diariamente la Maestra Delfina Gómez Álvarez. “Hoy, en la reunión de Mesa de Paz, que realizamos en el #C5 de Toluca, la Secretaría de Seguridad del Estado de México informó que gracias a las acciones de la Policía Cibernética, se evitó la entrega de más de 6.8 millones de pesos por intentos de extorsión. En equipo, hacemos frente a este delito para el bienestar de las y los mexiquenses. Les invito a denunciar al 089 si ustedes o alguien que conozcan son víctimas”, dijo la Gobernadora Delfina Gómez en sus redes sociales. De acuerdo con la dependencia, el resultado se deriva de las 646 denuncias ciudadanas presentadas en ese periodo, las cuales son importantes para activar de inmediato los protocolos de atención. Del total de reportes recibidos, 279 correspondieron a extorsión telefónica; 202, a fraude telefónico; 37, a llamadas maliciosas; 14, a extorsión electrónica; 14, a amenazas; ocho, a extorsión por derecho de piso; cinco, a extorsión directa, y 87 a otros tipos de ilícitos. Los municipios con mayor incidencia son Ecatepec, Toluca y Naucalpan. El Gobierno de la Maestra Delfina Gómez invita a la ciudadanía a denunciar en el 089 que se encuentra disponible las 24 horas, ya que mediante la confianza de la población es posible combatir la extorsión. A la Mesa de Paz número 241, asistieron Horacio Duarte Olivares, Secretario General de Gobierno; Cristóbal Castañeda Camarillo, Secretario de Seguridad; Maricela López Urbina, Secretaria Técnica, así como representantes de la Fiscalía General de Justicia del Estado de México (FGJEM), Defensa, Marina, Guardia Nacional y el Centro Nacional de Inteligencia No hay etiquetas asociadas a éste artículo.</v>
      </c>
      <c r="O88" s="15">
        <f>IFERROR(__xludf.DUMMYFUNCTION("""COMPUTED_VALUE"""),0.5551)</f>
        <v>0.5551</v>
      </c>
      <c r="P88" s="2"/>
      <c r="Q88" s="17">
        <f>IFERROR(__xludf.DUMMYFUNCTION("""COMPUTED_VALUE"""),8.0)</f>
        <v>8</v>
      </c>
      <c r="R88" s="2" t="str">
        <f>IFERROR(__xludf.DUMMYFUNCTION("""COMPUTED_VALUE"""),"High")</f>
        <v>High</v>
      </c>
      <c r="S88" s="17">
        <f>IFERROR(__xludf.DUMMYFUNCTION("""COMPUTED_VALUE"""),3.0)</f>
        <v>3</v>
      </c>
      <c r="T88" s="17">
        <f>IFERROR(__xludf.DUMMYFUNCTION("""COMPUTED_VALUE"""),0.0)</f>
        <v>0</v>
      </c>
      <c r="U88" s="14">
        <f>IFERROR(__xludf.DUMMYFUNCTION("""COMPUTED_VALUE"""),2.0)</f>
        <v>2</v>
      </c>
      <c r="V88" s="14">
        <v>2025.0</v>
      </c>
      <c r="W88" s="2" t="s">
        <v>1168</v>
      </c>
      <c r="X88" s="2" t="s">
        <v>1199</v>
      </c>
      <c r="Y88" s="13" t="s">
        <v>388</v>
      </c>
      <c r="Z88" s="14">
        <v>0.0</v>
      </c>
      <c r="AA88" s="14">
        <v>0.0</v>
      </c>
      <c r="AB88" s="14">
        <v>0.0</v>
      </c>
      <c r="AC88" s="14">
        <v>0.0</v>
      </c>
      <c r="AD88" s="2">
        <v>0.0</v>
      </c>
      <c r="AE88" s="2">
        <v>0.0</v>
      </c>
      <c r="AF88" s="2">
        <v>12.0</v>
      </c>
      <c r="AG88" s="2" t="s">
        <v>1202</v>
      </c>
      <c r="AH88" s="2">
        <v>0.0</v>
      </c>
    </row>
    <row r="89" ht="15.75" customHeight="1">
      <c r="A89" s="2" t="str">
        <f>IFERROR(__xludf.DUMMYFUNCTION("""COMPUTED_VALUE"""),"Diario Portal")</f>
        <v>Diario Portal</v>
      </c>
      <c r="B89" s="12" t="str">
        <f>IFERROR(__xludf.DUMMYFUNCTION("""COMPUTED_VALUE"""),"Suspende Gobierno del Estado de México Contingencia Ambiental Atmosférica Fase I")</f>
        <v>Suspende Gobierno del Estado de México Contingencia Ambiental Atmosférica Fase I</v>
      </c>
      <c r="C89" s="13" t="str">
        <f>IFERROR(__xludf.DUMMYFUNCTION("""COMPUTED_VALUE"""),"2025-12-26 15:06:30")</f>
        <v>2025-12-26 15:06:30</v>
      </c>
      <c r="D89" s="14">
        <f>IFERROR(__xludf.DUMMYFUNCTION("""COMPUTED_VALUE"""),1.0)</f>
        <v>1</v>
      </c>
      <c r="E89" s="15">
        <f>IFERROR(__xludf.DUMMYFUNCTION("""COMPUTED_VALUE"""),0.0)</f>
        <v>0</v>
      </c>
      <c r="F89" s="2" t="str">
        <f>IFERROR(__xludf.DUMMYFUNCTION("""COMPUTED_VALUE"""),"Neutral")</f>
        <v>Neutral</v>
      </c>
      <c r="G89" s="15">
        <f>IFERROR(__xludf.DUMMYFUNCTION("""COMPUTED_VALUE"""),0.7189)</f>
        <v>0.7189</v>
      </c>
      <c r="H89" s="2" t="str">
        <f>IFERROR(__xludf.DUMMYFUNCTION("""COMPUTED_VALUE"""),"Otros temas generales")</f>
        <v>Otros temas generales</v>
      </c>
      <c r="I89" s="2" t="str">
        <f>IFERROR(__xludf.DUMMYFUNCTION("""COMPUTED_VALUE"""),"N/A")</f>
        <v>N/A</v>
      </c>
      <c r="J89" s="2" t="str">
        <f>IFERROR(__xludf.DUMMYFUNCTION("""COMPUTED_VALUE"""),"Descartar / Baja prioridad.")</f>
        <v>Descartar / Baja prioridad.</v>
      </c>
      <c r="K89" s="2" t="str">
        <f>IFERROR(__xludf.DUMMYFUNCTION("""COMPUTED_VALUE"""),"Estado de México")</f>
        <v>Estado de México</v>
      </c>
      <c r="L89" s="2" t="str">
        <f>IFERROR(__xludf.DUMMYFUNCTION("""COMPUTED_VALUE"""),"Estado de México")</f>
        <v>Estado de México</v>
      </c>
      <c r="M89" s="16" t="str">
        <f>IFERROR(__xludf.DUMMYFUNCTION("""COMPUTED_VALUE"""),"https://diarioportal.com/seguridad-y-justicia/suspende-gobierno-del-estado-de-mexico-contingencia-ambiental-atmosferica-fase-i")</f>
        <v>https://diarioportal.com/seguridad-y-justicia/suspende-gobierno-del-estado-de-mexico-contingencia-ambiental-atmosferica-fase-i</v>
      </c>
      <c r="N89" s="2" t="str">
        <f>IFERROR(__xludf.DUMMYFUNCTION("""COMPUTED_VALUE"""),"El Gobierno del Estado de México, a través de la Secretaría del Medio Ambiente y Desarrollo Sostenible informa la suspensión de acciones y medidas de la Fase I de Contingencia Ambiental Atmosférica, quedan las correspondientes a la Fase Alerta por partícu"&amp;"las en las Zonas Metropolitanas del Valle de Toluca (ZMVT) y Santiago Tianguistenco (ZMST). Lo anterior, en virtud de que a las 10:00 horas se registraron valores máximos de 42 y 37 microgramos por metro cúbico (µg/m3) de partículas PM2.5, en las estacion"&amp;"es de Xonacatlán y Calimaya, en los municipios del mismo nombre. Para el día de hoy, se estima que existan condiciones meteorológicas en la atmósfera que permitirán una mejoría en la calidad del aire. Cabe precisar que la Fase de Alerta es meramente infor"&amp;"mativa para que la población conozca el estado de la calidad del aire y consideren las medidas necesarias para evitar afectaciones a la salud, tales como: mantenerse en lugares cerrados, con ventanas y puertas cerradas para evitar molestias en ojos, garga"&amp;"nta o nariz, y en caso de continuar con molestias se recomienda acudir al médico. Asimismo, en esta fase queda suspendida la restricción vehicular, por lo que el Hoy No Circula opera de manera regular. Se exhorta a la población mexiquense a continuar con "&amp;"acciones que permitan la reducción de emisiones contaminantes, sobre todo evitar la quema de juegos pirotécnicos, leña, fogatas y llantas; disminuir el uso de automóvil, y tomar medidas para reducir la contaminación del aire, por parte de industrias, come"&amp;"rcios, servicios y en el hogar. La Secretaría del Medio Ambiente y Desarrollo Sostenible se mantiene atenta a la calidad del aire en la Zona Metropolitana del Valle de Toluca y la Zona Metropolitana de Santiago Tianguistenco. No obstante, la dependencia e"&amp;"statal sugiere estar pendientes sobre la calidad del aire, así como del programa en https://rama.edomex.gob.mx/calidaddelaire y http://proaire.edomex.gob.mx/bibliografia. No hay etiquetas asociadas a éste artículo.")</f>
        <v>El Gobierno del Estado de México, a través de la Secretaría del Medio Ambiente y Desarrollo Sostenible informa la suspensión de acciones y medidas de la Fase I de Contingencia Ambiental Atmosférica, quedan las correspondientes a la Fase Alerta por partículas en las Zonas Metropolitanas del Valle de Toluca (ZMVT) y Santiago Tianguistenco (ZMST). Lo anterior, en virtud de que a las 10:00 horas se registraron valores máximos de 42 y 37 microgramos por metro cúbico (µg/m3) de partículas PM2.5, en las estaciones de Xonacatlán y Calimaya, en los municipios del mismo nombre. Para el día de hoy, se estima que existan condiciones meteorológicas en la atmósfera que permitirán una mejoría en la calidad del aire. Cabe precisar que la Fase de Alerta es meramente informativa para que la población conozca el estado de la calidad del aire y consideren las medidas necesarias para evitar afectaciones a la salud, tales como: mantenerse en lugares cerrados, con ventanas y puertas cerradas para evitar molestias en ojos, garganta o nariz, y en caso de continuar con molestias se recomienda acudir al médico. Asimismo, en esta fase queda suspendida la restricción vehicular, por lo que el Hoy No Circula opera de manera regular. Se exhorta a la población mexiquense a continuar con acciones que permitan la reducción de emisiones contaminantes, sobre todo evitar la quema de juegos pirotécnicos, leña, fogatas y llantas; disminuir el uso de automóvil, y tomar medidas para reducir la contaminación del aire, por parte de industrias, comercios, servicios y en el hogar. La Secretaría del Medio Ambiente y Desarrollo Sostenible se mantiene atenta a la calidad del aire en la Zona Metropolitana del Valle de Toluca y la Zona Metropolitana de Santiago Tianguistenco. No obstante, la dependencia estatal sugiere estar pendientes sobre la calidad del aire, así como del programa en https://rama.edomex.gob.mx/calidaddelaire y http://proaire.edomex.gob.mx/bibliografia. No hay etiquetas asociadas a éste artículo.</v>
      </c>
      <c r="O89" s="15">
        <f>IFERROR(__xludf.DUMMYFUNCTION("""COMPUTED_VALUE"""),0.2286)</f>
        <v>0.2286</v>
      </c>
      <c r="P89" s="2"/>
      <c r="Q89" s="17">
        <f>IFERROR(__xludf.DUMMYFUNCTION("""COMPUTED_VALUE"""),8.0)</f>
        <v>8</v>
      </c>
      <c r="R89" s="2" t="str">
        <f>IFERROR(__xludf.DUMMYFUNCTION("""COMPUTED_VALUE"""),"Low")</f>
        <v>Low</v>
      </c>
      <c r="S89" s="17">
        <f>IFERROR(__xludf.DUMMYFUNCTION("""COMPUTED_VALUE"""),0.0)</f>
        <v>0</v>
      </c>
      <c r="T89" s="17">
        <f>IFERROR(__xludf.DUMMYFUNCTION("""COMPUTED_VALUE"""),0.0)</f>
        <v>0</v>
      </c>
      <c r="U89" s="14">
        <f>IFERROR(__xludf.DUMMYFUNCTION("""COMPUTED_VALUE"""),2.0)</f>
        <v>2</v>
      </c>
      <c r="V89" s="14">
        <v>2025.0</v>
      </c>
      <c r="W89" s="2" t="s">
        <v>1168</v>
      </c>
      <c r="X89" s="2" t="s">
        <v>1199</v>
      </c>
      <c r="Y89" s="13" t="s">
        <v>392</v>
      </c>
      <c r="Z89" s="14">
        <v>0.0</v>
      </c>
      <c r="AA89" s="14">
        <v>0.0</v>
      </c>
      <c r="AB89" s="14">
        <v>0.0</v>
      </c>
      <c r="AC89" s="14">
        <v>0.0</v>
      </c>
      <c r="AD89" s="2">
        <v>0.0</v>
      </c>
      <c r="AE89" s="2">
        <v>0.0</v>
      </c>
      <c r="AF89" s="2">
        <v>12.0</v>
      </c>
      <c r="AG89" s="2" t="s">
        <v>1202</v>
      </c>
      <c r="AH89" s="2">
        <v>0.0</v>
      </c>
    </row>
    <row r="90" ht="15.75" customHeight="1">
      <c r="A90" s="2" t="str">
        <f>IFERROR(__xludf.DUMMYFUNCTION("""COMPUTED_VALUE"""),"Diario Portal")</f>
        <v>Diario Portal</v>
      </c>
      <c r="B90" s="12" t="str">
        <f>IFERROR(__xludf.DUMMYFUNCTION("""COMPUTED_VALUE"""),"Reconoce Gobierno del EdoMéx a la Protectora de Bosques por excelencia en servicios forestales")</f>
        <v>Reconoce Gobierno del EdoMéx a la Protectora de Bosques por excelencia en servicios forestales</v>
      </c>
      <c r="C90" s="13" t="str">
        <f>IFERROR(__xludf.DUMMYFUNCTION("""COMPUTED_VALUE"""),"2025-12-26 14:46:58")</f>
        <v>2025-12-26 14:46:58</v>
      </c>
      <c r="D90" s="14">
        <f>IFERROR(__xludf.DUMMYFUNCTION("""COMPUTED_VALUE"""),1.0)</f>
        <v>1</v>
      </c>
      <c r="E90" s="15">
        <f>IFERROR(__xludf.DUMMYFUNCTION("""COMPUTED_VALUE"""),0.4897)</f>
        <v>0.4897</v>
      </c>
      <c r="F90" s="2" t="str">
        <f>IFERROR(__xludf.DUMMYFUNCTION("""COMPUTED_VALUE"""),"Positivo")</f>
        <v>Positivo</v>
      </c>
      <c r="G90" s="15">
        <f>IFERROR(__xludf.DUMMYFUNCTION("""COMPUTED_VALUE"""),0.4897)</f>
        <v>0.4897</v>
      </c>
      <c r="H90" s="2" t="str">
        <f>IFERROR(__xludf.DUMMYFUNCTION("""COMPUTED_VALUE"""),"Otros temas generales")</f>
        <v>Otros temas generales</v>
      </c>
      <c r="I90" s="2" t="str">
        <f>IFERROR(__xludf.DUMMYFUNCTION("""COMPUTED_VALUE"""),"N/A")</f>
        <v>N/A</v>
      </c>
      <c r="J90" s="2" t="str">
        <f>IFERROR(__xludf.DUMMYFUNCTION("""COMPUTED_VALUE"""),"Descartar / Baja prioridad.")</f>
        <v>Descartar / Baja prioridad.</v>
      </c>
      <c r="K90" s="2" t="str">
        <f>IFERROR(__xludf.DUMMYFUNCTION("""COMPUTED_VALUE"""),"Estado de México")</f>
        <v>Estado de México</v>
      </c>
      <c r="L90" s="2" t="str">
        <f>IFERROR(__xludf.DUMMYFUNCTION("""COMPUTED_VALUE"""),"Estado de México")</f>
        <v>Estado de México</v>
      </c>
      <c r="M90" s="16" t="str">
        <f>IFERROR(__xludf.DUMMYFUNCTION("""COMPUTED_VALUE"""),"https://diarioportal.com/seguridad-y-justicia/reconoce-gobierno-del-edomex-a-la-protectora-de-bosques-por-excelencia-en-servicios-forestales")</f>
        <v>https://diarioportal.com/seguridad-y-justicia/reconoce-gobierno-del-edomex-a-la-protectora-de-bosques-por-excelencia-en-servicios-forestales</v>
      </c>
      <c r="N90" s="2" t="str">
        <f>IFERROR(__xludf.DUMMYFUNCTION("""COMPUTED_VALUE"""),"El Gobierno del Estado de México reconoció a la Protectora de Bosques (PROBOSQUE), organismo descentralizado de la Secretaría del Campo (SeCampo) por su alto desempeño en eficiencia administrativa y atención ciudadana, tras obtener calificaciones superior"&amp;"es al 90 por ciento en la evaluación 2025 de Buenas Prácticas que realiza la Dirección General de Innovación. El dictamen destacó cuatro procesos clave: Capacitación a productoras y productores forestales (99%); Registro de plantación comercial (98%); Not"&amp;"ificación de saneamiento (93%) y Resolutivos de aprovechamiento maderable y no maderable (90.5%). Estos resultados colocan a PROBOSQUE entre las dependencias con mejores estándares de gestión en la administración estatal. El Director General, Alejandro Sa"&amp;"ntiago Sánchez Vélez, señaló que estas calificaciones confirman el compromiso de PROBOSQUE con trámites ágiles, claros y certificados bajo la Norma ISO 9001:2015, lo que garantiza procesos transparentes y confiables para las comunidades forestales. El Gob"&amp;"ierno de la Maestra Delfina Gómez Álvarez subrayó que este reconocimiento refleja el avance del Estado de México en modernización administrativa y servicios públicos que responden con calidad y cercanía a la ciudadanía. Las prácticas evaluadas ya forman p"&amp;"arte del Catálogo de Buenas Prácticas de la Administración Pública Estatal 2025, documento que reúne los casos de éxito más relevantes de la gestión estatal. No hay etiquetas asociadas a éste artículo.")</f>
        <v>El Gobierno del Estado de México reconoció a la Protectora de Bosques (PROBOSQUE), organismo descentralizado de la Secretaría del Campo (SeCampo) por su alto desempeño en eficiencia administrativa y atención ciudadana, tras obtener calificaciones superiores al 90 por ciento en la evaluación 2025 de Buenas Prácticas que realiza la Dirección General de Innovación. El dictamen destacó cuatro procesos clave: Capacitación a productoras y productores forestales (99%); Registro de plantación comercial (98%); Notificación de saneamiento (93%) y Resolutivos de aprovechamiento maderable y no maderable (90.5%). Estos resultados colocan a PROBOSQUE entre las dependencias con mejores estándares de gestión en la administración estatal. El Director General, Alejandro Santiago Sánchez Vélez, señaló que estas calificaciones confirman el compromiso de PROBOSQUE con trámites ágiles, claros y certificados bajo la Norma ISO 9001:2015, lo que garantiza procesos transparentes y confiables para las comunidades forestales. El Gobierno de la Maestra Delfina Gómez Álvarez subrayó que este reconocimiento refleja el avance del Estado de México en modernización administrativa y servicios públicos que responden con calidad y cercanía a la ciudadanía. Las prácticas evaluadas ya forman parte del Catálogo de Buenas Prácticas de la Administración Pública Estatal 2025, documento que reúne los casos de éxito más relevantes de la gestión estatal. No hay etiquetas asociadas a éste artículo.</v>
      </c>
      <c r="O90" s="15">
        <f>IFERROR(__xludf.DUMMYFUNCTION("""COMPUTED_VALUE"""),0.3666)</f>
        <v>0.3666</v>
      </c>
      <c r="P90" s="2"/>
      <c r="Q90" s="17">
        <f>IFERROR(__xludf.DUMMYFUNCTION("""COMPUTED_VALUE"""),8.0)</f>
        <v>8</v>
      </c>
      <c r="R90" s="2" t="str">
        <f>IFERROR(__xludf.DUMMYFUNCTION("""COMPUTED_VALUE"""),"High")</f>
        <v>High</v>
      </c>
      <c r="S90" s="17">
        <f>IFERROR(__xludf.DUMMYFUNCTION("""COMPUTED_VALUE"""),5.0)</f>
        <v>5</v>
      </c>
      <c r="T90" s="17">
        <f>IFERROR(__xludf.DUMMYFUNCTION("""COMPUTED_VALUE"""),0.0)</f>
        <v>0</v>
      </c>
      <c r="U90" s="14">
        <f>IFERROR(__xludf.DUMMYFUNCTION("""COMPUTED_VALUE"""),2.0)</f>
        <v>2</v>
      </c>
      <c r="V90" s="14">
        <v>2025.0</v>
      </c>
      <c r="W90" s="2" t="s">
        <v>1168</v>
      </c>
      <c r="X90" s="2" t="s">
        <v>1199</v>
      </c>
      <c r="Y90" s="13" t="s">
        <v>396</v>
      </c>
      <c r="Z90" s="14">
        <v>0.0</v>
      </c>
      <c r="AA90" s="14">
        <v>0.0</v>
      </c>
      <c r="AB90" s="14">
        <v>0.0</v>
      </c>
      <c r="AC90" s="14">
        <v>0.0</v>
      </c>
      <c r="AD90" s="2">
        <v>0.0</v>
      </c>
      <c r="AE90" s="2">
        <v>0.0</v>
      </c>
      <c r="AF90" s="2">
        <v>12.0</v>
      </c>
      <c r="AG90" s="2" t="s">
        <v>1202</v>
      </c>
      <c r="AH90" s="2">
        <v>0.0</v>
      </c>
    </row>
    <row r="91" ht="15.75" customHeight="1">
      <c r="A91" s="2" t="str">
        <f>IFERROR(__xludf.DUMMYFUNCTION("""COMPUTED_VALUE"""),"Diario Portal")</f>
        <v>Diario Portal</v>
      </c>
      <c r="B91" s="12" t="str">
        <f>IFERROR(__xludf.DUMMYFUNCTION("""COMPUTED_VALUE"""),"Procesan a tres personas por presunto despojo en Valle de Chalco")</f>
        <v>Procesan a tres personas por presunto despojo en Valle de Chalco</v>
      </c>
      <c r="C91" s="13" t="str">
        <f>IFERROR(__xludf.DUMMYFUNCTION("""COMPUTED_VALUE"""),"2025-12-26 12:49:45")</f>
        <v>2025-12-26 12:49:45</v>
      </c>
      <c r="D91" s="14">
        <f>IFERROR(__xludf.DUMMYFUNCTION("""COMPUTED_VALUE"""),2.0)</f>
        <v>2</v>
      </c>
      <c r="E91" s="15">
        <f>IFERROR(__xludf.DUMMYFUNCTION("""COMPUTED_VALUE"""),-0.4645)</f>
        <v>-0.4645</v>
      </c>
      <c r="F91" s="2" t="str">
        <f>IFERROR(__xludf.DUMMYFUNCTION("""COMPUTED_VALUE"""),"Negativo")</f>
        <v>Negativo</v>
      </c>
      <c r="G91" s="15">
        <f>IFERROR(__xludf.DUMMYFUNCTION("""COMPUTED_VALUE"""),0.4645)</f>
        <v>0.4645</v>
      </c>
      <c r="H91" s="2" t="str">
        <f>IFERROR(__xludf.DUMMYFUNCTION("""COMPUTED_VALUE"""),"Operativo policial o detención")</f>
        <v>Operativo policial o detención</v>
      </c>
      <c r="I91" s="2" t="str">
        <f>IFERROR(__xludf.DUMMYFUNCTION("""COMPUTED_VALUE"""),"N/A")</f>
        <v>N/A</v>
      </c>
      <c r="J91" s="2" t="str">
        <f>IFERROR(__xludf.DUMMYFUNCTION("""COMPUTED_VALUE"""),"Monitoreo general.")</f>
        <v>Monitoreo general.</v>
      </c>
      <c r="K91" s="2" t="str">
        <f>IFERROR(__xludf.DUMMYFUNCTION("""COMPUTED_VALUE"""),"Estado de México")</f>
        <v>Estado de México</v>
      </c>
      <c r="L91" s="2" t="str">
        <f>IFERROR(__xludf.DUMMYFUNCTION("""COMPUTED_VALUE"""),"Estado de México")</f>
        <v>Estado de México</v>
      </c>
      <c r="M91" s="16" t="str">
        <f>IFERROR(__xludf.DUMMYFUNCTION("""COMPUTED_VALUE"""),"https://diarioportal.com/seguridad-y-justicia/procesan-a-tres-personas-por-presunto-despojo-en-valle-de-chalco")</f>
        <v>https://diarioportal.com/seguridad-y-justicia/procesan-a-tres-personas-por-presunto-despojo-en-valle-de-chalco</v>
      </c>
      <c r="N91" s="2" t="str">
        <f>IFERROR(__xludf.DUMMYFUNCTION("""COMPUTED_VALUE"""),"Tres personas fueron vinculadas a proceso, una vez que la Fiscalía General de Justicia del Estado de México (FGJEM) estableció su probable intervención en el hecho delictivo de despojo, ilícito registrado el pasado 19 de diciembre en el municipio de Valle"&amp;" de Chalco. Se trata de Edwin “N”, Iván “N” y Marilyn “N”, quienes habrían despojado de un inmueble a uno de sus familiares. De acuerdo con los hechos, el pasado 19 de diciembre la víctima arribó a su domicilio ubicado en la colonia Real de San Martín, de"&amp;"l municipio referido y momentos después, de forma violenta, los ahora detenidos ingresaron al lugar, lo sometieron y sacaron para presumiblemente apoderarse de la casa habitación. La víctima solicitó la presencia de elementos de Seguridad Pública que arri"&amp;"baron al lugar y llevaron a cabo la detención de estas tres personas, a quienes les fueron aseguradas armas de fuego y un objeto punzocortante, por lo que fueron presentadas ante el Agente del Ministerio Público, para que fuera iniciada una investigación "&amp;"en su contra por el delito de despojo. Estas tres personas posteriormente fueron puestas a disposición de un Juez del Distrito Judicial de Chalco, quien decretó la legalidad de su detención y luego de revisar los datos de prueba aportados por el Ministeri"&amp;"o Público, determinó vincularlos a proceso, con plazo de dos meses para el cierre de investigación complementaria y medida cautelar de presentación periódica al Centro Estatal de Medidas Cautelares (CEMECA). A los detenidos se les debe considerar inocente"&amp;"s hasta que sea dictada una sentencia condenatoria en su contra. La Fiscalía General de Justicia del Estado de México pone a disposición de la ciudadanía el correo electrónico cerotolerancia@fiscaliaedomex.gob.mx, el número telefónico 800 7028770, o bien,"&amp;" la aplicación FGJEdomex, la cual está disponible de manera gratuita para los teléfonos inteligentes de los sistemas iOS y Android, para que denuncie cualquier hecho delictivo. No hay etiquetas asociadas a éste artículo.")</f>
        <v>Tres personas fueron vinculadas a proceso, una vez que la Fiscalía General de Justicia del Estado de México (FGJEM) estableció su probable intervención en el hecho delictivo de despojo, ilícito registrado el pasado 19 de diciembre en el municipio de Valle de Chalco. Se trata de Edwin “N”, Iván “N” y Marilyn “N”, quienes habrían despojado de un inmueble a uno de sus familiares. De acuerdo con los hechos, el pasado 19 de diciembre la víctima arribó a su domicilio ubicado en la colonia Real de San Martín, del municipio referido y momentos después, de forma violenta, los ahora detenidos ingresaron al lugar, lo sometieron y sacaron para presumiblemente apoderarse de la casa habitación. La víctima solicitó la presencia de elementos de Seguridad Pública que arribaron al lugar y llevaron a cabo la detención de estas tres personas, a quienes les fueron aseguradas armas de fuego y un objeto punzocortante, por lo que fueron presentadas ante el Agente del Ministerio Público, para que fuera iniciada una investigación en su contra por el delito de despojo. Estas tres personas posteriormente fueron puestas a disposición de un Juez del Distrito Judicial de Chalco, quien decretó la legalidad de su detención y luego de revisar los datos de prueba aportados por el Ministerio Público, determinó vincularlos a proceso, con plazo de dos meses para el cierre de investigación complementaria y medida cautelar de presentación periódica al Centro Estatal de Medidas Cautelares (CEMECA). A los detenidos se les debe considerar inocentes hasta que sea dictada una sentencia condenatoria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91" s="15">
        <f>IFERROR(__xludf.DUMMYFUNCTION("""COMPUTED_VALUE"""),0.4683)</f>
        <v>0.4683</v>
      </c>
      <c r="P91" s="2"/>
      <c r="Q91" s="17">
        <f>IFERROR(__xludf.DUMMYFUNCTION("""COMPUTED_VALUE"""),5.0)</f>
        <v>5</v>
      </c>
      <c r="R91" s="2" t="str">
        <f>IFERROR(__xludf.DUMMYFUNCTION("""COMPUTED_VALUE"""),"High")</f>
        <v>High</v>
      </c>
      <c r="S91" s="17">
        <f>IFERROR(__xludf.DUMMYFUNCTION("""COMPUTED_VALUE"""),2.0)</f>
        <v>2</v>
      </c>
      <c r="T91" s="17">
        <f>IFERROR(__xludf.DUMMYFUNCTION("""COMPUTED_VALUE"""),0.0)</f>
        <v>0</v>
      </c>
      <c r="U91" s="14">
        <f>IFERROR(__xludf.DUMMYFUNCTION("""COMPUTED_VALUE"""),2.0)</f>
        <v>2</v>
      </c>
      <c r="V91" s="14">
        <v>2025.0</v>
      </c>
      <c r="W91" s="2" t="s">
        <v>1168</v>
      </c>
      <c r="X91" s="2" t="s">
        <v>1199</v>
      </c>
      <c r="Y91" s="13" t="s">
        <v>400</v>
      </c>
      <c r="Z91" s="14">
        <v>0.0</v>
      </c>
      <c r="AA91" s="14">
        <v>0.0</v>
      </c>
      <c r="AB91" s="14">
        <v>0.0</v>
      </c>
      <c r="AC91" s="14">
        <v>0.0</v>
      </c>
      <c r="AD91" s="2">
        <v>0.0</v>
      </c>
      <c r="AE91" s="2">
        <v>0.0</v>
      </c>
      <c r="AF91" s="2">
        <v>12.0</v>
      </c>
      <c r="AG91" s="2" t="s">
        <v>1202</v>
      </c>
      <c r="AH91" s="2">
        <v>0.0</v>
      </c>
    </row>
    <row r="92" ht="15.75" customHeight="1">
      <c r="A92" s="2" t="str">
        <f>IFERROR(__xludf.DUMMYFUNCTION("""COMPUTED_VALUE"""),"Diario Portal")</f>
        <v>Diario Portal</v>
      </c>
      <c r="B92" s="12" t="str">
        <f>IFERROR(__xludf.DUMMYFUNCTION("""COMPUTED_VALUE"""),"Navidad Segura en Ecatepec con despliegue masivo de elementos de seguridad")</f>
        <v>Navidad Segura en Ecatepec con despliegue masivo de elementos de seguridad</v>
      </c>
      <c r="C92" s="13" t="str">
        <f>IFERROR(__xludf.DUMMYFUNCTION("""COMPUTED_VALUE"""),"2025-12-25 14:38:14")</f>
        <v>2025-12-25 14:38:14</v>
      </c>
      <c r="D92" s="14">
        <f>IFERROR(__xludf.DUMMYFUNCTION("""COMPUTED_VALUE"""),4.0)</f>
        <v>4</v>
      </c>
      <c r="E92" s="15">
        <f>IFERROR(__xludf.DUMMYFUNCTION("""COMPUTED_VALUE"""),0.0)</f>
        <v>0</v>
      </c>
      <c r="F92" s="2" t="str">
        <f>IFERROR(__xludf.DUMMYFUNCTION("""COMPUTED_VALUE"""),"Neutral")</f>
        <v>Neutral</v>
      </c>
      <c r="G92" s="15">
        <f>IFERROR(__xludf.DUMMYFUNCTION("""COMPUTED_VALUE"""),0.5022)</f>
        <v>0.5022</v>
      </c>
      <c r="H92" s="2" t="str">
        <f>IFERROR(__xludf.DUMMYFUNCTION("""COMPUTED_VALUE"""),"Operativo policial o detención")</f>
        <v>Operativo policial o detención</v>
      </c>
      <c r="I92" s="2" t="str">
        <f>IFERROR(__xludf.DUMMYFUNCTION("""COMPUTED_VALUE"""),"N/A")</f>
        <v>N/A</v>
      </c>
      <c r="J92" s="2" t="str">
        <f>IFERROR(__xludf.DUMMYFUNCTION("""COMPUTED_VALUE"""),"Monitoreo general.")</f>
        <v>Monitoreo general.</v>
      </c>
      <c r="K92" s="2" t="str">
        <f>IFERROR(__xludf.DUMMYFUNCTION("""COMPUTED_VALUE"""),"Ecatepec")</f>
        <v>Ecatepec</v>
      </c>
      <c r="L92" s="2" t="str">
        <f>IFERROR(__xludf.DUMMYFUNCTION("""COMPUTED_VALUE"""),"Estado de México")</f>
        <v>Estado de México</v>
      </c>
      <c r="M92" s="16" t="str">
        <f>IFERROR(__xludf.DUMMYFUNCTION("""COMPUTED_VALUE"""),"https://diarioportal.com/seguridad-y-justicia/navidad-segura-en-ecatepec-con-despliegue-masivo-de-elementos-de-seguridad")</f>
        <v>https://diarioportal.com/seguridad-y-justicia/navidad-segura-en-ecatepec-con-despliegue-masivo-de-elementos-de-seguridad</v>
      </c>
      <c r="N92" s="2" t="str">
        <f>IFERROR(__xludf.DUMMYFUNCTION("""COMPUTED_VALUE"""),"El gobierno de Ecatepec mantiene un despliegue masivo de elementos de seguridad en las comunidades, con respaldo de fuerzas federales de Marina, Guardia Nacional y Sedena, para garantizar orden y paz a los habitantes durante el día de asueto, tras el fest"&amp;"ejo de las fiestas navideñas. El despliegue operativo se mantiene en comunidades, principalmente en aquellas zonas consideradas de alta incidencia delictiva o de incidentes violentos, para prevenir ilícitos sobre todo de alto impacto como el robo de vehíc"&amp;"ulo, a casa habitación y homicidios, por lo que continúan operativos con diversos agrupamientos, en coordinación con Marina. La Dirección General de Seguridad Ciudadana y Tránsito Municipal recomendó en estas fechas de asueto y vacacionales tomar diversas"&amp;" medidas preventivas para evitar ser víctimas de ilícitos como la extorsión, ya que suelen presentarse llamadas falsas para solicitar dinero, por lo que es importante mantener comunicación directa y constante con familiares y personas cercanas. Además pid"&amp;"ió actuar con discreción al acudir a sucursales bancarias y cajeros, y en la medida de lo posible evitar portar grandes cantidades de efectivo, resguardar tarjetas y datos financieros, y no publicar información ostentosa en redes sociales. Mientras que en"&amp;" el hogar sugirió revisar instalaciones eléctricas y de gas, mantener los espacios libres de obstáculos que puedan provocar accidentes o dificultar una evacuación en caso de emergencia, usar adornos navideños que cumplan con medidas de seguridad y evitar "&amp;"sobrecargas eléctricas. También mantener una supervisión familiar de niñas y niños, quienes siempre deben estar bajo vigilancia de una persona adulta para prevenir caídas, lesiones, quemaduras o extravíos. Al conducir, llamó a respetar el Reglamento de Tr"&amp;"ánsito, evitar manejar bajo efectos de bebidas alcohólicas y revisar las condiciones mecánicas del vehículo. Al salir de vacaciones informar a una persona de confianza y asegurar puertas y ventanas, mantener a las mascotas en lugares seguros con agua y al"&amp;"imento, y bajo cuidado de alguien, además de no difundir en redes sociales las ausencias en el domicilio y los planes de viaje. No hay etiquetas asociadas a éste artículo.")</f>
        <v>El gobierno de Ecatepec mantiene un despliegue masivo de elementos de seguridad en las comunidades, con respaldo de fuerzas federales de Marina, Guardia Nacional y Sedena, para garantizar orden y paz a los habitantes durante el día de asueto, tras el festejo de las fiestas navideñas. El despliegue operativo se mantiene en comunidades, principalmente en aquellas zonas consideradas de alta incidencia delictiva o de incidentes violentos, para prevenir ilícitos sobre todo de alto impacto como el robo de vehículo, a casa habitación y homicidios, por lo que continúan operativos con diversos agrupamientos, en coordinación con Marina. La Dirección General de Seguridad Ciudadana y Tránsito Municipal recomendó en estas fechas de asueto y vacacionales tomar diversas medidas preventivas para evitar ser víctimas de ilícitos como la extorsión, ya que suelen presentarse llamadas falsas para solicitar dinero, por lo que es importante mantener comunicación directa y constante con familiares y personas cercanas. Además pidió actuar con discreción al acudir a sucursales bancarias y cajeros, y en la medida de lo posible evitar portar grandes cantidades de efectivo, resguardar tarjetas y datos financieros, y no publicar información ostentosa en redes sociales. Mientras que en el hogar sugirió revisar instalaciones eléctricas y de gas, mantener los espacios libres de obstáculos que puedan provocar accidentes o dificultar una evacuación en caso de emergencia, usar adornos navideños que cumplan con medidas de seguridad y evitar sobrecargas eléctricas. También mantener una supervisión familiar de niñas y niños, quienes siempre deben estar bajo vigilancia de una persona adulta para prevenir caídas, lesiones, quemaduras o extravíos. Al conducir, llamó a respetar el Reglamento de Tránsito, evitar manejar bajo efectos de bebidas alcohólicas y revisar las condiciones mecánicas del vehículo. Al salir de vacaciones informar a una persona de confianza y asegurar puertas y ventanas, mantener a las mascotas en lugares seguros con agua y alimento, y bajo cuidado de alguien, además de no difundir en redes sociales las ausencias en el domicilio y los planes de viaje. No hay etiquetas asociadas a éste artículo.</v>
      </c>
      <c r="O92" s="15">
        <f>IFERROR(__xludf.DUMMYFUNCTION("""COMPUTED_VALUE"""),0.4963)</f>
        <v>0.4963</v>
      </c>
      <c r="P92" s="2"/>
      <c r="Q92" s="17">
        <f>IFERROR(__xludf.DUMMYFUNCTION("""COMPUTED_VALUE"""),8.5)</f>
        <v>8.5</v>
      </c>
      <c r="R92" s="2" t="str">
        <f>IFERROR(__xludf.DUMMYFUNCTION("""COMPUTED_VALUE"""),"Low")</f>
        <v>Low</v>
      </c>
      <c r="S92" s="17">
        <f>IFERROR(__xludf.DUMMYFUNCTION("""COMPUTED_VALUE"""),0.0)</f>
        <v>0</v>
      </c>
      <c r="T92" s="17">
        <f>IFERROR(__xludf.DUMMYFUNCTION("""COMPUTED_VALUE"""),0.0)</f>
        <v>0</v>
      </c>
      <c r="U92" s="14">
        <f>IFERROR(__xludf.DUMMYFUNCTION("""COMPUTED_VALUE"""),2.0)</f>
        <v>2</v>
      </c>
      <c r="V92" s="14">
        <v>2025.0</v>
      </c>
      <c r="W92" s="2" t="s">
        <v>1168</v>
      </c>
      <c r="X92" s="2" t="s">
        <v>1201</v>
      </c>
      <c r="Y92" s="13" t="s">
        <v>404</v>
      </c>
      <c r="Z92" s="14">
        <v>0.0</v>
      </c>
      <c r="AA92" s="14">
        <v>0.0</v>
      </c>
      <c r="AB92" s="14">
        <v>0.0</v>
      </c>
      <c r="AC92" s="14">
        <v>0.0</v>
      </c>
      <c r="AD92" s="2">
        <v>0.0</v>
      </c>
      <c r="AE92" s="2">
        <v>1.0</v>
      </c>
      <c r="AF92" s="2">
        <v>12.0</v>
      </c>
      <c r="AG92" s="2" t="s">
        <v>1208</v>
      </c>
      <c r="AH92" s="2">
        <v>0.0</v>
      </c>
    </row>
    <row r="93" ht="15.75" customHeight="1">
      <c r="A93" s="2" t="str">
        <f>IFERROR(__xludf.DUMMYFUNCTION("""COMPUTED_VALUE"""),"Diario Portal")</f>
        <v>Diario Portal</v>
      </c>
      <c r="B93" s="12" t="str">
        <f>IFERROR(__xludf.DUMMYFUNCTION("""COMPUTED_VALUE"""),"Llaman a extremar precauciones para evitar quemaduras en temporada decembrina")</f>
        <v>Llaman a extremar precauciones para evitar quemaduras en temporada decembrina</v>
      </c>
      <c r="C93" s="13" t="str">
        <f>IFERROR(__xludf.DUMMYFUNCTION("""COMPUTED_VALUE"""),"2025-12-25 13:44:32")</f>
        <v>2025-12-25 13:44:32</v>
      </c>
      <c r="D93" s="14">
        <f>IFERROR(__xludf.DUMMYFUNCTION("""COMPUTED_VALUE"""),1.0)</f>
        <v>1</v>
      </c>
      <c r="E93" s="15">
        <f>IFERROR(__xludf.DUMMYFUNCTION("""COMPUTED_VALUE"""),-0.5418)</f>
        <v>-0.5418</v>
      </c>
      <c r="F93" s="2" t="str">
        <f>IFERROR(__xludf.DUMMYFUNCTION("""COMPUTED_VALUE"""),"Negativo")</f>
        <v>Negativo</v>
      </c>
      <c r="G93" s="15">
        <f>IFERROR(__xludf.DUMMYFUNCTION("""COMPUTED_VALUE"""),0.5418)</f>
        <v>0.5418</v>
      </c>
      <c r="H93" s="2" t="str">
        <f>IFERROR(__xludf.DUMMYFUNCTION("""COMPUTED_VALUE"""),"Otros temas generales")</f>
        <v>Otros temas generales</v>
      </c>
      <c r="I93" s="2" t="str">
        <f>IFERROR(__xludf.DUMMYFUNCTION("""COMPUTED_VALUE"""),"N/A")</f>
        <v>N/A</v>
      </c>
      <c r="J93" s="2" t="str">
        <f>IFERROR(__xludf.DUMMYFUNCTION("""COMPUTED_VALUE"""),"Descartar / Baja prioridad.")</f>
        <v>Descartar / Baja prioridad.</v>
      </c>
      <c r="K93" s="2" t="str">
        <f>IFERROR(__xludf.DUMMYFUNCTION("""COMPUTED_VALUE"""),"Sinaloa")</f>
        <v>Sinaloa</v>
      </c>
      <c r="L93" s="2" t="str">
        <f>IFERROR(__xludf.DUMMYFUNCTION("""COMPUTED_VALUE"""),"Sinaloa")</f>
        <v>Sinaloa</v>
      </c>
      <c r="M93" s="16" t="str">
        <f>IFERROR(__xludf.DUMMYFUNCTION("""COMPUTED_VALUE"""),"https://diarioportal.com/seguridad-y-justicia/llaman-a-extremar-precauciones-para-evitar-quemaduras-en-temporada-decembrina")</f>
        <v>https://diarioportal.com/seguridad-y-justicia/llaman-a-extremar-precauciones-para-evitar-quemaduras-en-temporada-decembrina</v>
      </c>
      <c r="N93" s="2" t="str">
        <f>IFERROR(__xludf.DUMMYFUNCTION("""COMPUTED_VALUE"""),"La temporada decembrina es uno de los periodos con mayor incremento en lesiones por quemaduras en México, especialmente en niñas, niños y jóvenes. Tan sólo en los meses de noviembre, diciembre y enero, las quemaduras ocasionadas por pirotecnia representan"&amp;" el 73 por ciento de los casos registrados, indicó la encargada de la titularidad del Secretariado Técnico del Consejo Nacional para la Prevención de Accidentes (STCONAPRA), Estrella Albarrán Suárez. La funcionaria del STCONAPRA señaló que este tipo de le"&amp;"siones son más graves, debido al manejo inadecuado de cohetes o petardos que pueden provocar daños irreversibles, como la pérdida de extremidades. Albarrán Suárez detalló que el 82 por ciento de las lesiones por pirotecnia se presentan en las manos, segui"&amp;"das de daños en rostro y ojos. Incluso se han registrado casos en bebés menores de un año, lo que evidencia el nivel de riesgo derivado de la manipulación o cercanía con estos artefactos. Después de la pirotecnia, la segunda causa de quemaduras en esta ép"&amp;"oca es el fuego directo generado por fogatas, anafres o velas encendidas en espacios cerrados o concurridos. Estas lesiones se observan principalmente en manos y brazos de personas jóvenes, y están vinculadas a reuniones familiares y celebraciones navideñ"&amp;"as. A esto se suman las quemaduras eléctricas provocadas por la sobrecarga de extensiones, luces decorativas defectuosas o la manipulación de instalaciones de alto voltaje sin el equipo adecuado. Este tipo de lesiones son especialmente peligrosas, ya que "&amp;"la corriente puede atravesar el cuerpo sin dejar marcas superficiales visibles, a diferencia de lo que ocurre en un incendio. Al afirmar que la prevención es la herramienta más eficaz para evitar lesiones, Estrella Albarrán mencionó una serie de recomenda"&amp;"ciones clave: evitar la manipulación de pirotecnia, mantener supervisión constante de niñas, niños y personas adultas mayores; no permitir su acceso a la cocina ni el manejo de fuego, aceite o material eléctrico; y evitar el uso de remedios caseros, ademá"&amp;"s de promover el uso responsable de luces y conexiones eléctricas. Por su parte, el especialista Luis Alfredo Reynoso Valverde, indicó que, durante la temporada decembrina, las quemaduras se convierten en una de las principales causas de atención en los s"&amp;"ervicios de urgencias, ya que hasta 85% de los casos atendidos en estas fechas están relacionados con este tipo de lesiones, principalmente por pirotecnia. El médico pediatra adscrito al Servicio de Urgencias del Hospital General de México “Dr. Eduardo Li"&amp;"ceaga” (HGM) sostuvo que, ante una quemadura leve, la aplicación adecuada de los primeros auxilios pueden evitar complicaciones. Detalló que el procedimiento consiste en retirar a la persona de la fuente de calor, irrigar la zona con agua corriente durant"&amp;"e 20 minutos y evitar la aplicación de hielo o remedios caseros como aceite, pasta o shampoo. Posteriormente, la herida debe cubrirse únicamente con una gasa, sin ejercer presión. Agregó que cuando la quemadura es profunda o afecta el rostro, las extremid"&amp;"ades, los genitales o una zona extensa del cuerpo, es indispensable acudir de inmediato a un servicio de urgencias. La Secretaría de Salud hace un llamado a reforzar la prevención de quemaduras durante esta temporada decembrina y exhorta a madres, padres "&amp;"y personas cuidadoras a supervisar de manera permanente a niñas y niños, evitar que manipulen pirotecnia o encendedores, mantener veladoras alejadas de materiales inflamables y utilizar protectores en estufas y recipientes calientes. No hay etiquetas asoc"&amp;"iadas a éste artículo.")</f>
        <v>La temporada decembrina es uno de los periodos con mayor incremento en lesiones por quemaduras en México, especialmente en niñas, niños y jóvenes. Tan sólo en los meses de noviembre, diciembre y enero, las quemaduras ocasionadas por pirotecnia representan el 73 por ciento de los casos registrados, indicó la encargada de la titularidad del Secretariado Técnico del Consejo Nacional para la Prevención de Accidentes (STCONAPRA), Estrella Albarrán Suárez. La funcionaria del STCONAPRA señaló que este tipo de lesiones son más graves, debido al manejo inadecuado de cohetes o petardos que pueden provocar daños irreversibles, como la pérdida de extremidades. Albarrán Suárez detalló que el 82 por ciento de las lesiones por pirotecnia se presentan en las manos, seguidas de daños en rostro y ojos. Incluso se han registrado casos en bebés menores de un año, lo que evidencia el nivel de riesgo derivado de la manipulación o cercanía con estos artefactos. Después de la pirotecnia, la segunda causa de quemaduras en esta época es el fuego directo generado por fogatas, anafres o velas encendidas en espacios cerrados o concurridos. Estas lesiones se observan principalmente en manos y brazos de personas jóvenes, y están vinculadas a reuniones familiares y celebraciones navideñas. A esto se suman las quemaduras eléctricas provocadas por la sobrecarga de extensiones, luces decorativas defectuosas o la manipulación de instalaciones de alto voltaje sin el equipo adecuado. Este tipo de lesiones son especialmente peligrosas, ya que la corriente puede atravesar el cuerpo sin dejar marcas superficiales visibles, a diferencia de lo que ocurre en un incendio. Al afirmar que la prevención es la herramienta más eficaz para evitar lesiones, Estrella Albarrán mencionó una serie de recomendaciones clave: evitar la manipulación de pirotecnia, mantener supervisión constante de niñas, niños y personas adultas mayores; no permitir su acceso a la cocina ni el manejo de fuego, aceite o material eléctrico; y evitar el uso de remedios caseros, además de promover el uso responsable de luces y conexiones eléctricas. Por su parte, el especialista Luis Alfredo Reynoso Valverde, indicó que, durante la temporada decembrina, las quemaduras se convierten en una de las principales causas de atención en los servicios de urgencias, ya que hasta 85% de los casos atendidos en estas fechas están relacionados con este tipo de lesiones, principalmente por pirotecnia. El médico pediatra adscrito al Servicio de Urgencias del Hospital General de México “Dr. Eduardo Liceaga” (HGM) sostuvo que, ante una quemadura leve, la aplicación adecuada de los primeros auxilios pueden evitar complicaciones. Detalló que el procedimiento consiste en retirar a la persona de la fuente de calor, irrigar la zona con agua corriente durante 20 minutos y evitar la aplicación de hielo o remedios caseros como aceite, pasta o shampoo. Posteriormente, la herida debe cubrirse únicamente con una gasa, sin ejercer presión. Agregó que cuando la quemadura es profunda o afecta el rostro, las extremidades, los genitales o una zona extensa del cuerpo, es indispensable acudir de inmediato a un servicio de urgencias. La Secretaría de Salud hace un llamado a reforzar la prevención de quemaduras durante esta temporada decembrina y exhorta a madres, padres y personas cuidadoras a supervisar de manera permanente a niñas y niños, evitar que manipulen pirotecnia o encendedores, mantener veladoras alejadas de materiales inflamables y utilizar protectores en estufas y recipientes calientes. No hay etiquetas asociadas a éste artículo.</v>
      </c>
      <c r="O93" s="15">
        <f>IFERROR(__xludf.DUMMYFUNCTION("""COMPUTED_VALUE"""),0.4261)</f>
        <v>0.4261</v>
      </c>
      <c r="P93" s="2"/>
      <c r="Q93" s="17">
        <f>IFERROR(__xludf.DUMMYFUNCTION("""COMPUTED_VALUE"""),2.0)</f>
        <v>2</v>
      </c>
      <c r="R93" s="2" t="str">
        <f>IFERROR(__xludf.DUMMYFUNCTION("""COMPUTED_VALUE"""),"Low")</f>
        <v>Low</v>
      </c>
      <c r="S93" s="17">
        <f>IFERROR(__xludf.DUMMYFUNCTION("""COMPUTED_VALUE"""),1.0)</f>
        <v>1</v>
      </c>
      <c r="T93" s="17">
        <f>IFERROR(__xludf.DUMMYFUNCTION("""COMPUTED_VALUE"""),0.0)</f>
        <v>0</v>
      </c>
      <c r="U93" s="14">
        <f>IFERROR(__xludf.DUMMYFUNCTION("""COMPUTED_VALUE"""),2.0)</f>
        <v>2</v>
      </c>
      <c r="V93" s="14">
        <v>2025.0</v>
      </c>
      <c r="W93" s="2" t="s">
        <v>1168</v>
      </c>
      <c r="X93" s="2" t="s">
        <v>1201</v>
      </c>
      <c r="Y93" s="13" t="s">
        <v>408</v>
      </c>
      <c r="Z93" s="14">
        <v>0.0</v>
      </c>
      <c r="AA93" s="14">
        <v>0.0</v>
      </c>
      <c r="AB93" s="14">
        <v>0.0</v>
      </c>
      <c r="AC93" s="14">
        <v>0.0</v>
      </c>
      <c r="AD93" s="2">
        <v>0.0</v>
      </c>
      <c r="AE93" s="2">
        <v>0.0</v>
      </c>
      <c r="AF93" s="2">
        <v>12.0</v>
      </c>
      <c r="AG93" s="2" t="s">
        <v>1172</v>
      </c>
      <c r="AH93" s="2">
        <v>0.0</v>
      </c>
    </row>
    <row r="94" ht="15.75" customHeight="1">
      <c r="A94" s="2" t="str">
        <f>IFERROR(__xludf.DUMMYFUNCTION("""COMPUTED_VALUE"""),"Diario Portal")</f>
        <v>Diario Portal</v>
      </c>
      <c r="B94" s="12" t="str">
        <f>IFERROR(__xludf.DUMMYFUNCTION("""COMPUTED_VALUE"""),"Bajan nueve delitos de alto impacto en el Estado de México durante Navidad")</f>
        <v>Bajan nueve delitos de alto impacto en el Estado de México durante Navidad</v>
      </c>
      <c r="C94" s="13" t="str">
        <f>IFERROR(__xludf.DUMMYFUNCTION("""COMPUTED_VALUE"""),"2025-12-24 18:16:23")</f>
        <v>2025-12-24 18:16:23</v>
      </c>
      <c r="D94" s="14">
        <f>IFERROR(__xludf.DUMMYFUNCTION("""COMPUTED_VALUE"""),5.0)</f>
        <v>5</v>
      </c>
      <c r="E94" s="15">
        <f>IFERROR(__xludf.DUMMYFUNCTION("""COMPUTED_VALUE"""),-0.4529)</f>
        <v>-0.4529</v>
      </c>
      <c r="F94" s="2" t="str">
        <f>IFERROR(__xludf.DUMMYFUNCTION("""COMPUTED_VALUE"""),"Negativo")</f>
        <v>Negativo</v>
      </c>
      <c r="G94" s="15">
        <f>IFERROR(__xludf.DUMMYFUNCTION("""COMPUTED_VALUE"""),0.4529)</f>
        <v>0.4529</v>
      </c>
      <c r="H94" s="2" t="str">
        <f>IFERROR(__xludf.DUMMYFUNCTION("""COMPUTED_VALUE"""),"Delito violento, robo o asalto")</f>
        <v>Delito violento, robo o asalto</v>
      </c>
      <c r="I94" s="2" t="str">
        <f>IFERROR(__xludf.DUMMYFUNCTION("""COMPUTED_VALUE"""),"homicidio")</f>
        <v>homicidio</v>
      </c>
      <c r="J94" s="2" t="str">
        <f>IFERROR(__xludf.DUMMYFUNCTION("""COMPUTED_VALUE"""),"Prevención PAX: Contactos de confianza.")</f>
        <v>Prevención PAX: Contactos de confianza.</v>
      </c>
      <c r="K94" s="2" t="str">
        <f>IFERROR(__xludf.DUMMYFUNCTION("""COMPUTED_VALUE"""),"Estado de México")</f>
        <v>Estado de México</v>
      </c>
      <c r="L94" s="2" t="str">
        <f>IFERROR(__xludf.DUMMYFUNCTION("""COMPUTED_VALUE"""),"Estado de México")</f>
        <v>Estado de México</v>
      </c>
      <c r="M94" s="16" t="str">
        <f>IFERROR(__xludf.DUMMYFUNCTION("""COMPUTED_VALUE"""),"https://diarioportal.com/seguridad-y-justicia/bajan-nueve-delitos-de-alto-impacto-en-el-estado-de-mexico-durante-navidad")</f>
        <v>https://diarioportal.com/seguridad-y-justicia/bajan-nueve-delitos-de-alto-impacto-en-el-estado-de-mexico-durante-navidad</v>
      </c>
      <c r="N94" s="2" t="str">
        <f>IFERROR(__xludf.DUMMYFUNCTION("""COMPUTED_VALUE"""),"Gracias a las estrategias de seguridad coordinadas diariamente en la Mesa de Paz, encabezada por la Gobernadora Delfina Gómez Álvarez, para procurar el bienestar de las familias mexiquenses, en la recta final del 2025, de acuerdo con el Secretariado Ejecu"&amp;"tivo del Sistema Nacional de Seguridad Pública, se mantiene la tendencia a la baja en 9 de 12 delitos de alto impacto en la entidad. Se reporta que en noviembre comparado con octubre hubo una reducción en dichos ilícitos entre los que destaca: secuestro c"&amp;"on 50%; homicidio doloso 20%; feminicidio 33%; robo a transportista 14%; robo a negocio con violencia 13% y robo de vehículo con violencia 9%. Estos resultados dan muestra del trabajo en equipo de los tres niveles de gobierno con la implementación de oper"&amp;"ativos como Bastión, Atarraya y Liberación; la puesta en marcha de programas como Caminemos Seguras, Senderos Seguros y Nos Movemos Seguras; así como la capacitación y equipamiento policial. Estas acciones responden a las necesidades en materia de segurid"&amp;"ad de las y los mexiquenses, para que puedan transitar libremente, tener una mejor calidad de vida y un desarrollo integral pleno. En la Mesa de Paz número 240, estuvieron presentes Horacio Duarte Olivares, Secretario General de Gobierno; Maricela López U"&amp;"rbina, Secretaria Técnica; Cristóbal Castañeda Camarillo, Secretario de Seguridad; José Luis Cervantes Martínez, Fiscal General de Justicia del Estado de México (FGJEM), así como representantes de la Defensa, Marina, Guardia Nacional y el Centro Nacional "&amp;"de Inteligencia. No hay etiquetas asociadas a éste artículo.")</f>
        <v>Gracias a las estrategias de seguridad coordinadas diariamente en la Mesa de Paz, encabezada por la Gobernadora Delfina Gómez Álvarez, para procurar el bienestar de las familias mexiquenses, en la recta final del 2025, de acuerdo con el Secretariado Ejecutivo del Sistema Nacional de Seguridad Pública, se mantiene la tendencia a la baja en 9 de 12 delitos de alto impacto en la entidad. Se reporta que en noviembre comparado con octubre hubo una reducción en dichos ilícitos entre los que destaca: secuestro con 50%; homicidio doloso 20%; feminicidio 33%; robo a transportista 14%; robo a negocio con violencia 13% y robo de vehículo con violencia 9%. Estos resultados dan muestra del trabajo en equipo de los tres niveles de gobierno con la implementación de operativos como Bastión, Atarraya y Liberación; la puesta en marcha de programas como Caminemos Seguras, Senderos Seguros y Nos Movemos Seguras; así como la capacitación y equipamiento policial. Estas acciones responden a las necesidades en materia de seguridad de las y los mexiquenses, para que puedan transitar libremente, tener una mejor calidad de vida y un desarrollo integral pleno. En la Mesa de Paz número 240, estuvieron presentes Horacio Duarte Olivares, Secretario General de Gobierno; Maricela López Urbina, Secretaria Técnica; Cristóbal Castañeda Camarillo, Secretario de Seguridad; José Luis Cervantes Martínez, Fiscal General de Justicia del Estado de México (FGJEM), así como representantes de la Defensa, Marina, Guardia Nacional y el Centro Nacional de Inteligencia. No hay etiquetas asociadas a éste artículo.</v>
      </c>
      <c r="O94" s="15">
        <f>IFERROR(__xludf.DUMMYFUNCTION("""COMPUTED_VALUE"""),1.0)</f>
        <v>1</v>
      </c>
      <c r="P94" s="2"/>
      <c r="Q94" s="17">
        <f>IFERROR(__xludf.DUMMYFUNCTION("""COMPUTED_VALUE"""),6.0)</f>
        <v>6</v>
      </c>
      <c r="R94" s="2" t="str">
        <f>IFERROR(__xludf.DUMMYFUNCTION("""COMPUTED_VALUE"""),"High")</f>
        <v>High</v>
      </c>
      <c r="S94" s="17">
        <f>IFERROR(__xludf.DUMMYFUNCTION("""COMPUTED_VALUE"""),2.0)</f>
        <v>2</v>
      </c>
      <c r="T94" s="17">
        <f>IFERROR(__xludf.DUMMYFUNCTION("""COMPUTED_VALUE"""),0.0)</f>
        <v>0</v>
      </c>
      <c r="U94" s="14">
        <f>IFERROR(__xludf.DUMMYFUNCTION("""COMPUTED_VALUE"""),2.0)</f>
        <v>2</v>
      </c>
      <c r="V94" s="14">
        <v>2025.0</v>
      </c>
      <c r="W94" s="2" t="s">
        <v>1168</v>
      </c>
      <c r="X94" s="2" t="s">
        <v>1203</v>
      </c>
      <c r="Y94" s="13" t="s">
        <v>412</v>
      </c>
      <c r="Z94" s="14">
        <v>0.0</v>
      </c>
      <c r="AA94" s="14">
        <v>0.0</v>
      </c>
      <c r="AB94" s="14">
        <v>0.0</v>
      </c>
      <c r="AC94" s="14">
        <v>0.0</v>
      </c>
      <c r="AD94" s="2">
        <v>0.0</v>
      </c>
      <c r="AE94" s="2">
        <v>1.0</v>
      </c>
      <c r="AF94" s="2">
        <v>12.0</v>
      </c>
      <c r="AG94" s="2" t="s">
        <v>1202</v>
      </c>
      <c r="AH94" s="2">
        <v>0.0</v>
      </c>
    </row>
    <row r="95" ht="15.75" customHeight="1">
      <c r="A95" s="2" t="str">
        <f>IFERROR(__xludf.DUMMYFUNCTION("""COMPUTED_VALUE"""),"Diario Portal")</f>
        <v>Diario Portal</v>
      </c>
      <c r="B95" s="12" t="str">
        <f>IFERROR(__xludf.DUMMYFUNCTION("""COMPUTED_VALUE"""),"Supervisa Gobierno del EdoMéx módulos del programa Migrante Mexiquense para garantizar atención a paisanos")</f>
        <v>Supervisa Gobierno del EdoMéx módulos del programa Migrante Mexiquense para garantizar atención a paisanos</v>
      </c>
      <c r="C95" s="13" t="str">
        <f>IFERROR(__xludf.DUMMYFUNCTION("""COMPUTED_VALUE"""),"2025-12-24 13:55:06")</f>
        <v>2025-12-24 13:55:06</v>
      </c>
      <c r="D95" s="14">
        <f>IFERROR(__xludf.DUMMYFUNCTION("""COMPUTED_VALUE"""),1.0)</f>
        <v>1</v>
      </c>
      <c r="E95" s="15">
        <f>IFERROR(__xludf.DUMMYFUNCTION("""COMPUTED_VALUE"""),0.0)</f>
        <v>0</v>
      </c>
      <c r="F95" s="2" t="str">
        <f>IFERROR(__xludf.DUMMYFUNCTION("""COMPUTED_VALUE"""),"Neutral")</f>
        <v>Neutral</v>
      </c>
      <c r="G95" s="15">
        <f>IFERROR(__xludf.DUMMYFUNCTION("""COMPUTED_VALUE"""),0.5782)</f>
        <v>0.5782</v>
      </c>
      <c r="H95" s="2" t="str">
        <f>IFERROR(__xludf.DUMMYFUNCTION("""COMPUTED_VALUE"""),"Otros temas generales")</f>
        <v>Otros temas generales</v>
      </c>
      <c r="I95" s="2" t="str">
        <f>IFERROR(__xludf.DUMMYFUNCTION("""COMPUTED_VALUE"""),"N/A")</f>
        <v>N/A</v>
      </c>
      <c r="J95" s="2" t="str">
        <f>IFERROR(__xludf.DUMMYFUNCTION("""COMPUTED_VALUE"""),"Descartar / Baja prioridad.")</f>
        <v>Descartar / Baja prioridad.</v>
      </c>
      <c r="K95" s="2" t="str">
        <f>IFERROR(__xludf.DUMMYFUNCTION("""COMPUTED_VALUE"""),"Estado de México")</f>
        <v>Estado de México</v>
      </c>
      <c r="L95" s="2" t="str">
        <f>IFERROR(__xludf.DUMMYFUNCTION("""COMPUTED_VALUE"""),"Estado de México")</f>
        <v>Estado de México</v>
      </c>
      <c r="M95" s="16" t="str">
        <f>IFERROR(__xludf.DUMMYFUNCTION("""COMPUTED_VALUE"""),"https://diarioportal.com/seguridad-y-justicia/supervisa-gobierno-del-edomex-modulos-del-programa-migrante-mexiquense-para-garantizar-atencion-a-paisanos")</f>
        <v>https://diarioportal.com/seguridad-y-justicia/supervisa-gobierno-del-edomex-modulos-del-programa-migrante-mexiquense-para-garantizar-atencion-a-paisanos</v>
      </c>
      <c r="N95" s="2" t="str">
        <f>IFERROR(__xludf.DUMMYFUNCTION("""COMPUTED_VALUE"""),"Con el propósito de garantizar el respeto y la protección de los derechos humanos de las y los mexiquenses que radican en el extranjero, así como de sus familias en sus comunidades de origen o durante el tránsito por territorio estatal, el Gobierno del Es"&amp;"tado de México, a través de la Secretaría de la Contraloría supervisa los módulos de atención del Programa Migrante Mexiquense 2025–2026. La Dirección General de Contraloría y Evaluación Social, es la encargada de revisar el adecuado funcionamiento de los"&amp;" 14 módulos, la correcta prestación de servicios —como gestión de documentación oficial, apoyo para doble nacionalidad, vinculación para la localización de personas desaparecidas y asesoría para visas de emergencia— y la coordinación interinstitucional co"&amp;"n instancias de seguridad, salud, procuración de justicia y derechos humanos. Esta labor preventiva y de control fortalece la transparencia, la legalidad y la confianza ciudadana, y se asegura que la atención a la población migrante se brinde con enfoque "&amp;"humanista, eficiencia institucional y pleno apego a la normatividad vigente. Para estas acciones se cuenta con el apoyo de la Coordinación de Asuntos Internacionales, la Secretaría de Seguridad Estatal (SSEM), el Instituto de Salud (ISEM), la Fiscalía Gen"&amp;"eral de Justicia (FGJEM) y la Comisión de Derechos Humanos del Estado de México (CODHEM). Los 14 módulos operan las 24 horas y están desde el 3 de diciembre de 2025 y hasta el 9 de enero de 2026, se encuentran estratégicamente ubicados en casetas de alta "&amp;"afluencia en Atlacomulco, Temascaltepec, Tenango del Valle y Tepotzotlán, así como en las cabeceras municipales de Acambay, Almoloya de Juárez, Chalco, Chimalhuacán, Ecatepec, Huehuetoca, Ixtapaluca, Naucalpan, Nezahualcóyotl, San Martín de las Pirámides,"&amp;" Santiago Tianguistenco, Toluca, Villa del Carbón, Valle de Bravo, Villa Victoria y Zinacantepec. El programa Migrante Mexiquense brinda atención, acompañamiento y seguridad, mediante rutas seguras, módulos de atención, asistencia vial, servicios de salud"&amp;", caravanas en el interior del estado y la exención del programa vehicular Hoy No Circula. Además, participan las Secretarías General de Gobierno, Movilidad, Cultura y Turismo, Medio Ambiente, la Coordinación General de Comunicación Social y el Sistema Me"&amp;"xiquense de Medios Públicos. Para mayor información se encuentra disponible la Línea Migrante Mexiquense, que canaliza quejas, denuncias o solicitudes de apoyo a las dependencias correspondientes, las 24 horas del día, los 365 días del año: desde Estados "&amp;"Unidos: +1 877 399 50 05 y en México: 800 696 96 96. No hay etiquetas asociadas a éste artículo.")</f>
        <v>Con el propósito de garantizar el respeto y la protección de los derechos humanos de las y los mexiquenses que radican en el extranjero, así como de sus familias en sus comunidades de origen o durante el tránsito por territorio estatal, el Gobierno del Estado de México, a través de la Secretaría de la Contraloría supervisa los módulos de atención del Programa Migrante Mexiquense 2025–2026. La Dirección General de Contraloría y Evaluación Social, es la encargada de revisar el adecuado funcionamiento de los 14 módulos, la correcta prestación de servicios —como gestión de documentación oficial, apoyo para doble nacionalidad, vinculación para la localización de personas desaparecidas y asesoría para visas de emergencia— y la coordinación interinstitucional con instancias de seguridad, salud, procuración de justicia y derechos humanos. Esta labor preventiva y de control fortalece la transparencia, la legalidad y la confianza ciudadana, y se asegura que la atención a la población migrante se brinde con enfoque humanista, eficiencia institucional y pleno apego a la normatividad vigente. Para estas acciones se cuenta con el apoyo de la Coordinación de Asuntos Internacionales, la Secretaría de Seguridad Estatal (SSEM), el Instituto de Salud (ISEM), la Fiscalía General de Justicia (FGJEM) y la Comisión de Derechos Humanos del Estado de México (CODHEM). Los 14 módulos operan las 24 horas y están desde el 3 de diciembre de 2025 y hasta el 9 de enero de 2026, se encuentran estratégicamente ubicados en casetas de alta afluencia en Atlacomulco, Temascaltepec, Tenango del Valle y Tepotzotlán, así como en las cabeceras municipales de Acambay, Almoloya de Juárez, Chalco, Chimalhuacán, Ecatepec, Huehuetoca, Ixtapaluca, Naucalpan, Nezahualcóyotl, San Martín de las Pirámides, Santiago Tianguistenco, Toluca, Villa del Carbón, Valle de Bravo, Villa Victoria y Zinacantepec. El programa Migrante Mexiquense brinda atención, acompañamiento y seguridad, mediante rutas seguras, módulos de atención, asistencia vial, servicios de salud, caravanas en el interior del estado y la exención del programa vehicular Hoy No Circula. Además, participan las Secretarías General de Gobierno, Movilidad, Cultura y Turismo, Medio Ambiente, la Coordinación General de Comunicación Social y el Sistema Mexiquense de Medios Públicos. Para mayor información se encuentra disponible la Línea Migrante Mexiquense, que canaliza quejas, denuncias o solicitudes de apoyo a las dependencias correspondientes, las 24 horas del día, los 365 días del año: desde Estados Unidos: +1 877 399 50 05 y en México: 800 696 96 96. No hay etiquetas asociadas a éste artículo.</v>
      </c>
      <c r="O95" s="15">
        <f>IFERROR(__xludf.DUMMYFUNCTION("""COMPUTED_VALUE"""),0.3497)</f>
        <v>0.3497</v>
      </c>
      <c r="P95" s="2"/>
      <c r="Q95" s="17">
        <f>IFERROR(__xludf.DUMMYFUNCTION("""COMPUTED_VALUE"""),8.0)</f>
        <v>8</v>
      </c>
      <c r="R95" s="2" t="str">
        <f>IFERROR(__xludf.DUMMYFUNCTION("""COMPUTED_VALUE"""),"High")</f>
        <v>High</v>
      </c>
      <c r="S95" s="17">
        <f>IFERROR(__xludf.DUMMYFUNCTION("""COMPUTED_VALUE"""),3.0)</f>
        <v>3</v>
      </c>
      <c r="T95" s="17">
        <f>IFERROR(__xludf.DUMMYFUNCTION("""COMPUTED_VALUE"""),0.0)</f>
        <v>0</v>
      </c>
      <c r="U95" s="14">
        <f>IFERROR(__xludf.DUMMYFUNCTION("""COMPUTED_VALUE"""),2.0)</f>
        <v>2</v>
      </c>
      <c r="V95" s="14">
        <v>2025.0</v>
      </c>
      <c r="W95" s="2" t="s">
        <v>1168</v>
      </c>
      <c r="X95" s="2" t="s">
        <v>1203</v>
      </c>
      <c r="Y95" s="13" t="s">
        <v>416</v>
      </c>
      <c r="Z95" s="14">
        <v>0.0</v>
      </c>
      <c r="AA95" s="14">
        <v>0.0</v>
      </c>
      <c r="AB95" s="14">
        <v>0.0</v>
      </c>
      <c r="AC95" s="14">
        <v>0.0</v>
      </c>
      <c r="AD95" s="2">
        <v>0.0</v>
      </c>
      <c r="AE95" s="2">
        <v>0.0</v>
      </c>
      <c r="AF95" s="2">
        <v>12.0</v>
      </c>
      <c r="AG95" s="2" t="s">
        <v>1202</v>
      </c>
      <c r="AH95" s="2">
        <v>0.0</v>
      </c>
    </row>
    <row r="96" ht="15.75" customHeight="1">
      <c r="A96" s="2" t="str">
        <f>IFERROR(__xludf.DUMMYFUNCTION("""COMPUTED_VALUE"""),"Diario Portal")</f>
        <v>Diario Portal</v>
      </c>
      <c r="B96" s="12" t="str">
        <f>IFERROR(__xludf.DUMMYFUNCTION("""COMPUTED_VALUE"""),"A las calles  personal del  CUSAEM en  protesta por  presunta  violación  a derechos  laborales")</f>
        <v>A las calles  personal del  CUSAEM en  protesta por  presunta  violación  a derechos  laborales</v>
      </c>
      <c r="C96" s="13" t="str">
        <f>IFERROR(__xludf.DUMMYFUNCTION("""COMPUTED_VALUE"""),"Sin Fecha")</f>
        <v>Sin Fecha</v>
      </c>
      <c r="D96" s="14">
        <f>IFERROR(__xludf.DUMMYFUNCTION("""COMPUTED_VALUE"""),5.0)</f>
        <v>5</v>
      </c>
      <c r="E96" s="15">
        <f>IFERROR(__xludf.DUMMYFUNCTION("""COMPUTED_VALUE"""),-0.718)</f>
        <v>-0.718</v>
      </c>
      <c r="F96" s="2" t="str">
        <f>IFERROR(__xludf.DUMMYFUNCTION("""COMPUTED_VALUE"""),"Negativo")</f>
        <v>Negativo</v>
      </c>
      <c r="G96" s="15">
        <f>IFERROR(__xludf.DUMMYFUNCTION("""COMPUTED_VALUE"""),0.718)</f>
        <v>0.718</v>
      </c>
      <c r="H96" s="2" t="str">
        <f>IFERROR(__xludf.DUMMYFUNCTION("""COMPUTED_VALUE"""),"Acoso o agresión sexual")</f>
        <v>Acoso o agresión sexual</v>
      </c>
      <c r="I96" s="2" t="str">
        <f>IFERROR(__xludf.DUMMYFUNCTION("""COMPUTED_VALUE"""),"violación")</f>
        <v>violación</v>
      </c>
      <c r="J96" s="2" t="str">
        <f>IFERROR(__xludf.DUMMYFUNCTION("""COMPUTED_VALUE"""),"INTEGRIDAD / GÉNERO: Cero Tolerancia.")</f>
        <v>INTEGRIDAD / GÉNERO: Cero Tolerancia.</v>
      </c>
      <c r="K96" s="2" t="str">
        <f>IFERROR(__xludf.DUMMYFUNCTION("""COMPUTED_VALUE"""),"Estado de México")</f>
        <v>Estado de México</v>
      </c>
      <c r="L96" s="2" t="str">
        <f>IFERROR(__xludf.DUMMYFUNCTION("""COMPUTED_VALUE"""),"Estado de México")</f>
        <v>Estado de México</v>
      </c>
      <c r="M96" s="16" t="str">
        <f>IFERROR(__xludf.DUMMYFUNCTION("""COMPUTED_VALUE"""),"https://diarioportal.com/seguridad-y-justicia/a-las-calles-personal-del-cusaem-en-protesta-por-presunta-violacion-a-derechos-laborales")</f>
        <v>https://diarioportal.com/seguridad-y-justicia/a-las-calles-personal-del-cusaem-en-protesta-por-presunta-violacion-a-derechos-laborales</v>
      </c>
      <c r="N96" s="2" t="str">
        <f>IFERROR(__xludf.DUMMYFUNCTION("""COMPUTED_VALUE"""),"Tras denunciar una nueva serie de presuntas violaciones a sus derechos laborales, y ante la falta de los compromisos asumidos por las autoridades estatales, elementos del Cuerpo de Seguridad Auxiliar del Estado de México (CUSAEM) anunciaron una manifestac"&amp;"ión el próximo 8 de enero de 2026. A través del portal Ciudadanos Uniformados A.C., los inconformes informaron que la protesta partirá del llamado edificio de cristal, ubicado sobre Paseo Tollocan, en la capital mexiquense, uno de los principales corredor"&amp;"es viales de Toluca. Los denunciantes indicaron que presuntamente fueron engañados por parte del titular de la Secretaría de Seguridad del Estado de México (SSEM), Cristóbal Castañeda Camarillo, pues durante la celebración del Día del Policía Mexiquense l"&amp;"es anunció el otorgamiento de un bono de fin de año, sin embargo, posteriormente dicho recurso fue descontado de sus percepciones bajo el argumento de una “equivocación administrativa” Refirieron que el argumento fue que el bono únicamente estaba destinad"&amp;"o a elementos sindicalizados, situación que no les fue aclarada oportunamente, lo que genero afectaciones económicas y un clima de descontento entre el personal operativo del CUSAEM, que históricamente ha denunciado condiciones laborales precarias y falta"&amp;" de certeza en sus prestaciones. Indicaron que a esta situación se suma la continuidad de bajas por rescisión de contrato, a pesar de los acuerdos alcanzados previamente con la Secretaría General de Gobierno. Añadieron que para estos compromisos estableci"&amp;"eron eļ mesas de trabajo por lo que fueron persuadidos de llevar a cabo la manifestación programada el pasado 3 de diciembre y en espera de soluciones que no han llegado. Por último, advirtieron que ante la falta de respuestas claras y el incumplimiento d"&amp;"e los acuerdos, las movilizaciones continuarán hasta que se respeten sus derechos laborales y se garantice certeza en sus condiciones de trabajo. No hay etiquetas asociadas a éste artículo.")</f>
        <v>Tras denunciar una nueva serie de presuntas violaciones a sus derechos laborales, y ante la falta de los compromisos asumidos por las autoridades estatales, elementos del Cuerpo de Seguridad Auxiliar del Estado de México (CUSAEM) anunciaron una manifestación el próximo 8 de enero de 2026. A través del portal Ciudadanos Uniformados A.C., los inconformes informaron que la protesta partirá del llamado edificio de cristal, ubicado sobre Paseo Tollocan, en la capital mexiquense, uno de los principales corredores viales de Toluca. Los denunciantes indicaron que presuntamente fueron engañados por parte del titular de la Secretaría de Seguridad del Estado de México (SSEM), Cristóbal Castañeda Camarillo, pues durante la celebración del Día del Policía Mexiquense les anunció el otorgamiento de un bono de fin de año, sin embargo, posteriormente dicho recurso fue descontado de sus percepciones bajo el argumento de una “equivocación administrativa” Refirieron que el argumento fue que el bono únicamente estaba destinado a elementos sindicalizados, situación que no les fue aclarada oportunamente, lo que genero afectaciones económicas y un clima de descontento entre el personal operativo del CUSAEM, que históricamente ha denunciado condiciones laborales precarias y falta de certeza en sus prestaciones. Indicaron que a esta situación se suma la continuidad de bajas por rescisión de contrato, a pesar de los acuerdos alcanzados previamente con la Secretaría General de Gobierno. Añadieron que para estos compromisos establecieron eļ mesas de trabajo por lo que fueron persuadidos de llevar a cabo la manifestación programada el pasado 3 de diciembre y en espera de soluciones que no han llegado. Por último, advirtieron que ante la falta de respuestas claras y el incumplimiento de los acuerdos, las movilizaciones continuarán hasta que se respeten sus derechos laborales y se garantice certeza en sus condiciones de trabajo. No hay etiquetas asociadas a éste artículo.</v>
      </c>
      <c r="O96" s="15">
        <f>IFERROR(__xludf.DUMMYFUNCTION("""COMPUTED_VALUE"""),1.0)</f>
        <v>1</v>
      </c>
      <c r="P96" s="2"/>
      <c r="Q96" s="17">
        <f>IFERROR(__xludf.DUMMYFUNCTION("""COMPUTED_VALUE"""),5.0)</f>
        <v>5</v>
      </c>
      <c r="R96" s="2" t="str">
        <f>IFERROR(__xludf.DUMMYFUNCTION("""COMPUTED_VALUE"""),"Low")</f>
        <v>Low</v>
      </c>
      <c r="S96" s="17">
        <f>IFERROR(__xludf.DUMMYFUNCTION("""COMPUTED_VALUE"""),0.0)</f>
        <v>0</v>
      </c>
      <c r="T96" s="17">
        <f>IFERROR(__xludf.DUMMYFUNCTION("""COMPUTED_VALUE"""),0.0)</f>
        <v>0</v>
      </c>
      <c r="U96" s="14">
        <f>IFERROR(__xludf.DUMMYFUNCTION("""COMPUTED_VALUE"""),2.0)</f>
        <v>2</v>
      </c>
      <c r="V96" s="14" t="s">
        <v>1186</v>
      </c>
      <c r="W96" s="2" t="s">
        <v>190</v>
      </c>
      <c r="X96" s="2" t="s">
        <v>190</v>
      </c>
      <c r="Y96" s="13"/>
      <c r="Z96" s="14">
        <v>0.0</v>
      </c>
      <c r="AA96" s="14">
        <v>0.0</v>
      </c>
      <c r="AB96" s="14">
        <v>0.0</v>
      </c>
      <c r="AC96" s="14">
        <v>0.0</v>
      </c>
      <c r="AD96" s="2">
        <v>0.0</v>
      </c>
      <c r="AE96" s="2">
        <v>1.0</v>
      </c>
      <c r="AF96" s="2" t="s">
        <v>1186</v>
      </c>
      <c r="AG96" s="2" t="s">
        <v>1202</v>
      </c>
      <c r="AH96" s="2">
        <v>0.0</v>
      </c>
    </row>
    <row r="97" ht="15.75" customHeight="1">
      <c r="A97" s="2" t="str">
        <f>IFERROR(__xludf.DUMMYFUNCTION("""COMPUTED_VALUE"""),"Diario Portal")</f>
        <v>Diario Portal</v>
      </c>
      <c r="B97" s="12" t="str">
        <f>IFERROR(__xludf.DUMMYFUNCTION("""COMPUTED_VALUE"""),"Caen 25%  delitos de  alto impacto  en Toluca")</f>
        <v>Caen 25%  delitos de  alto impacto  en Toluca</v>
      </c>
      <c r="C97" s="13" t="str">
        <f>IFERROR(__xludf.DUMMYFUNCTION("""COMPUTED_VALUE"""),"Sin Fecha")</f>
        <v>Sin Fecha</v>
      </c>
      <c r="D97" s="14">
        <f>IFERROR(__xludf.DUMMYFUNCTION("""COMPUTED_VALUE"""),5.0)</f>
        <v>5</v>
      </c>
      <c r="E97" s="15">
        <f>IFERROR(__xludf.DUMMYFUNCTION("""COMPUTED_VALUE"""),0.0)</f>
        <v>0</v>
      </c>
      <c r="F97" s="2" t="str">
        <f>IFERROR(__xludf.DUMMYFUNCTION("""COMPUTED_VALUE"""),"Neutral")</f>
        <v>Neutral</v>
      </c>
      <c r="G97" s="15">
        <f>IFERROR(__xludf.DUMMYFUNCTION("""COMPUTED_VALUE"""),0.5042)</f>
        <v>0.5042</v>
      </c>
      <c r="H97" s="2" t="str">
        <f>IFERROR(__xludf.DUMMYFUNCTION("""COMPUTED_VALUE"""),"Delito violento, robo o asalto")</f>
        <v>Delito violento, robo o asalto</v>
      </c>
      <c r="I97" s="2" t="str">
        <f>IFERROR(__xludf.DUMMYFUNCTION("""COMPUTED_VALUE"""),"homicidio")</f>
        <v>homicidio</v>
      </c>
      <c r="J97" s="2" t="str">
        <f>IFERROR(__xludf.DUMMYFUNCTION("""COMPUTED_VALUE"""),"Prevención PAX: Contactos de confianza.")</f>
        <v>Prevención PAX: Contactos de confianza.</v>
      </c>
      <c r="K97" s="2" t="str">
        <f>IFERROR(__xludf.DUMMYFUNCTION("""COMPUTED_VALUE"""),"Toluca")</f>
        <v>Toluca</v>
      </c>
      <c r="L97" s="2" t="str">
        <f>IFERROR(__xludf.DUMMYFUNCTION("""COMPUTED_VALUE"""),"Estado de México")</f>
        <v>Estado de México</v>
      </c>
      <c r="M97" s="16" t="str">
        <f>IFERROR(__xludf.DUMMYFUNCTION("""COMPUTED_VALUE"""),"https://diarioportal.com/seguridad-y-justicia/caen-25-delitos-de-alto-impacto-en-toluca")</f>
        <v>https://diarioportal.com/seguridad-y-justicia/caen-25-delitos-de-alto-impacto-en-toluca</v>
      </c>
      <c r="N97" s="2" t="str">
        <f>IFERROR(__xludf.DUMMYFUNCTION("""COMPUTED_VALUE"""),"Datos del Secretariado Ejecutivo del Sistema Nacional de Seguridad Pública (SESNSP) indican que Toluca registró una disminución del 25.43% en delitos de alto impacto, como resultado de las acciones emprendidas por el gobierno municipal que encabeza Ricard"&amp;"o Moreno Bastida. Las carpetas de investigación que sirvieron como base para realizar el comparativo, indican que durante el periodo correspondiente a enero-noviembre 2025, en comparación con el año anterior, se muestra un marcado descenso en los llamados"&amp;" delitos de alto impacto vinculados con robo en sus distintas modalidades, homicidio doloso y extorsión, lo cual beneficia de manera directa a toda la población. Esta tendencia a la baja es resultado de la estrategia de seguridad implementada, misma que p"&amp;"resenta cifras favorables que inciden de manera directa en la vida cotidiana de la población, al generar mayor tranquilidad en colonias y delegaciones, mejorar la percepción de seguridad y propiciar entornos más adecuados para la convivencia social. Según"&amp;" el informe, el homicidio doloso registró una reducción de 35% en comparación con el mismo periodo de 2024, el secuestro presentó una baja de 50%, el robo de vehículos disminuyó 56.11% y la extorsión cayó 44.74%. Otros delitos que muestran resultados posi"&amp;"tivos son el robo a casa habitación, con un descenso de 40.57%; el narcomenudeo, con una baja de 43.98%; el robo a negocio, con 25.09%, y el robo en transporte público, con 23.82%. Asimismo, la violencia familiar y las lesiones dolosas presentaron reducci"&amp;"ones de 18.65 y 10.18%, respectivamente, situaciones que se traducen en mejores condiciones de bienestar para hombres y mujeres de la capital. La disminución de los delitos de alto impacto que, por 11 meses se ha implementado, permite la recuperación de l"&amp;"os espacios públicos como un eje del gobierno municipal, al devolver parques, plazas y calles a las familias, niñas, niños y personas adultas mayores, y arrebatárselos a la delincuencia. Con dichas acciones, el Gobierno de Toluca mantiene una estrategia i"&amp;"ntegral basada en la coordinación con los tres órdenes de gobierno y en la atención a las causas de la violencia, con el propósito de ofrecer condiciones de paz, seguridad y bienestar a las familias toluqueñas. No hay etiquetas asociadas a éste artículo.")</f>
        <v>Datos del Secretariado Ejecutivo del Sistema Nacional de Seguridad Pública (SESNSP) indican que Toluca registró una disminución del 25.43% en delitos de alto impacto, como resultado de las acciones emprendidas por el gobierno municipal que encabeza Ricardo Moreno Bastida. Las carpetas de investigación que sirvieron como base para realizar el comparativo, indican que durante el periodo correspondiente a enero-noviembre 2025, en comparación con el año anterior, se muestra un marcado descenso en los llamados delitos de alto impacto vinculados con robo en sus distintas modalidades, homicidio doloso y extorsión, lo cual beneficia de manera directa a toda la población. Esta tendencia a la baja es resultado de la estrategia de seguridad implementada, misma que presenta cifras favorables que inciden de manera directa en la vida cotidiana de la población, al generar mayor tranquilidad en colonias y delegaciones, mejorar la percepción de seguridad y propiciar entornos más adecuados para la convivencia social. Según el informe, el homicidio doloso registró una reducción de 35% en comparación con el mismo periodo de 2024, el secuestro presentó una baja de 50%, el robo de vehículos disminuyó 56.11% y la extorsión cayó 44.74%. Otros delitos que muestran resultados positivos son el robo a casa habitación, con un descenso de 40.57%; el narcomenudeo, con una baja de 43.98%; el robo a negocio, con 25.09%, y el robo en transporte público, con 23.82%. Asimismo, la violencia familiar y las lesiones dolosas presentaron reducciones de 18.65 y 10.18%, respectivamente, situaciones que se traducen en mejores condiciones de bienestar para hombres y mujeres de la capital. La disminución de los delitos de alto impacto que, por 11 meses se ha implementado, permite la recuperación de los espacios públicos como un eje del gobierno municipal, al devolver parques, plazas y calles a las familias, niñas, niños y personas adultas mayores, y arrebatárselos a la delincuencia. Con dichas acciones, el Gobierno de Toluca mantiene una estrategia integral basada en la coordinación con los tres órdenes de gobierno y en la atención a las causas de la violencia, con el propósito de ofrecer condiciones de paz, seguridad y bienestar a las familias toluqueñas. No hay etiquetas asociadas a éste artículo.</v>
      </c>
      <c r="O97" s="15">
        <f>IFERROR(__xludf.DUMMYFUNCTION("""COMPUTED_VALUE"""),1.0)</f>
        <v>1</v>
      </c>
      <c r="P97" s="2"/>
      <c r="Q97" s="17">
        <f>IFERROR(__xludf.DUMMYFUNCTION("""COMPUTED_VALUE"""),8.5)</f>
        <v>8.5</v>
      </c>
      <c r="R97" s="2" t="str">
        <f>IFERROR(__xludf.DUMMYFUNCTION("""COMPUTED_VALUE"""),"High")</f>
        <v>High</v>
      </c>
      <c r="S97" s="17">
        <f>IFERROR(__xludf.DUMMYFUNCTION("""COMPUTED_VALUE"""),8.5)</f>
        <v>8.5</v>
      </c>
      <c r="T97" s="17">
        <f>IFERROR(__xludf.DUMMYFUNCTION("""COMPUTED_VALUE"""),0.0)</f>
        <v>0</v>
      </c>
      <c r="U97" s="14">
        <f>IFERROR(__xludf.DUMMYFUNCTION("""COMPUTED_VALUE"""),2.0)</f>
        <v>2</v>
      </c>
      <c r="V97" s="14" t="s">
        <v>1186</v>
      </c>
      <c r="W97" s="2" t="s">
        <v>190</v>
      </c>
      <c r="X97" s="2" t="s">
        <v>190</v>
      </c>
      <c r="Y97" s="13"/>
      <c r="Z97" s="14">
        <v>0.0</v>
      </c>
      <c r="AA97" s="14">
        <v>0.0</v>
      </c>
      <c r="AB97" s="14">
        <v>0.0</v>
      </c>
      <c r="AC97" s="14">
        <v>0.0</v>
      </c>
      <c r="AD97" s="2">
        <v>0.0</v>
      </c>
      <c r="AE97" s="2">
        <v>1.0</v>
      </c>
      <c r="AF97" s="2" t="s">
        <v>1186</v>
      </c>
      <c r="AG97" s="2" t="s">
        <v>1216</v>
      </c>
      <c r="AH97" s="2">
        <v>0.0</v>
      </c>
    </row>
    <row r="98" ht="15.75" customHeight="1">
      <c r="A98" s="2" t="str">
        <f>IFERROR(__xludf.DUMMYFUNCTION("""COMPUTED_VALUE"""),"Diario Portal")</f>
        <v>Diario Portal</v>
      </c>
      <c r="B98" s="12" t="str">
        <f>IFERROR(__xludf.DUMMYFUNCTION("""COMPUTED_VALUE"""),"Se acabó la  espera DGA  anuncia la  rehabilitación  del Periférico   Norte en 2026")</f>
        <v>Se acabó la  espera DGA  anuncia la  rehabilitación  del Periférico   Norte en 2026</v>
      </c>
      <c r="C98" s="13" t="str">
        <f>IFERROR(__xludf.DUMMYFUNCTION("""COMPUTED_VALUE"""),"Sin Fecha")</f>
        <v>Sin Fecha</v>
      </c>
      <c r="D98" s="14">
        <f>IFERROR(__xludf.DUMMYFUNCTION("""COMPUTED_VALUE"""),2.0)</f>
        <v>2</v>
      </c>
      <c r="E98" s="15">
        <f>IFERROR(__xludf.DUMMYFUNCTION("""COMPUTED_VALUE"""),0.4804)</f>
        <v>0.4804</v>
      </c>
      <c r="F98" s="2" t="str">
        <f>IFERROR(__xludf.DUMMYFUNCTION("""COMPUTED_VALUE"""),"Positivo")</f>
        <v>Positivo</v>
      </c>
      <c r="G98" s="15">
        <f>IFERROR(__xludf.DUMMYFUNCTION("""COMPUTED_VALUE"""),0.4804)</f>
        <v>0.4804</v>
      </c>
      <c r="H98" s="2" t="str">
        <f>IFERROR(__xludf.DUMMYFUNCTION("""COMPUTED_VALUE"""),"Operativo policial o detención")</f>
        <v>Operativo policial o detención</v>
      </c>
      <c r="I98" s="2" t="str">
        <f>IFERROR(__xludf.DUMMYFUNCTION("""COMPUTED_VALUE"""),"N/A")</f>
        <v>N/A</v>
      </c>
      <c r="J98" s="2" t="str">
        <f>IFERROR(__xludf.DUMMYFUNCTION("""COMPUTED_VALUE"""),"Monitoreo general.")</f>
        <v>Monitoreo general.</v>
      </c>
      <c r="K98" s="2" t="str">
        <f>IFERROR(__xludf.DUMMYFUNCTION("""COMPUTED_VALUE"""),"Estado de México")</f>
        <v>Estado de México</v>
      </c>
      <c r="L98" s="2" t="str">
        <f>IFERROR(__xludf.DUMMYFUNCTION("""COMPUTED_VALUE"""),"Estado de México")</f>
        <v>Estado de México</v>
      </c>
      <c r="M98" s="16" t="str">
        <f>IFERROR(__xludf.DUMMYFUNCTION("""COMPUTED_VALUE"""),"https://diarioportal.com/seguridad-y-justicia/se-acabo-la-espera-dga-anuncia-la-rehabilitacion-del-periferico-norte-en-2026")</f>
        <v>https://diarioportal.com/seguridad-y-justicia/se-acabo-la-espera-dga-anuncia-la-rehabilitacion-del-periferico-norte-en-2026</v>
      </c>
      <c r="N98" s="2" t="str">
        <f>IFERROR(__xludf.DUMMYFUNCTION("""COMPUTED_VALUE"""),"La gobernadora del Estado de México, Delfina Gómez Álvarez, anunció que en enero de 2026 iniciará la rehabilitación de fondo del Periférico Norte, durante la entrega de la rehabilitación del carril lateral de esta vialidad en Naucalpan. ""Arrancaríamos co"&amp;"n una obra emblemática que por décadas había sido olvidada. Y esa obra con la que vamos a empezar nosotros el próximo año va a ser, precisamente, la reconstrucción de lo que es el Periférico Norte"", expresó la gobernadora Delfina Gómez. Esta obra va a se"&amp;"r una intervención profunda y duradera de ambos sentidos que va a sumar 108 kilómetros de superficie, e incluirá la rehabilitación de luminarias y señalización para fortalecer la seguridad vial. “Nuestro propósito de este año como gobierno estatal es mejo"&amp;"rar carreteras, avenidas, calles, lo que podamos mejorar de movilidad”, aseveró la mandataria mexiquense. Reconoció al presidente Municipal de Naucalpan, Isaac Martín Montoya Márquez, por la recuperación de mil 560 metros de esta importante vialidad, desd"&amp;"e Río San Joaquín a Avenida Primero de Mayo, la cual tuvo una inversión de 57 millones de pesos. También la rehabilitación de 3.5 kilómetros del Boulevard Luis Donaldo Colosio, así como el mejoramiento de guarniciones y paso peatonales,  con una inversión"&amp;" de 45.3 millones de pesos Con estas obras se contribuye a una movilidad eficiente y segura para miles de automovilistas que transitan por estas vialidades. En la entrega de las vialidades estuvo presente Joel González Toral, Encargado de despacho de la J"&amp;"unta de Caminos del Estado de México y vecinos de la zona. No hay etiquetas asociadas a éste artículo.")</f>
        <v>La gobernadora del Estado de México, Delfina Gómez Álvarez, anunció que en enero de 2026 iniciará la rehabilitación de fondo del Periférico Norte, durante la entrega de la rehabilitación del carril lateral de esta vialidad en Naucalpan. "Arrancaríamos con una obra emblemática que por décadas había sido olvidada. Y esa obra con la que vamos a empezar nosotros el próximo año va a ser, precisamente, la reconstrucción de lo que es el Periférico Norte", expresó la gobernadora Delfina Gómez. Esta obra va a ser una intervención profunda y duradera de ambos sentidos que va a sumar 108 kilómetros de superficie, e incluirá la rehabilitación de luminarias y señalización para fortalecer la seguridad vial. “Nuestro propósito de este año como gobierno estatal es mejorar carreteras, avenidas, calles, lo que podamos mejorar de movilidad”, aseveró la mandataria mexiquense. Reconoció al presidente Municipal de Naucalpan, Isaac Martín Montoya Márquez, por la recuperación de mil 560 metros de esta importante vialidad, desde Río San Joaquín a Avenida Primero de Mayo, la cual tuvo una inversión de 57 millones de pesos. También la rehabilitación de 3.5 kilómetros del Boulevard Luis Donaldo Colosio, así como el mejoramiento de guarniciones y paso peatonales,  con una inversión de 45.3 millones de pesos Con estas obras se contribuye a una movilidad eficiente y segura para miles de automovilistas que transitan por estas vialidades. En la entrega de las vialidades estuvo presente Joel González Toral, Encargado de despacho de la Junta de Caminos del Estado de México y vecinos de la zona. No hay etiquetas asociadas a éste artículo.</v>
      </c>
      <c r="O98" s="15">
        <f>IFERROR(__xludf.DUMMYFUNCTION("""COMPUTED_VALUE"""),0.2688)</f>
        <v>0.2688</v>
      </c>
      <c r="P98" s="2"/>
      <c r="Q98" s="17">
        <f>IFERROR(__xludf.DUMMYFUNCTION("""COMPUTED_VALUE"""),5.0)</f>
        <v>5</v>
      </c>
      <c r="R98" s="2" t="str">
        <f>IFERROR(__xludf.DUMMYFUNCTION("""COMPUTED_VALUE"""),"Low")</f>
        <v>Low</v>
      </c>
      <c r="S98" s="17">
        <f>IFERROR(__xludf.DUMMYFUNCTION("""COMPUTED_VALUE"""),0.0)</f>
        <v>0</v>
      </c>
      <c r="T98" s="17">
        <f>IFERROR(__xludf.DUMMYFUNCTION("""COMPUTED_VALUE"""),0.0)</f>
        <v>0</v>
      </c>
      <c r="U98" s="14">
        <f>IFERROR(__xludf.DUMMYFUNCTION("""COMPUTED_VALUE"""),2.0)</f>
        <v>2</v>
      </c>
      <c r="V98" s="14" t="s">
        <v>1186</v>
      </c>
      <c r="W98" s="2" t="s">
        <v>190</v>
      </c>
      <c r="X98" s="2" t="s">
        <v>190</v>
      </c>
      <c r="Y98" s="13"/>
      <c r="Z98" s="14">
        <v>0.0</v>
      </c>
      <c r="AA98" s="14">
        <v>0.0</v>
      </c>
      <c r="AB98" s="14">
        <v>0.0</v>
      </c>
      <c r="AC98" s="14">
        <v>0.0</v>
      </c>
      <c r="AD98" s="2">
        <v>0.0</v>
      </c>
      <c r="AE98" s="2">
        <v>0.0</v>
      </c>
      <c r="AF98" s="2" t="s">
        <v>1186</v>
      </c>
      <c r="AG98" s="2" t="s">
        <v>1202</v>
      </c>
      <c r="AH98" s="2">
        <v>0.0</v>
      </c>
    </row>
    <row r="99" ht="15.75" customHeight="1">
      <c r="A99" s="2" t="str">
        <f>IFERROR(__xludf.DUMMYFUNCTION("""COMPUTED_VALUE"""),"Diario Portal")</f>
        <v>Diario Portal</v>
      </c>
      <c r="B99" s="12" t="str">
        <f>IFERROR(__xludf.DUMMYFUNCTION("""COMPUTED_VALUE"""),"Contundente  reducción de  homicidios  y robos de  vehículo en  zona oriente  del Edomex,  destaca DGA")</f>
        <v>Contundente  reducción de  homicidios  y robos de  vehículo en  zona oriente  del Edomex,  destaca DGA</v>
      </c>
      <c r="C99" s="13" t="str">
        <f>IFERROR(__xludf.DUMMYFUNCTION("""COMPUTED_VALUE"""),"Sin Fecha")</f>
        <v>Sin Fecha</v>
      </c>
      <c r="D99" s="14">
        <f>IFERROR(__xludf.DUMMYFUNCTION("""COMPUTED_VALUE"""),4.0)</f>
        <v>4</v>
      </c>
      <c r="E99" s="15">
        <f>IFERROR(__xludf.DUMMYFUNCTION("""COMPUTED_VALUE"""),-0.4867)</f>
        <v>-0.4867</v>
      </c>
      <c r="F99" s="2" t="str">
        <f>IFERROR(__xludf.DUMMYFUNCTION("""COMPUTED_VALUE"""),"Negativo")</f>
        <v>Negativo</v>
      </c>
      <c r="G99" s="15">
        <f>IFERROR(__xludf.DUMMYFUNCTION("""COMPUTED_VALUE"""),0.4867)</f>
        <v>0.4867</v>
      </c>
      <c r="H99" s="2" t="str">
        <f>IFERROR(__xludf.DUMMYFUNCTION("""COMPUTED_VALUE"""),"Delito violento, robo o asalto")</f>
        <v>Delito violento, robo o asalto</v>
      </c>
      <c r="I99" s="2" t="str">
        <f>IFERROR(__xludf.DUMMYFUNCTION("""COMPUTED_VALUE"""),"homicidio")</f>
        <v>homicidio</v>
      </c>
      <c r="J99" s="2" t="str">
        <f>IFERROR(__xludf.DUMMYFUNCTION("""COMPUTED_VALUE"""),"Prevención PAX: Contactos de confianza.")</f>
        <v>Prevención PAX: Contactos de confianza.</v>
      </c>
      <c r="K99" s="2" t="str">
        <f>IFERROR(__xludf.DUMMYFUNCTION("""COMPUTED_VALUE"""),"Estado de México")</f>
        <v>Estado de México</v>
      </c>
      <c r="L99" s="2" t="str">
        <f>IFERROR(__xludf.DUMMYFUNCTION("""COMPUTED_VALUE"""),"Estado de México")</f>
        <v>Estado de México</v>
      </c>
      <c r="M99" s="16" t="str">
        <f>IFERROR(__xludf.DUMMYFUNCTION("""COMPUTED_VALUE"""),"https://diarioportal.com/seguridad-y-justicia/contundente-reduccion-de-homicidios-y-robos-de-vehiculo-en-zona-oriente-del-edomex-destaca-dga")</f>
        <v>https://diarioportal.com/seguridad-y-justicia/contundente-reduccion-de-homicidios-y-robos-de-vehiculo-en-zona-oriente-del-edomex-destaca-dga</v>
      </c>
      <c r="N99" s="2" t="str">
        <f>IFERROR(__xludf.DUMMYFUNCTION("""COMPUTED_VALUE"""),"En el Estado de México el robo de vehículo disminuyó 53%, mientras que el homicidio doloso 22%, en casi nueve meses de la implementación del Mando Unificado Oriente en 15 municipios de esa región, así se informó en la Mesa de Paz que encabeza diariamente "&amp;"la Gobernadora Delfina Gómez Álvarez. “Este lunes en la Mesa de Paz, el General Alcántara, Coordinador del Mando Unificado Oriente, compartió que en casi 9 meses de la implementación de esta estrategia, se registra una disminución del 22 % en homicidio do"&amp;"loso y del 53 % en robo de vehículo, en los municipios que integran este mando único. La coordinación entre autoridades de los tres órdenes de gobierno es y será fundamental para seguir adelante en la ruta de paz”, destacó la maestra Delfina Gómez Álvarez"&amp;" en sus redes sociales. De acuerdo con el reporte de la Secretaría de la Defensa Nacional (Defensa), se redujo el robo de vehículos al pasar de 14 mil 423 a 6 mil 795, mientras que el homicidio doloso pasó de 615 a 477 casos. El Mando Unificado Oriente op"&amp;"era en 15 municipios: Chalco, Chicoloapan, Chimalhuacán, Ecatepec, Ixtapaluca,  Cuautitlán Izcalli, Cuautitlán México, Naucalpan, Nezahualcóyotl, La Paz, Texcoco, Tlalnepantla, Valle de Chalco, Tultitlán y Coacalco. La Maestra Delfina Gómez reiteró el com"&amp;"promiso de su gobierno de coordinar acciones entre las instancias de seguridad y procuración de justicia federales y estatales para el bienestar de la población mexiquense. En la Mesa de Paz número 238, estuvieron presentes Horacio Duarte Olivares, Secret"&amp;"ario General de Gobierno; Maricela López Urbina, Secretaria Técnica; Cristóbal Castañeda Camarillo, Secretario de Seguridad; José Luis Cervantes Martínez, Fiscal General de Justicia del Estado de México (FGJEM), así como representantes de la Defensa, Mari"&amp;"na, Guardia Nacional y el Centro Nacional de Inteligencia. No hay etiquetas asociadas a éste artículo.")</f>
        <v>En el Estado de México el robo de vehículo disminuyó 53%, mientras que el homicidio doloso 22%, en casi nueve meses de la implementación del Mando Unificado Oriente en 15 municipios de esa región, así se informó en la Mesa de Paz que encabeza diariamente la Gobernadora Delfina Gómez Álvarez. “Este lunes en la Mesa de Paz, el General Alcántara, Coordinador del Mando Unificado Oriente, compartió que en casi 9 meses de la implementación de esta estrategia, se registra una disminución del 22 % en homicidio doloso y del 53 % en robo de vehículo, en los municipios que integran este mando único. La coordinación entre autoridades de los tres órdenes de gobierno es y será fundamental para seguir adelante en la ruta de paz”, destacó la maestra Delfina Gómez Álvarez en sus redes sociales. De acuerdo con el reporte de la Secretaría de la Defensa Nacional (Defensa), se redujo el robo de vehículos al pasar de 14 mil 423 a 6 mil 795, mientras que el homicidio doloso pasó de 615 a 477 casos. El Mando Unificado Oriente opera en 15 municipios: Chalco, Chicoloapan, Chimalhuacán, Ecatepec, Ixtapaluca,  Cuautitlán Izcalli, Cuautitlán México, Naucalpan, Nezahualcóyotl, La Paz, Texcoco, Tlalnepantla, Valle de Chalco, Tultitlán y Coacalco. La Maestra Delfina Gómez reiteró el compromiso de su gobierno de coordinar acciones entre las instancias de seguridad y procuración de justicia federales y estatales para el bienestar de la población mexiquense. En la Mesa de Paz número 238, estuvieron presentes Horacio Duarte Olivares, Secretario General de Gobierno; Maricela López Urbina, Secretaria Técnica; Cristóbal Castañeda Camarillo, Secretario de Seguridad; José Luis Cervantes Martínez, Fiscal General de Justicia del Estado de México (FGJEM), así como representantes de la Defensa, Marina, Guardia Nacional y el Centro Nacional de Inteligencia. No hay etiquetas asociadas a éste artículo.</v>
      </c>
      <c r="O99" s="15">
        <f>IFERROR(__xludf.DUMMYFUNCTION("""COMPUTED_VALUE"""),1.0)</f>
        <v>1</v>
      </c>
      <c r="P99" s="2"/>
      <c r="Q99" s="17">
        <f>IFERROR(__xludf.DUMMYFUNCTION("""COMPUTED_VALUE"""),8.0)</f>
        <v>8</v>
      </c>
      <c r="R99" s="2" t="str">
        <f>IFERROR(__xludf.DUMMYFUNCTION("""COMPUTED_VALUE"""),"High")</f>
        <v>High</v>
      </c>
      <c r="S99" s="17">
        <f>IFERROR(__xludf.DUMMYFUNCTION("""COMPUTED_VALUE"""),3.0)</f>
        <v>3</v>
      </c>
      <c r="T99" s="17">
        <f>IFERROR(__xludf.DUMMYFUNCTION("""COMPUTED_VALUE"""),0.0)</f>
        <v>0</v>
      </c>
      <c r="U99" s="14">
        <f>IFERROR(__xludf.DUMMYFUNCTION("""COMPUTED_VALUE"""),2.0)</f>
        <v>2</v>
      </c>
      <c r="V99" s="14" t="s">
        <v>1186</v>
      </c>
      <c r="W99" s="2" t="s">
        <v>190</v>
      </c>
      <c r="X99" s="2" t="s">
        <v>190</v>
      </c>
      <c r="Y99" s="13"/>
      <c r="Z99" s="14">
        <v>0.0</v>
      </c>
      <c r="AA99" s="14">
        <v>0.0</v>
      </c>
      <c r="AB99" s="14">
        <v>0.0</v>
      </c>
      <c r="AC99" s="14">
        <v>0.0</v>
      </c>
      <c r="AD99" s="2">
        <v>0.0</v>
      </c>
      <c r="AE99" s="2">
        <v>1.0</v>
      </c>
      <c r="AF99" s="2" t="s">
        <v>1186</v>
      </c>
      <c r="AG99" s="2" t="s">
        <v>1202</v>
      </c>
      <c r="AH99" s="2">
        <v>0.0</v>
      </c>
    </row>
    <row r="100" ht="15.75" customHeight="1">
      <c r="A100" s="2" t="str">
        <f>IFERROR(__xludf.DUMMYFUNCTION("""COMPUTED_VALUE"""),"Diario Portal")</f>
        <v>Diario Portal</v>
      </c>
      <c r="B100" s="12" t="str">
        <f>IFERROR(__xludf.DUMMYFUNCTION("""COMPUTED_VALUE"""),"Celebra Clara Brugada 18% de reducción de delitos en Azcapotzalco")</f>
        <v>Celebra Clara Brugada 18% de reducción de delitos en Azcapotzalco</v>
      </c>
      <c r="C100" s="13" t="str">
        <f>IFERROR(__xludf.DUMMYFUNCTION("""COMPUTED_VALUE"""),"2025-12-21 17:29:26")</f>
        <v>2025-12-21 17:29:26</v>
      </c>
      <c r="D100" s="14">
        <f>IFERROR(__xludf.DUMMYFUNCTION("""COMPUTED_VALUE"""),2.0)</f>
        <v>2</v>
      </c>
      <c r="E100" s="15">
        <f>IFERROR(__xludf.DUMMYFUNCTION("""COMPUTED_VALUE"""),0.4567)</f>
        <v>0.4567</v>
      </c>
      <c r="F100" s="2" t="str">
        <f>IFERROR(__xludf.DUMMYFUNCTION("""COMPUTED_VALUE"""),"Positivo")</f>
        <v>Positivo</v>
      </c>
      <c r="G100" s="15">
        <f>IFERROR(__xludf.DUMMYFUNCTION("""COMPUTED_VALUE"""),0.4567)</f>
        <v>0.4567</v>
      </c>
      <c r="H100" s="2" t="str">
        <f>IFERROR(__xludf.DUMMYFUNCTION("""COMPUTED_VALUE"""),"Operativo policial o detención")</f>
        <v>Operativo policial o detención</v>
      </c>
      <c r="I100" s="2" t="str">
        <f>IFERROR(__xludf.DUMMYFUNCTION("""COMPUTED_VALUE"""),"N/A")</f>
        <v>N/A</v>
      </c>
      <c r="J100" s="2" t="str">
        <f>IFERROR(__xludf.DUMMYFUNCTION("""COMPUTED_VALUE"""),"Monitoreo general.")</f>
        <v>Monitoreo general.</v>
      </c>
      <c r="K100" s="2" t="str">
        <f>IFERROR(__xludf.DUMMYFUNCTION("""COMPUTED_VALUE"""),"Azcapotzalco")</f>
        <v>Azcapotzalco</v>
      </c>
      <c r="L100" s="2" t="str">
        <f>IFERROR(__xludf.DUMMYFUNCTION("""COMPUTED_VALUE"""),"Ciudad de México")</f>
        <v>Ciudad de México</v>
      </c>
      <c r="M100" s="16" t="str">
        <f>IFERROR(__xludf.DUMMYFUNCTION("""COMPUTED_VALUE"""),"https://diarioportal.com/seguridad-y-justicia/celebra-clara-brugada-18-de-reduccion-de-delitos-en-azcapotzalco")</f>
        <v>https://diarioportal.com/seguridad-y-justicia/celebra-clara-brugada-18-de-reduccion-de-delitos-en-azcapotzalco</v>
      </c>
      <c r="N100" s="2" t="str">
        <f>IFERROR(__xludf.DUMMYFUNCTION("""COMPUTED_VALUE"""),"La jefa de gobierno aseguró que continuará la coordinación intergubernamental para fortalecer la seguridad de la población de Azcapotzalco. La demarcación sigue articulando diversas estrategias de inteligencia, territoriales, y colaborativas para la const"&amp;"rucción de entornos de paz. La jefa de gobierno de la Ciudad de México, Clara Brugada, sostuvo una reunión de evaluación en materia de seguridad, junto a la titular de la alcaldía Azcapotzalco, Nancy Núñez, la Fiscal General de Justicia, Bertha Alcalde, e"&amp;"l Secretario de Seguridad, Pablo Vázquez, y las diversas instancias involucradas en la materia, donde destacó que en la demarcación se ha alcanzado una disminución sostenida del 18% de los delitos de alto impacto. En este contexto, Clara Brugada dijo que "&amp;"continuará el trabajo coordinado en los cuatro sectores que comprenden la demarcación, a fin de brindar a la ciudadanía entornos más seguros y mayor cercanía con los mandos policiacos. Al respecto, en Azcapotzalco ya se ha puesto en marcha la estrategia ‘"&amp;"Tu Ciudad Te Cuida’, con la que la policía sectorial, y auxiliar, en compañía de las áreas sociales del Gobierno de la Ciudad y la Alcaldía recorren casa por casa, las calles de la demarcación, con información pertinente en la materia para las y los vecin"&amp;"os, mejorando la atención directa de la población. “Vamos a trabajar como hasta hoy, con mucho entusiasmo para que tú estés y te sientas más seguro y segura. No están solos, hay un gran equipo que está todos los días trabajando para tu bienestar y tu segu"&amp;"ridad”, afirmó Clara Brugada. En Azcapotzalco se siguen articulando acciones estratégicas y coordinadas que abonan a la construcción de paz: territoriales, de inteligencia, seguimientos, colaboración metropolitana y el aumento del estado de fuerza de la p"&amp;"olicía auxiliar para brindar entornos más seguros a la comunidad chitolola. No hay etiquetas asociadas a éste artículo.")</f>
        <v>La jefa de gobierno aseguró que continuará la coordinación intergubernamental para fortalecer la seguridad de la población de Azcapotzalco. La demarcación sigue articulando diversas estrategias de inteligencia, territoriales, y colaborativas para la construcción de entornos de paz. La jefa de gobierno de la Ciudad de México, Clara Brugada, sostuvo una reunión de evaluación en materia de seguridad, junto a la titular de la alcaldía Azcapotzalco, Nancy Núñez, la Fiscal General de Justicia, Bertha Alcalde, el Secretario de Seguridad, Pablo Vázquez, y las diversas instancias involucradas en la materia, donde destacó que en la demarcación se ha alcanzado una disminución sostenida del 18% de los delitos de alto impacto. En este contexto, Clara Brugada dijo que continuará el trabajo coordinado en los cuatro sectores que comprenden la demarcación, a fin de brindar a la ciudadanía entornos más seguros y mayor cercanía con los mandos policiacos. Al respecto, en Azcapotzalco ya se ha puesto en marcha la estrategia ‘Tu Ciudad Te Cuida’, con la que la policía sectorial, y auxiliar, en compañía de las áreas sociales del Gobierno de la Ciudad y la Alcaldía recorren casa por casa, las calles de la demarcación, con información pertinente en la materia para las y los vecinos, mejorando la atención directa de la población. “Vamos a trabajar como hasta hoy, con mucho entusiasmo para que tú estés y te sientas más seguro y segura. No están solos, hay un gran equipo que está todos los días trabajando para tu bienestar y tu seguridad”, afirmó Clara Brugada. En Azcapotzalco se siguen articulando acciones estratégicas y coordinadas que abonan a la construcción de paz: territoriales, de inteligencia, seguimientos, colaboración metropolitana y el aumento del estado de fuerza de la policía auxiliar para brindar entornos más seguros a la comunidad chitolola. No hay etiquetas asociadas a éste artículo.</v>
      </c>
      <c r="O100" s="15">
        <f>IFERROR(__xludf.DUMMYFUNCTION("""COMPUTED_VALUE"""),0.5151)</f>
        <v>0.5151</v>
      </c>
      <c r="P100" s="2"/>
      <c r="Q100" s="17">
        <f>IFERROR(__xludf.DUMMYFUNCTION("""COMPUTED_VALUE"""),8.5)</f>
        <v>8.5</v>
      </c>
      <c r="R100" s="2" t="str">
        <f>IFERROR(__xludf.DUMMYFUNCTION("""COMPUTED_VALUE"""),"High")</f>
        <v>High</v>
      </c>
      <c r="S100" s="17">
        <f>IFERROR(__xludf.DUMMYFUNCTION("""COMPUTED_VALUE"""),5.5)</f>
        <v>5.5</v>
      </c>
      <c r="T100" s="17">
        <f>IFERROR(__xludf.DUMMYFUNCTION("""COMPUTED_VALUE"""),0.0)</f>
        <v>0</v>
      </c>
      <c r="U100" s="14">
        <f>IFERROR(__xludf.DUMMYFUNCTION("""COMPUTED_VALUE"""),2.0)</f>
        <v>2</v>
      </c>
      <c r="V100" s="14">
        <v>2025.0</v>
      </c>
      <c r="W100" s="2" t="s">
        <v>1168</v>
      </c>
      <c r="X100" s="2" t="s">
        <v>1188</v>
      </c>
      <c r="Y100" s="13" t="s">
        <v>433</v>
      </c>
      <c r="Z100" s="14">
        <v>0.0</v>
      </c>
      <c r="AA100" s="14">
        <v>0.0</v>
      </c>
      <c r="AB100" s="14">
        <v>0.0</v>
      </c>
      <c r="AC100" s="14">
        <v>0.0</v>
      </c>
      <c r="AD100" s="2">
        <v>0.0</v>
      </c>
      <c r="AE100" s="2">
        <v>0.0</v>
      </c>
      <c r="AF100" s="2">
        <v>12.0</v>
      </c>
      <c r="AG100" s="2" t="s">
        <v>1217</v>
      </c>
      <c r="AH100" s="2">
        <v>0.0</v>
      </c>
    </row>
    <row r="101" ht="15.75" customHeight="1">
      <c r="A101" s="2" t="str">
        <f>IFERROR(__xludf.DUMMYFUNCTION("""COMPUTED_VALUE"""),"Diario Portal")</f>
        <v>Diario Portal</v>
      </c>
      <c r="B101" s="12" t="str">
        <f>IFERROR(__xludf.DUMMYFUNCTION("""COMPUTED_VALUE"""),"Otra más del  transporte  público del  Edomex:  combi choca  en Acolman,  deja 3 heridos")</f>
        <v>Otra más del  transporte  público del  Edomex:  combi choca  en Acolman,  deja 3 heridos</v>
      </c>
      <c r="C101" s="13" t="str">
        <f>IFERROR(__xludf.DUMMYFUNCTION("""COMPUTED_VALUE"""),"Sin Fecha")</f>
        <v>Sin Fecha</v>
      </c>
      <c r="D101" s="14">
        <f>IFERROR(__xludf.DUMMYFUNCTION("""COMPUTED_VALUE"""),2.0)</f>
        <v>2</v>
      </c>
      <c r="E101" s="15">
        <f>IFERROR(__xludf.DUMMYFUNCTION("""COMPUTED_VALUE"""),-0.7728)</f>
        <v>-0.7728</v>
      </c>
      <c r="F101" s="2" t="str">
        <f>IFERROR(__xludf.DUMMYFUNCTION("""COMPUTED_VALUE"""),"Negativo")</f>
        <v>Negativo</v>
      </c>
      <c r="G101" s="15">
        <f>IFERROR(__xludf.DUMMYFUNCTION("""COMPUTED_VALUE"""),0.7728)</f>
        <v>0.7728</v>
      </c>
      <c r="H101" s="2" t="str">
        <f>IFERROR(__xludf.DUMMYFUNCTION("""COMPUTED_VALUE"""),"Accidente de tránsito o choque vial")</f>
        <v>Accidente de tránsito o choque vial</v>
      </c>
      <c r="I101" s="2" t="str">
        <f>IFERROR(__xludf.DUMMYFUNCTION("""COMPUTED_VALUE"""),"choque")</f>
        <v>choque</v>
      </c>
      <c r="J101" s="2" t="str">
        <f>IFERROR(__xludf.DUMMYFUNCTION("""COMPUTED_VALUE"""),"Soporte DRV: Seguros/Guía post-siniestro.")</f>
        <v>Soporte DRV: Seguros/Guía post-siniestro.</v>
      </c>
      <c r="K101" s="2" t="str">
        <f>IFERROR(__xludf.DUMMYFUNCTION("""COMPUTED_VALUE"""),"Estado de México")</f>
        <v>Estado de México</v>
      </c>
      <c r="L101" s="2" t="str">
        <f>IFERROR(__xludf.DUMMYFUNCTION("""COMPUTED_VALUE"""),"Estado de México")</f>
        <v>Estado de México</v>
      </c>
      <c r="M101" s="16" t="str">
        <f>IFERROR(__xludf.DUMMYFUNCTION("""COMPUTED_VALUE"""),"https://diarioportal.com/seguridad-y-justicia/otra-mas-del-transporte-publico-del-edomex-combi-choca-en-acolman-deja-3-heridos")</f>
        <v>https://diarioportal.com/seguridad-y-justicia/otra-mas-del-transporte-publico-del-edomex-combi-choca-en-acolman-deja-3-heridos</v>
      </c>
      <c r="N101" s="2" t="str">
        <f>IFERROR(__xludf.DUMMYFUNCTION("""COMPUTED_VALUE"""),"Fuerte choque de una unidad de transporte público contra un vehículo pesado dejó como saldo 10 personas lesionadas, entre ellos, dos prensados en la carretera federal Lechería-Texcoco a la altura del municipio de Acolman. El accidente ocurrió la mañana de"&amp;" este domingo, cuando una unidad de transporte público circulaba sobre la carretera federal Lechería-Texcoco, con dirección a la López Portillo. Pero al llegar a la altura del puente de la Termoeléctrica, el chófer no logró frenar y se impactó contra un v"&amp;"ehículo pesado. Tras el fuerte choque, el conductor y el copiloto quedaron prensados entre los fierros retorcidos, asimismo ocho pasajeros resultaron lesionados. Inmediatamente al lugar se trasladaron los servicios de emergencias y atendieron a los lesion"&amp;"ados, mientras que elementos de Protección Civil rescataron a los prensados. Debido a la gravedad de las lesiones que presentaron, fueron trasladados a un hospital de la zona, algunos pasajeros fueron atendidos en el sitio. Ante el aparatoso accidente, la"&amp;" carretera federal Lechería-Texcoco con dirección a Ecatepec presentó severa carga vehicular, por lo que elementos de tránsito llevaron a cabo cortes a la circulación. Tras varias horas, la emergencia fue atendida y posteriormente la carretera fue reabier"&amp;"ta. No hay etiquetas asociadas a éste artículo.")</f>
        <v>Fuerte choque de una unidad de transporte público contra un vehículo pesado dejó como saldo 10 personas lesionadas, entre ellos, dos prensados en la carretera federal Lechería-Texcoco a la altura del municipio de Acolman. El accidente ocurrió la mañana de este domingo, cuando una unidad de transporte público circulaba sobre la carretera federal Lechería-Texcoco, con dirección a la López Portillo. Pero al llegar a la altura del puente de la Termoeléctrica, el chófer no logró frenar y se impactó contra un vehículo pesado. Tras el fuerte choque, el conductor y el copiloto quedaron prensados entre los fierros retorcidos, asimismo ocho pasajeros resultaron lesionados. Inmediatamente al lugar se trasladaron los servicios de emergencias y atendieron a los lesionados, mientras que elementos de Protección Civil rescataron a los prensados. Debido a la gravedad de las lesiones que presentaron, fueron trasladados a un hospital de la zona, algunos pasajeros fueron atendidos en el sitio. Ante el aparatoso accidente, la carretera federal Lechería-Texcoco con dirección a Ecatepec presentó severa carga vehicular, por lo que elementos de tránsito llevaron a cabo cortes a la circulación. Tras varias horas, la emergencia fue atendida y posteriormente la carretera fue reabierta. No hay etiquetas asociadas a éste artículo.</v>
      </c>
      <c r="O101" s="15">
        <f>IFERROR(__xludf.DUMMYFUNCTION("""COMPUTED_VALUE"""),1.0)</f>
        <v>1</v>
      </c>
      <c r="P101" s="2"/>
      <c r="Q101" s="17">
        <f>IFERROR(__xludf.DUMMYFUNCTION("""COMPUTED_VALUE"""),3.0)</f>
        <v>3</v>
      </c>
      <c r="R101" s="2" t="str">
        <f>IFERROR(__xludf.DUMMYFUNCTION("""COMPUTED_VALUE"""),"Medium")</f>
        <v>Medium</v>
      </c>
      <c r="S101" s="17">
        <f>IFERROR(__xludf.DUMMYFUNCTION("""COMPUTED_VALUE"""),2.0)</f>
        <v>2</v>
      </c>
      <c r="T101" s="17">
        <f>IFERROR(__xludf.DUMMYFUNCTION("""COMPUTED_VALUE"""),0.0)</f>
        <v>0</v>
      </c>
      <c r="U101" s="14">
        <f>IFERROR(__xludf.DUMMYFUNCTION("""COMPUTED_VALUE"""),2.0)</f>
        <v>2</v>
      </c>
      <c r="V101" s="14" t="s">
        <v>1186</v>
      </c>
      <c r="W101" s="2" t="s">
        <v>190</v>
      </c>
      <c r="X101" s="2" t="s">
        <v>190</v>
      </c>
      <c r="Y101" s="13"/>
      <c r="Z101" s="14">
        <v>0.0</v>
      </c>
      <c r="AA101" s="14">
        <v>0.0</v>
      </c>
      <c r="AB101" s="14">
        <v>0.0</v>
      </c>
      <c r="AC101" s="14">
        <v>0.0</v>
      </c>
      <c r="AD101" s="2">
        <v>0.0</v>
      </c>
      <c r="AE101" s="2">
        <v>0.0</v>
      </c>
      <c r="AF101" s="2" t="s">
        <v>1186</v>
      </c>
      <c r="AG101" s="2" t="s">
        <v>1202</v>
      </c>
      <c r="AH101" s="2">
        <v>0.0</v>
      </c>
    </row>
    <row r="102" ht="15.75" customHeight="1">
      <c r="A102" s="2" t="str">
        <f>IFERROR(__xludf.DUMMYFUNCTION("""COMPUTED_VALUE"""),"Diario Portal")</f>
        <v>Diario Portal</v>
      </c>
      <c r="B102" s="12" t="str">
        <f>IFERROR(__xludf.DUMMYFUNCTION("""COMPUTED_VALUE"""),"Gobernadora  envía reforma  para reforzar  investigación  policiaca con  inteligencia  y prevenir  violaciones  de derechos")</f>
        <v>Gobernadora  envía reforma  para reforzar  investigación  policiaca con  inteligencia  y prevenir  violaciones  de derechos</v>
      </c>
      <c r="C102" s="13" t="str">
        <f>IFERROR(__xludf.DUMMYFUNCTION("""COMPUTED_VALUE"""),"Sin Fecha")</f>
        <v>Sin Fecha</v>
      </c>
      <c r="D102" s="14">
        <f>IFERROR(__xludf.DUMMYFUNCTION("""COMPUTED_VALUE"""),2.0)</f>
        <v>2</v>
      </c>
      <c r="E102" s="15">
        <f>IFERROR(__xludf.DUMMYFUNCTION("""COMPUTED_VALUE"""),0.0)</f>
        <v>0</v>
      </c>
      <c r="F102" s="2" t="str">
        <f>IFERROR(__xludf.DUMMYFUNCTION("""COMPUTED_VALUE"""),"Neutral")</f>
        <v>Neutral</v>
      </c>
      <c r="G102" s="15">
        <f>IFERROR(__xludf.DUMMYFUNCTION("""COMPUTED_VALUE"""),0.4802)</f>
        <v>0.4802</v>
      </c>
      <c r="H102" s="2" t="str">
        <f>IFERROR(__xludf.DUMMYFUNCTION("""COMPUTED_VALUE"""),"Operativo policial o detención")</f>
        <v>Operativo policial o detención</v>
      </c>
      <c r="I102" s="2" t="str">
        <f>IFERROR(__xludf.DUMMYFUNCTION("""COMPUTED_VALUE"""),"N/A")</f>
        <v>N/A</v>
      </c>
      <c r="J102" s="2" t="str">
        <f>IFERROR(__xludf.DUMMYFUNCTION("""COMPUTED_VALUE"""),"Monitoreo general.")</f>
        <v>Monitoreo general.</v>
      </c>
      <c r="K102" s="2" t="str">
        <f>IFERROR(__xludf.DUMMYFUNCTION("""COMPUTED_VALUE"""),"Estado de México")</f>
        <v>Estado de México</v>
      </c>
      <c r="L102" s="2" t="str">
        <f>IFERROR(__xludf.DUMMYFUNCTION("""COMPUTED_VALUE"""),"Estado de México")</f>
        <v>Estado de México</v>
      </c>
      <c r="M102" s="16" t="str">
        <f>IFERROR(__xludf.DUMMYFUNCTION("""COMPUTED_VALUE"""),"https://diarioportal.com/seguridad-y-justicia/gobernadora-envia-reforma-para-reforzar-investigacion-policiaca-con-inteligencia-y-prevenir-violaciones-de-derechos")</f>
        <v>https://diarioportal.com/seguridad-y-justicia/gobernadora-envia-reforma-para-reforzar-investigacion-policiaca-con-inteligencia-y-prevenir-violaciones-de-derechos</v>
      </c>
      <c r="N102" s="2" t="str">
        <f>IFERROR(__xludf.DUMMYFUNCTION("""COMPUTED_VALUE"""),"La gobernadora Delfina Gómez Álvarez envió a la Legislatura del Estado de México una iniciativa de decreto para reformar diversas disposiciones legales en materia de seguridad pública, con el objetivo de consolidar el respeto de los derechos humanos, fort"&amp;"alecer el trabajo de las Mesas de Paz y garantizar un sistema confiable, eficaz y humano. Propone reformar la Constitución Política del Estado de México y la Ley Orgánica de la Administración Pública de la entidad en rubros de seguridad pública, así como "&amp;"la Ley de Seguridad estatal para: Fortalecer las capacidades de investigación de las policías estatales y municipales al precisar y ampliar sus facultades para recabar información, preservar indicios, recibir denuncias y coadyuvar de manera directa en el "&amp;"esclarecimiento de los delitos, siempre bajo la conducción y mando del Ministerio Público. Cumplir con lo establecido en la Ley del Sistema Nacional de Investigación e Inteligencia en Materia de Seguridad y armonizar el marco jurídico estatal con la Ley G"&amp;"eneral del Sistema Nacional de Seguridad Pública, por parte de la Secretaría de Seguridad del Estado de México (SSEM). Reconocer a las Mesas de Paz como instancias de decisión inmediata y articulación operativa, para diseñar e implementar acciones operati"&amp;"vas y coordinarse con la Fiscalía General de Justicia del Estado de México (FGJEM) y el Poder Judicial de la entidad. Se propone la integración del Consejo Estatal de Seguridad Pública que será integrado por el Ejecutivo estatal, la Secretaría General de "&amp;"Gobierno, la SSEM y la FGJEM. Sesionará de forma ordinaria una vez al año. Mejorar el servicio profesional de carrera y los esquemas de profesionalización, para que el personal de seguridad cuente con condiciones profesionales dignas, homologadas con el S"&amp;"istema Nacional de Seguridad Pública. Se determina que las prestaciones de seguridad social contemplen: servicios médicos y hospitalarios; incapacidades; pensiones por invalidez y vida; fondos para retiro; vivienda; prestaciones sociales como guarderías, "&amp;"becas, apoyos para sus familiares, protecciones de riesgo de trabajo, y licencias de maternidad y paternidad. Homologar los perfiles, funciones y requisitos de ingreso y permanencia, así como los procesos de promoción, certificación y evaluación de contro"&amp;"l de confianza. Promover la participación social con foros, consultas públicas y talleres, donde participen organizaciones, la academia, personas y grupos históricamente discriminados. Sus opiniones serán revisadas y tomadas en cuenta en la construcción d"&amp;"e políticas y programas. Garantizar el cumplimiento de los principios de igualdad sustantiva y no discriminación priorizando la prevención, investigación y sanción de las violencias de género. Se propone que la Universidad Mexiquense de Seguridad sea el ó"&amp;"rgano rector de las academias municipales y certifique al personal de las empresas de seguridad privada. Con esta iniciativa, se garantiza que el actuar de las instituciones y elementos de seguridad pública sea bajo los principios de legalidad, objetivida"&amp;"d, eficiencia, profesionalismo, honradez, con perspectiva de género y respeto a los derechos humanos. No hay etiquetas asociadas a éste artículo.")</f>
        <v>La gobernadora Delfina Gómez Álvarez envió a la Legislatura del Estado de México una iniciativa de decreto para reformar diversas disposiciones legales en materia de seguridad pública, con el objetivo de consolidar el respeto de los derechos humanos, fortalecer el trabajo de las Mesas de Paz y garantizar un sistema confiable, eficaz y humano. Propone reformar la Constitución Política del Estado de México y la Ley Orgánica de la Administración Pública de la entidad en rubros de seguridad pública, así como la Ley de Seguridad estatal para: Fortalecer las capacidades de investigación de las policías estatales y municipales al precisar y ampliar sus facultades para recabar información, preservar indicios, recibir denuncias y coadyuvar de manera directa en el esclarecimiento de los delitos, siempre bajo la conducción y mando del Ministerio Público. Cumplir con lo establecido en la Ley del Sistema Nacional de Investigación e Inteligencia en Materia de Seguridad y armonizar el marco jurídico estatal con la Ley General del Sistema Nacional de Seguridad Pública, por parte de la Secretaría de Seguridad del Estado de México (SSEM). Reconocer a las Mesas de Paz como instancias de decisión inmediata y articulación operativa, para diseñar e implementar acciones operativas y coordinarse con la Fiscalía General de Justicia del Estado de México (FGJEM) y el Poder Judicial de la entidad. Se propone la integración del Consejo Estatal de Seguridad Pública que será integrado por el Ejecutivo estatal, la Secretaría General de Gobierno, la SSEM y la FGJEM. Sesionará de forma ordinaria una vez al año. Mejorar el servicio profesional de carrera y los esquemas de profesionalización, para que el personal de seguridad cuente con condiciones profesionales dignas, homologadas con el Sistema Nacional de Seguridad Pública. Se determina que las prestaciones de seguridad social contemplen: servicios médicos y hospitalarios; incapacidades; pensiones por invalidez y vida; fondos para retiro; vivienda; prestaciones sociales como guarderías, becas, apoyos para sus familiares, protecciones de riesgo de trabajo, y licencias de maternidad y paternidad. Homologar los perfiles, funciones y requisitos de ingreso y permanencia, así como los procesos de promoción, certificación y evaluación de control de confianza. Promover la participación social con foros, consultas públicas y talleres, donde participen organizaciones, la academia, personas y grupos históricamente discriminados. Sus opiniones serán revisadas y tomadas en cuenta en la construcción de políticas y programas. Garantizar el cumplimiento de los principios de igualdad sustantiva y no discriminación priorizando la prevención, investigación y sanción de las violencias de género. Se propone que la Universidad Mexiquense de Seguridad sea el órgano rector de las academias municipales y certifique al personal de las empresas de seguridad privada. Con esta iniciativa, se garantiza que el actuar de las instituciones y elementos de seguridad pública sea bajo los principios de legalidad, objetividad, eficiencia, profesionalismo, honradez, con perspectiva de género y respeto a los derechos humanos. No hay etiquetas asociadas a éste artículo.</v>
      </c>
      <c r="O102" s="15">
        <f>IFERROR(__xludf.DUMMYFUNCTION("""COMPUTED_VALUE"""),0.5306)</f>
        <v>0.5306</v>
      </c>
      <c r="P102" s="2"/>
      <c r="Q102" s="17">
        <f>IFERROR(__xludf.DUMMYFUNCTION("""COMPUTED_VALUE"""),5.0)</f>
        <v>5</v>
      </c>
      <c r="R102" s="2" t="str">
        <f>IFERROR(__xludf.DUMMYFUNCTION("""COMPUTED_VALUE"""),"Low")</f>
        <v>Low</v>
      </c>
      <c r="S102" s="17">
        <f>IFERROR(__xludf.DUMMYFUNCTION("""COMPUTED_VALUE"""),0.0)</f>
        <v>0</v>
      </c>
      <c r="T102" s="17">
        <f>IFERROR(__xludf.DUMMYFUNCTION("""COMPUTED_VALUE"""),0.0)</f>
        <v>0</v>
      </c>
      <c r="U102" s="14">
        <f>IFERROR(__xludf.DUMMYFUNCTION("""COMPUTED_VALUE"""),2.0)</f>
        <v>2</v>
      </c>
      <c r="V102" s="14" t="s">
        <v>1186</v>
      </c>
      <c r="W102" s="2" t="s">
        <v>190</v>
      </c>
      <c r="X102" s="2" t="s">
        <v>190</v>
      </c>
      <c r="Y102" s="13"/>
      <c r="Z102" s="14">
        <v>0.0</v>
      </c>
      <c r="AA102" s="14">
        <v>0.0</v>
      </c>
      <c r="AB102" s="14">
        <v>0.0</v>
      </c>
      <c r="AC102" s="14">
        <v>0.0</v>
      </c>
      <c r="AD102" s="2">
        <v>0.0</v>
      </c>
      <c r="AE102" s="2">
        <v>0.0</v>
      </c>
      <c r="AF102" s="2" t="s">
        <v>1186</v>
      </c>
      <c r="AG102" s="2" t="s">
        <v>1202</v>
      </c>
      <c r="AH102" s="2">
        <v>0.0</v>
      </c>
    </row>
    <row r="103" ht="15.75" customHeight="1">
      <c r="A103" s="2" t="str">
        <f>IFERROR(__xludf.DUMMYFUNCTION("""COMPUTED_VALUE"""),"Diario Portal")</f>
        <v>Diario Portal</v>
      </c>
      <c r="B103" s="12" t="str">
        <f>IFERROR(__xludf.DUMMYFUNCTION("""COMPUTED_VALUE"""),"SSPC COMPARTE UNA GUÍA PARA PREVENIR FRAUDES DURANTE LA TEMPORADA NAVIDEÑA")</f>
        <v>SSPC COMPARTE UNA GUÍA PARA PREVENIR FRAUDES DURANTE LA TEMPORADA NAVIDEÑA</v>
      </c>
      <c r="C103" s="13" t="str">
        <f>IFERROR(__xludf.DUMMYFUNCTION("""COMPUTED_VALUE"""),"2025-12-20 18:53:20")</f>
        <v>2025-12-20 18:53:20</v>
      </c>
      <c r="D103" s="14">
        <f>IFERROR(__xludf.DUMMYFUNCTION("""COMPUTED_VALUE"""),2.0)</f>
        <v>2</v>
      </c>
      <c r="E103" s="15">
        <f>IFERROR(__xludf.DUMMYFUNCTION("""COMPUTED_VALUE"""),-0.72)</f>
        <v>-0.72</v>
      </c>
      <c r="F103" s="2" t="str">
        <f>IFERROR(__xludf.DUMMYFUNCTION("""COMPUTED_VALUE"""),"Negativo")</f>
        <v>Negativo</v>
      </c>
      <c r="G103" s="15">
        <f>IFERROR(__xludf.DUMMYFUNCTION("""COMPUTED_VALUE"""),0.72)</f>
        <v>0.72</v>
      </c>
      <c r="H103" s="2" t="str">
        <f>IFERROR(__xludf.DUMMYFUNCTION("""COMPUTED_VALUE"""),"Operativo policial o detención")</f>
        <v>Operativo policial o detención</v>
      </c>
      <c r="I103" s="2" t="str">
        <f>IFERROR(__xludf.DUMMYFUNCTION("""COMPUTED_VALUE"""),"N/A")</f>
        <v>N/A</v>
      </c>
      <c r="J103" s="2" t="str">
        <f>IFERROR(__xludf.DUMMYFUNCTION("""COMPUTED_VALUE"""),"Monitoreo general.")</f>
        <v>Monitoreo general.</v>
      </c>
      <c r="K103" s="2" t="str">
        <f>IFERROR(__xludf.DUMMYFUNCTION("""COMPUTED_VALUE"""),"Sinaloa")</f>
        <v>Sinaloa</v>
      </c>
      <c r="L103" s="2" t="str">
        <f>IFERROR(__xludf.DUMMYFUNCTION("""COMPUTED_VALUE"""),"Sinaloa")</f>
        <v>Sinaloa</v>
      </c>
      <c r="M103" s="16" t="str">
        <f>IFERROR(__xludf.DUMMYFUNCTION("""COMPUTED_VALUE"""),"https://diarioportal.com/seguridad-y-justicia/sspc-comparte-una-guia-para-prevenir-fraudes-durante-la-temporada-navidena")</f>
        <v>https://diarioportal.com/seguridad-y-justicia/sspc-comparte-una-guia-para-prevenir-fraudes-durante-la-temporada-navidena</v>
      </c>
      <c r="N103" s="2" t="str">
        <f>IFERROR(__xludf.DUMMYFUNCTION("""COMPUTED_VALUE"""),"La Secretaría de Seguridad y Protección Ciudadana (SSPC), a través de la Unidad de Inteligencia, Investigación Cibernética y Operaciones Tecnológicas, comparte una guía de buenas prácticas para prevenir fraudes durante la temporada navideña. Entre las mod"&amp;"alidades de fraude digital más frecuentes se encuentran las reservaciones falsas, alquileres inexistentes, promociones engañosas en redes sociales, clonación de tarjetas, robo de datos personales y suplantación de identidad mediante sitios o perfiles dise"&amp;"ñados para imitar comercios legítimos. Asimismo, aumentan los engaños relacionados con boletos de viaje, paquetes turísticos y experiencias con aparentes descuentos exclusivos que buscan aprovechar la confianza de quienes planean sus vacaciones con premur"&amp;"a. Para que la ciudadanía no sea víctima de algún tipo de fraude digital la SSPC comparte una guía de buenas prácticas: 1.⁠ ⁠Comprar en línea de forma segura: Verificar siempre el sitio web, buscar el candado de seguridad, revisar que la dirección inicie "&amp;"con “https://” y confirmar que sea la página oficial. Evitar enlaces enviados por correo, mensajes o redes sociales con ofertas irreales. 2.⁠ ⁠Cuidado con tiendas o perfiles nuevos: Desconfiar de páginas que solo aceptan depósitos, transferencias o pagos "&amp;"inmediatos sin ofrecer métodos seguros. 3.⁠ ⁠Mantener cuentas protegidas: Utilizar contraseñas robustas y actualizarlas periódicamente, activar la verificación en dos pasos, evitar usar redes wifi públicas para operaciones bancarias o pagos. 4.⁠ ⁠Precauci"&amp;"ón con ofertas de viajes, hospedaje o paquetes: Verificar directamente con el proveedor la promoción, en plataformas de hospedaje, revisar el historial del anfitrión, comentarios y fecha de creación de la cuenta, desconfiar si el precio es demasiado bajo "&amp;"para la temporada. 5.⁠ ⁠Compras de regalos y preparativos: Adquirir productos en comercios formales y evitar pagos adelantados sin garantía, en redes sociales, solicitar factura, comprobante de compra y datos del vendedor. 6.⁠ ⁠Proteger la información per"&amp;"sonal: No compartir número de tarjeta, NIP, códigos de verificación o contraseñas, desconfiar de llamadas que se presentan de instituciones bancarias o empresas para validar datos. 8.⁠ ⁠Cuidar las transacciones bancarias: Revisar los movimientos con regul"&amp;"aridad, activar alertas en tu aplicación bancaria, ante un cargo no reconocido, repórtalo de inmediato. 9.⁠ ⁠Asegurar compras presenciales: No perder de vista la tarjeta al pagar, preferir terminales o cajas en zonas visibles, guardar los comprobantes. 10"&amp;".⁠ ⁠En compras en línea: Tomar capturas de pantalla de conversaciones, anuncios, comprobantes de pago y datos del vendedor, guardar los correos electrónicos y mensajes en caso de realizar una denuncia o reclamación. 12.⁠ ⁠Tomarse un momento para validar l"&amp;"a compra: Verificar, comparar y confirmar antes de compartir información o realizar algún depósito. Si se requiere orientación para realizar una denuncia o llamar a la Unidad de Policía Cibernética de la entidad, es seguro y confidencial. Si no conoces el"&amp;" número, en la Ciberguía se puede consultar el apartado directorio, a través de la liga: https://www.gob.mx/sspc/documentos/ciberguia?idiom=es Con estas acciones, la SSPC refrenda su compromiso para la fortalecer el uso responsable de la navegación en lín"&amp;"ea, así como la prevención de ciberdelitos a través de aplicaciones y redes sociales, que vulneran la seguridad. No hay etiquetas asociadas a éste artículo.")</f>
        <v>La Secretaría de Seguridad y Protección Ciudadana (SSPC), a través de la Unidad de Inteligencia, Investigación Cibernética y Operaciones Tecnológicas, comparte una guía de buenas prácticas para prevenir fraudes durante la temporada navideña. Entre las modalidades de fraude digital más frecuentes se encuentran las reservaciones falsas, alquileres inexistentes, promociones engañosas en redes sociales, clonación de tarjetas, robo de datos personales y suplantación de identidad mediante sitios o perfiles diseñados para imitar comercios legítimos. Asimismo, aumentan los engaños relacionados con boletos de viaje, paquetes turísticos y experiencias con aparentes descuentos exclusivos que buscan aprovechar la confianza de quienes planean sus vacaciones con premura. Para que la ciudadanía no sea víctima de algún tipo de fraude digital la SSPC comparte una guía de buenas prácticas: 1.⁠ ⁠Comprar en línea de forma segura: Verificar siempre el sitio web, buscar el candado de seguridad, revisar que la dirección inicie con “https://” y confirmar que sea la página oficial. Evitar enlaces enviados por correo, mensajes o redes sociales con ofertas irreales. 2.⁠ ⁠Cuidado con tiendas o perfiles nuevos: Desconfiar de páginas que solo aceptan depósitos, transferencias o pagos inmediatos sin ofrecer métodos seguros. 3.⁠ ⁠Mantener cuentas protegidas: Utilizar contraseñas robustas y actualizarlas periódicamente, activar la verificación en dos pasos, evitar usar redes wifi públicas para operaciones bancarias o pagos. 4.⁠ ⁠Precaución con ofertas de viajes, hospedaje o paquetes: Verificar directamente con el proveedor la promoción, en plataformas de hospedaje, revisar el historial del anfitrión, comentarios y fecha de creación de la cuenta, desconfiar si el precio es demasiado bajo para la temporada. 5.⁠ ⁠Compras de regalos y preparativos: Adquirir productos en comercios formales y evitar pagos adelantados sin garantía, en redes sociales, solicitar factura, comprobante de compra y datos del vendedor. 6.⁠ ⁠Proteger la información personal: No compartir número de tarjeta, NIP, códigos de verificación o contraseñas, desconfiar de llamadas que se presentan de instituciones bancarias o empresas para validar datos. 8.⁠ ⁠Cuidar las transacciones bancarias: Revisar los movimientos con regularidad, activar alertas en tu aplicación bancaria, ante un cargo no reconocido, repórtalo de inmediato. 9.⁠ ⁠Asegurar compras presenciales: No perder de vista la tarjeta al pagar, preferir terminales o cajas en zonas visibles, guardar los comprobantes. 10.⁠ ⁠En compras en línea: Tomar capturas de pantalla de conversaciones, anuncios, comprobantes de pago y datos del vendedor, guardar los correos electrónicos y mensajes en caso de realizar una denuncia o reclamación. 12.⁠ ⁠Tomarse un momento para validar la compra: Verificar, comparar y confirmar antes de compartir información o realizar algún depósito. Si se requiere orientación para realizar una denuncia o llamar a la Unidad de Policía Cibernética de la entidad, es seguro y confidencial. Si no conoces el número, en la Ciberguía se puede consultar el apartado directorio, a través de la liga: https://www.gob.mx/sspc/documentos/ciberguia?idiom=es Con estas acciones, la SSPC refrenda su compromiso para la fortalecer el uso responsable de la navegación en línea, así como la prevención de ciberdelitos a través de aplicaciones y redes sociales, que vulneran la seguridad. No hay etiquetas asociadas a éste artículo.</v>
      </c>
      <c r="O103" s="15">
        <f>IFERROR(__xludf.DUMMYFUNCTION("""COMPUTED_VALUE"""),0.2946)</f>
        <v>0.2946</v>
      </c>
      <c r="P103" s="2"/>
      <c r="Q103" s="17">
        <f>IFERROR(__xludf.DUMMYFUNCTION("""COMPUTED_VALUE"""),1.0)</f>
        <v>1</v>
      </c>
      <c r="R103" s="2" t="str">
        <f>IFERROR(__xludf.DUMMYFUNCTION("""COMPUTED_VALUE"""),"Low")</f>
        <v>Low</v>
      </c>
      <c r="S103" s="17">
        <f>IFERROR(__xludf.DUMMYFUNCTION("""COMPUTED_VALUE"""),0.0)</f>
        <v>0</v>
      </c>
      <c r="T103" s="17">
        <f>IFERROR(__xludf.DUMMYFUNCTION("""COMPUTED_VALUE"""),0.0)</f>
        <v>0</v>
      </c>
      <c r="U103" s="14">
        <f>IFERROR(__xludf.DUMMYFUNCTION("""COMPUTED_VALUE"""),2.0)</f>
        <v>2</v>
      </c>
      <c r="V103" s="14">
        <v>2025.0</v>
      </c>
      <c r="W103" s="2" t="s">
        <v>1168</v>
      </c>
      <c r="X103" s="2" t="s">
        <v>1194</v>
      </c>
      <c r="Y103" s="13" t="s">
        <v>444</v>
      </c>
      <c r="Z103" s="14">
        <v>0.0</v>
      </c>
      <c r="AA103" s="14">
        <v>0.0</v>
      </c>
      <c r="AB103" s="14">
        <v>0.0</v>
      </c>
      <c r="AC103" s="14">
        <v>0.0</v>
      </c>
      <c r="AD103" s="2">
        <v>0.0</v>
      </c>
      <c r="AE103" s="2">
        <v>0.0</v>
      </c>
      <c r="AF103" s="2">
        <v>12.0</v>
      </c>
      <c r="AG103" s="2" t="s">
        <v>1172</v>
      </c>
      <c r="AH103" s="2">
        <v>0.0</v>
      </c>
    </row>
    <row r="104" ht="15.75" customHeight="1">
      <c r="A104" s="2" t="str">
        <f>IFERROR(__xludf.DUMMYFUNCTION("""COMPUTED_VALUE"""),"Diario Portal")</f>
        <v>Diario Portal</v>
      </c>
      <c r="B104" s="12" t="str">
        <f>IFERROR(__xludf.DUMMYFUNCTION("""COMPUTED_VALUE"""),"Emite Gobierno del EdoMéx recomendaciones para unas fiestas decembrinas seguras")</f>
        <v>Emite Gobierno del EdoMéx recomendaciones para unas fiestas decembrinas seguras</v>
      </c>
      <c r="C104" s="13" t="str">
        <f>IFERROR(__xludf.DUMMYFUNCTION("""COMPUTED_VALUE"""),"2025-12-20 13:53:55")</f>
        <v>2025-12-20 13:53:55</v>
      </c>
      <c r="D104" s="14">
        <f>IFERROR(__xludf.DUMMYFUNCTION("""COMPUTED_VALUE"""),1.0)</f>
        <v>1</v>
      </c>
      <c r="E104" s="15">
        <f>IFERROR(__xludf.DUMMYFUNCTION("""COMPUTED_VALUE"""),0.0)</f>
        <v>0</v>
      </c>
      <c r="F104" s="2" t="str">
        <f>IFERROR(__xludf.DUMMYFUNCTION("""COMPUTED_VALUE"""),"Neutral")</f>
        <v>Neutral</v>
      </c>
      <c r="G104" s="15">
        <f>IFERROR(__xludf.DUMMYFUNCTION("""COMPUTED_VALUE"""),0.5885)</f>
        <v>0.5885</v>
      </c>
      <c r="H104" s="2" t="str">
        <f>IFERROR(__xludf.DUMMYFUNCTION("""COMPUTED_VALUE"""),"Otros temas generales")</f>
        <v>Otros temas generales</v>
      </c>
      <c r="I104" s="2" t="str">
        <f>IFERROR(__xludf.DUMMYFUNCTION("""COMPUTED_VALUE"""),"N/A")</f>
        <v>N/A</v>
      </c>
      <c r="J104" s="2" t="str">
        <f>IFERROR(__xludf.DUMMYFUNCTION("""COMPUTED_VALUE"""),"Descartar / Baja prioridad.")</f>
        <v>Descartar / Baja prioridad.</v>
      </c>
      <c r="K104" s="2" t="str">
        <f>IFERROR(__xludf.DUMMYFUNCTION("""COMPUTED_VALUE"""),"Estado de México")</f>
        <v>Estado de México</v>
      </c>
      <c r="L104" s="2" t="str">
        <f>IFERROR(__xludf.DUMMYFUNCTION("""COMPUTED_VALUE"""),"Estado de México")</f>
        <v>Estado de México</v>
      </c>
      <c r="M104" s="16" t="str">
        <f>IFERROR(__xludf.DUMMYFUNCTION("""COMPUTED_VALUE"""),"https://diarioportal.com/seguridad-y-justicia/emite-gobierno-del-edomex-recomendaciones-para-unas-fiestas-decembrinas-seguras")</f>
        <v>https://diarioportal.com/seguridad-y-justicia/emite-gobierno-del-edomex-recomendaciones-para-unas-fiestas-decembrinas-seguras</v>
      </c>
      <c r="N104" s="2" t="str">
        <f>IFERROR(__xludf.DUMMYFUNCTION("""COMPUTED_VALUE"""),"El Gobierno del Estado de México, a través de Protección Civil exhorta a la población a reforzar las medidas preventivas durante la temporada decembrina, con el objetivo de reducir riesgos, evitar accidentes y salvar la integridad de las y los mexiquenses"&amp;" en las celebraciones familiares, comunitarias y eventos públicos. En el hogar, es importante instalar árboles de Navidad y nacimientos sobre superficies firmes y con materiales no inflamables, como metal, vidrio o cemento, y exceder la cantidad de luces,"&amp;" ya que a mayor carga eléctrica, mayor es el riesgo de cortocircuitos. Es fundamental apagar y desconectar series y adornos eléctricos antes de dormir o al salir de casa, así como revisar que cables, extensiones e instalaciones eléctricas se encuentren en"&amp;" buen estado. En el caso de los árboles naturales, se recuerda que después de aproximadamente quince días comienzan a secarse, lo que incrementa significativamente el riesgo de incendio, por lo que se sugiere mantenerlos hidratados. Durante reuniones fami"&amp;"liares y celebraciones comunitarias, se hace un llamado para evitar el consumo excesivo de alcohol, no manejar bajo los efectos del mismo, designar conductores responsables, respetar los límites de velocidad y el reglamento de tránsito. En cuanto al uso d"&amp;"e pirotecnia, se recomienda no permitir su uso a niñas y niños, evitar encenderla en espacios cerrados o cerca de material inflamable, privilegiando celebraciones seguras. Para las festividades que incluyen piñatas, se aconseja sujetarlas firmemente, deli"&amp;"mitar el área de participación y fomentar dinámicas seguras. Se sugiere utilizar piñatas de cartón, evitar las de barro y no rellenarlas con objetos pesados ​​o puntiagudos que puedan provocar lesiones. En materia de vialidad, se deben extremar precaucion"&amp;"es durante los traslados, especialmente en zonas con alta afluencia, eventos públicos o celebraciones vecinales. Se recomienda planear los viajes con anticipación, respetar señalamientos, mantener distancia entre vehículos y atender las indicaciones de la"&amp;"s autoridades. Finalmente, la Coordinación invita a la población a mantenerse informada a través de fuentes oficiales ya seguir las recomendaciones de Protección Civil en sus municipios, así como llevar consigo los números de emergencia. No hay etiquetas "&amp;"asociadas a éste artículo.")</f>
        <v>El Gobierno del Estado de México, a través de Protección Civil exhorta a la población a reforzar las medidas preventivas durante la temporada decembrina, con el objetivo de reducir riesgos, evitar accidentes y salvar la integridad de las y los mexiquenses en las celebraciones familiares, comunitarias y eventos públicos. En el hogar, es importante instalar árboles de Navidad y nacimientos sobre superficies firmes y con materiales no inflamables, como metal, vidrio o cemento, y exceder la cantidad de luces, ya que a mayor carga eléctrica, mayor es el riesgo de cortocircuitos. Es fundamental apagar y desconectar series y adornos eléctricos antes de dormir o al salir de casa, así como revisar que cables, extensiones e instalaciones eléctricas se encuentren en buen estado. En el caso de los árboles naturales, se recuerda que después de aproximadamente quince días comienzan a secarse, lo que incrementa significativamente el riesgo de incendio, por lo que se sugiere mantenerlos hidratados. Durante reuniones familiares y celebraciones comunitarias, se hace un llamado para evitar el consumo excesivo de alcohol, no manejar bajo los efectos del mismo, designar conductores responsables, respetar los límites de velocidad y el reglamento de tránsito. En cuanto al uso de pirotecnia, se recomienda no permitir su uso a niñas y niños, evitar encenderla en espacios cerrados o cerca de material inflamable, privilegiando celebraciones seguras. Para las festividades que incluyen piñatas, se aconseja sujetarlas firmemente, delimitar el área de participación y fomentar dinámicas seguras. Se sugiere utilizar piñatas de cartón, evitar las de barro y no rellenarlas con objetos pesados ​​o puntiagudos que puedan provocar lesiones. En materia de vialidad, se deben extremar precauciones durante los traslados, especialmente en zonas con alta afluencia, eventos públicos o celebraciones vecinales. Se recomienda planear los viajes con anticipación, respetar señalamientos, mantener distancia entre vehículos y atender las indicaciones de las autoridades. Finalmente, la Coordinación invita a la población a mantenerse informada a través de fuentes oficiales ya seguir las recomendaciones de Protección Civil en sus municipios, así como llevar consigo los números de emergencia. No hay etiquetas asociadas a éste artículo.</v>
      </c>
      <c r="O104" s="15">
        <f>IFERROR(__xludf.DUMMYFUNCTION("""COMPUTED_VALUE"""),0.3945)</f>
        <v>0.3945</v>
      </c>
      <c r="P104" s="2"/>
      <c r="Q104" s="17">
        <f>IFERROR(__xludf.DUMMYFUNCTION("""COMPUTED_VALUE"""),8.0)</f>
        <v>8</v>
      </c>
      <c r="R104" s="2" t="str">
        <f>IFERROR(__xludf.DUMMYFUNCTION("""COMPUTED_VALUE"""),"High")</f>
        <v>High</v>
      </c>
      <c r="S104" s="17">
        <f>IFERROR(__xludf.DUMMYFUNCTION("""COMPUTED_VALUE"""),6.0)</f>
        <v>6</v>
      </c>
      <c r="T104" s="17">
        <f>IFERROR(__xludf.DUMMYFUNCTION("""COMPUTED_VALUE"""),0.0)</f>
        <v>0</v>
      </c>
      <c r="U104" s="14">
        <f>IFERROR(__xludf.DUMMYFUNCTION("""COMPUTED_VALUE"""),2.0)</f>
        <v>2</v>
      </c>
      <c r="V104" s="14">
        <v>2025.0</v>
      </c>
      <c r="W104" s="2" t="s">
        <v>1168</v>
      </c>
      <c r="X104" s="2" t="s">
        <v>1194</v>
      </c>
      <c r="Y104" s="13" t="s">
        <v>448</v>
      </c>
      <c r="Z104" s="14">
        <v>0.0</v>
      </c>
      <c r="AA104" s="14">
        <v>0.0</v>
      </c>
      <c r="AB104" s="14">
        <v>0.0</v>
      </c>
      <c r="AC104" s="14">
        <v>0.0</v>
      </c>
      <c r="AD104" s="2">
        <v>0.0</v>
      </c>
      <c r="AE104" s="2">
        <v>0.0</v>
      </c>
      <c r="AF104" s="2">
        <v>12.0</v>
      </c>
      <c r="AG104" s="2" t="s">
        <v>1202</v>
      </c>
      <c r="AH104" s="2">
        <v>0.0</v>
      </c>
    </row>
    <row r="105" ht="15.75" customHeight="1">
      <c r="A105" s="2" t="str">
        <f>IFERROR(__xludf.DUMMYFUNCTION("""COMPUTED_VALUE"""),"Diario Portal")</f>
        <v>Diario Portal</v>
      </c>
      <c r="B105" s="12" t="str">
        <f>IFERROR(__xludf.DUMMYFUNCTION("""COMPUTED_VALUE"""),"VINCULAN A PROCESO A SUJETO POR SU PROBABLE INTERVENCIÓN EN EL DELITO DE EXTORSIÓN EN AGRAVIO DE UN COMERCIANTE DE NOPALTEPEC")</f>
        <v>VINCULAN A PROCESO A SUJETO POR SU PROBABLE INTERVENCIÓN EN EL DELITO DE EXTORSIÓN EN AGRAVIO DE UN COMERCIANTE DE NOPALTEPEC</v>
      </c>
      <c r="C105" s="13" t="str">
        <f>IFERROR(__xludf.DUMMYFUNCTION("""COMPUTED_VALUE"""),"2025-12-20 12:42:04")</f>
        <v>2025-12-20 12:42:04</v>
      </c>
      <c r="D105" s="14">
        <f>IFERROR(__xludf.DUMMYFUNCTION("""COMPUTED_VALUE"""),4.0)</f>
        <v>4</v>
      </c>
      <c r="E105" s="15">
        <f>IFERROR(__xludf.DUMMYFUNCTION("""COMPUTED_VALUE"""),-0.4605)</f>
        <v>-0.4605</v>
      </c>
      <c r="F105" s="2" t="str">
        <f>IFERROR(__xludf.DUMMYFUNCTION("""COMPUTED_VALUE"""),"Negativo")</f>
        <v>Negativo</v>
      </c>
      <c r="G105" s="15">
        <f>IFERROR(__xludf.DUMMYFUNCTION("""COMPUTED_VALUE"""),0.4605)</f>
        <v>0.4605</v>
      </c>
      <c r="H105" s="2" t="str">
        <f>IFERROR(__xludf.DUMMYFUNCTION("""COMPUTED_VALUE"""),"Operativo policial o detención")</f>
        <v>Operativo policial o detención</v>
      </c>
      <c r="I105" s="2" t="str">
        <f>IFERROR(__xludf.DUMMYFUNCTION("""COMPUTED_VALUE"""),"N/A")</f>
        <v>N/A</v>
      </c>
      <c r="J105" s="2" t="str">
        <f>IFERROR(__xludf.DUMMYFUNCTION("""COMPUTED_VALUE"""),"Monitoreo general.")</f>
        <v>Monitoreo general.</v>
      </c>
      <c r="K105" s="2" t="str">
        <f>IFERROR(__xludf.DUMMYFUNCTION("""COMPUTED_VALUE"""),"Estado de México")</f>
        <v>Estado de México</v>
      </c>
      <c r="L105" s="2" t="str">
        <f>IFERROR(__xludf.DUMMYFUNCTION("""COMPUTED_VALUE"""),"Estado de México")</f>
        <v>Estado de México</v>
      </c>
      <c r="M105" s="16" t="str">
        <f>IFERROR(__xludf.DUMMYFUNCTION("""COMPUTED_VALUE"""),"https://diarioportal.com/seguridad-y-justicia/vinculan-a-proceso-a-sujeto-por-su-probable-intervencion-en-el-delito-de-extorsion-en-agravio-de-un-comerciante-de-nopaltepec")</f>
        <v>https://diarioportal.com/seguridad-y-justicia/vinculan-a-proceso-a-sujeto-por-su-probable-intervencion-en-el-delito-de-extorsion-en-agravio-de-un-comerciante-de-nopaltepec</v>
      </c>
      <c r="N105" s="2" t="str">
        <f>IFERROR(__xludf.DUMMYFUNCTION("""COMPUTED_VALUE"""),"Por las pruebas recabadas y presentadas por la Fiscalía General de Justicia del Estado de México (FGJEM), Gilberto “N”, alias “El Gato”, presunto integrante de un grupo delictivo con orígenes en Jalisco, fue vinculado a proceso por su probable intervenció"&amp;"n en el delito de extorsión. De acuerdo con los hechos, el 25 de septiembre de 2025, la víctima se encontraba en su domicilio, ubicado en la calle Cuauhtémoc, colonia Tlaxixilco, poblado de San Felipe Teotitlán, en el municipio de Nopaltepec, cuando recib"&amp;"ió mensajes intimidatorios en su teléfono celular y posteriormente un grupo de sujetos realizaron detonaciones de arma de fuego en contra de su domicilio y sus vehículos. El 15 de octubre del 2025 llegaron a su domicilio cuatro personas del sexo masculino"&amp;" con armas de fuego, a bordo de una camioneta de color blanco, entre ellos Gilberto “N”, de 40 años de edad, quien amenazó a la víctima con hacerle daño a él o a su familia en caso de no cubrir una cuota mensual de 50 mil pesos. La víctima les entregó una"&amp;" cantidad mínima; sin embargo, le dijeron que regresarían por la cantidad acordada, y así lo hicieron el 1 de diciembre de 2025 cuando un sujeto identificado como “El Gato” y otro individuo llegaron a bordo de una motocicleta de color verde. Al tener cono"&amp;"cimiento de los hechos, policías de investigación llevaron a cabo las indagatorias de campo y gabinete, que permitieron ubicar e identificar a Gilberto “N”, quien fue detenido e ingresado al Centro Penitenciario y de Reinserción Social de la zona. Al qued"&amp;"ar a disposición de la autoridad judicial, se autorizaron dos meses de plazo de cierre de investigación complementaria y se mantuvo como medida cautelar, la prisión preventiva; sin embargo, el detenido debe ser considerado inocente en tanto no se le dicte"&amp;" una sentencia de condena en su contra. La Fiscalía General de Justicia del Estado de México pone a disposición de la ciudadanía el correo electrónico cerotolerancia@fiscaliaedomex.gob.mx, el número telefónico 800 7028770, o bien, la aplicación FGJEdomex,"&amp;" la cual está disponible de manera gratuita para los teléfonos inteligentes de los sistemas iOS y Android, para que denuncie cualquier hecho delictivo. No hay etiquetas asociadas a éste artículo.")</f>
        <v>Por las pruebas recabadas y presentadas por la Fiscalía General de Justicia del Estado de México (FGJEM), Gilberto “N”, alias “El Gato”, presunto integrante de un grupo delictivo con orígenes en Jalisco, fue vinculado a proceso por su probable intervención en el delito de extorsión. De acuerdo con los hechos, el 25 de septiembre de 2025, la víctima se encontraba en su domicilio, ubicado en la calle Cuauhtémoc, colonia Tlaxixilco, poblado de San Felipe Teotitlán, en el municipio de Nopaltepec, cuando recibió mensajes intimidatorios en su teléfono celular y posteriormente un grupo de sujetos realizaron detonaciones de arma de fuego en contra de su domicilio y sus vehículos. El 15 de octubre del 2025 llegaron a su domicilio cuatro personas del sexo masculino con armas de fuego, a bordo de una camioneta de color blanco, entre ellos Gilberto “N”, de 40 años de edad, quien amenazó a la víctima con hacerle daño a él o a su familia en caso de no cubrir una cuota mensual de 50 mil pesos. La víctima les entregó una cantidad mínima; sin embargo, le dijeron que regresarían por la cantidad acordada, y así lo hicieron el 1 de diciembre de 2025 cuando un sujeto identificado como “El Gato” y otro individuo llegaron a bordo de una motocicleta de color verde. Al tener conocimiento de los hechos, policías de investigación llevaron a cabo las indagatorias de campo y gabinete, que permitieron ubicar e identificar a Gilberto “N”, quien fue detenido e ingresado al Centro Penitenciario y de Reinserción Social de la zona. Al quedar a disposición de la autoridad judicial, se autorizaron dos meses de plazo de cierre de investigación complementaria y se mantuvo como medida cautelar, la prisión preventiva; sin embargo, el detenido debe ser considerado inocente en tanto no se le dicte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05" s="15">
        <f>IFERROR(__xludf.DUMMYFUNCTION("""COMPUTED_VALUE"""),0.3202)</f>
        <v>0.3202</v>
      </c>
      <c r="P105" s="2"/>
      <c r="Q105" s="17">
        <f>IFERROR(__xludf.DUMMYFUNCTION("""COMPUTED_VALUE"""),5.0)</f>
        <v>5</v>
      </c>
      <c r="R105" s="2" t="str">
        <f>IFERROR(__xludf.DUMMYFUNCTION("""COMPUTED_VALUE"""),"Medium")</f>
        <v>Medium</v>
      </c>
      <c r="S105" s="17">
        <f>IFERROR(__xludf.DUMMYFUNCTION("""COMPUTED_VALUE"""),1.0)</f>
        <v>1</v>
      </c>
      <c r="T105" s="17">
        <f>IFERROR(__xludf.DUMMYFUNCTION("""COMPUTED_VALUE"""),0.0)</f>
        <v>0</v>
      </c>
      <c r="U105" s="14">
        <f>IFERROR(__xludf.DUMMYFUNCTION("""COMPUTED_VALUE"""),2.0)</f>
        <v>2</v>
      </c>
      <c r="V105" s="14">
        <v>2025.0</v>
      </c>
      <c r="W105" s="2" t="s">
        <v>1168</v>
      </c>
      <c r="X105" s="2" t="s">
        <v>1194</v>
      </c>
      <c r="Y105" s="13" t="s">
        <v>452</v>
      </c>
      <c r="Z105" s="14">
        <v>0.0</v>
      </c>
      <c r="AA105" s="14">
        <v>0.0</v>
      </c>
      <c r="AB105" s="14">
        <v>0.0</v>
      </c>
      <c r="AC105" s="14">
        <v>0.0</v>
      </c>
      <c r="AD105" s="2">
        <v>0.0</v>
      </c>
      <c r="AE105" s="2">
        <v>1.0</v>
      </c>
      <c r="AF105" s="2">
        <v>12.0</v>
      </c>
      <c r="AG105" s="2" t="s">
        <v>1202</v>
      </c>
      <c r="AH105" s="2">
        <v>0.0</v>
      </c>
    </row>
    <row r="106" ht="15.75" customHeight="1">
      <c r="A106" s="2" t="str">
        <f>IFERROR(__xludf.DUMMYFUNCTION("""COMPUTED_VALUE"""),"Diario Portal")</f>
        <v>Diario Portal</v>
      </c>
      <c r="B106" s="12" t="str">
        <f>IFERROR(__xludf.DUMMYFUNCTION("""COMPUTED_VALUE"""),"FISCALÍA EDOMÉX OBTIENE SENTENCIA DE CONDENA DE 20 AÑOS DE PRISIÓN EN CONTRA DE SUJETO POR ROBO DE VEHÍCULO CON VIOLENCIA")</f>
        <v>FISCALÍA EDOMÉX OBTIENE SENTENCIA DE CONDENA DE 20 AÑOS DE PRISIÓN EN CONTRA DE SUJETO POR ROBO DE VEHÍCULO CON VIOLENCIA</v>
      </c>
      <c r="C106" s="13" t="str">
        <f>IFERROR(__xludf.DUMMYFUNCTION("""COMPUTED_VALUE"""),"2025-12-20 12:36:34")</f>
        <v>2025-12-20 12:36:34</v>
      </c>
      <c r="D106" s="14">
        <f>IFERROR(__xludf.DUMMYFUNCTION("""COMPUTED_VALUE"""),4.0)</f>
        <v>4</v>
      </c>
      <c r="E106" s="15">
        <f>IFERROR(__xludf.DUMMYFUNCTION("""COMPUTED_VALUE"""),-0.5063)</f>
        <v>-0.5063</v>
      </c>
      <c r="F106" s="2" t="str">
        <f>IFERROR(__xludf.DUMMYFUNCTION("""COMPUTED_VALUE"""),"Negativo")</f>
        <v>Negativo</v>
      </c>
      <c r="G106" s="15">
        <f>IFERROR(__xludf.DUMMYFUNCTION("""COMPUTED_VALUE"""),0.5063)</f>
        <v>0.5063</v>
      </c>
      <c r="H106" s="2" t="str">
        <f>IFERROR(__xludf.DUMMYFUNCTION("""COMPUTED_VALUE"""),"Delito violento, robo o asalto")</f>
        <v>Delito violento, robo o asalto</v>
      </c>
      <c r="I106" s="2" t="str">
        <f>IFERROR(__xludf.DUMMYFUNCTION("""COMPUTED_VALUE"""),"N/A")</f>
        <v>N/A</v>
      </c>
      <c r="J106" s="2" t="str">
        <f>IFERROR(__xludf.DUMMYFUNCTION("""COMPUTED_VALUE"""),"Prevención Nocturna: Alerta de zona de riesgo.")</f>
        <v>Prevención Nocturna: Alerta de zona de riesgo.</v>
      </c>
      <c r="K106" s="2" t="str">
        <f>IFERROR(__xludf.DUMMYFUNCTION("""COMPUTED_VALUE"""),"Estado de México")</f>
        <v>Estado de México</v>
      </c>
      <c r="L106" s="2" t="str">
        <f>IFERROR(__xludf.DUMMYFUNCTION("""COMPUTED_VALUE"""),"Estado de México")</f>
        <v>Estado de México</v>
      </c>
      <c r="M106" s="16" t="str">
        <f>IFERROR(__xludf.DUMMYFUNCTION("""COMPUTED_VALUE"""),"https://diarioportal.com/seguridad-y-justicia/fiscalia-edomex-obtiene-sentencia-de-condena-de-20-anos-de-prision-en-contra-de-sujeto-por-robo-de-vehiculo-con-violencia")</f>
        <v>https://diarioportal.com/seguridad-y-justicia/fiscalia-edomex-obtiene-sentencia-de-condena-de-20-anos-de-prision-en-contra-de-sujeto-por-robo-de-vehiculo-con-violencia</v>
      </c>
      <c r="N106" s="2" t="str">
        <f>IFERROR(__xludf.DUMMYFUNCTION("""COMPUTED_VALUE"""),".La Fiscalía General de Justicia del Estado de México (FGJEM) obtuvo sentencia de condena de 20 años de prisión en contra de Marco Antonio García Pichardo por su intervención en el delito de robo de un vehículo con violencia. De acuerdo con las pesquisas "&amp;"iniciadas por hechos ocurridos el pasado 2 de enero de 2019, se pudo precisar que la víctima se encontraba a bordo de un vehículo de la marca Nissan en avenida Acueducto, en la colonia Ampliación, Santa María Tulpetlac, en el municipio de Ecatepec. En ese"&amp;" instante, el hoy sentenciado, Marco Antonio García Pichardo se acercó a la víctima y con un arma punzocortante la amenazó y luego la desapoderó de dinero en efectivo, así como de las llaves de dicha unidad. Sin embargo, al intentar darse a la fuga en el "&amp;"automóvil, se percató de la presencia de elementos de la Secretaría de Seguridad del Estado de México (SSEM) por lo que descendió del vehículo para correr sobre la avenida Cerritos. El imputado cayó al suelo boca abajo, por lo que los policías captores le"&amp;" ayudaron a reincorporarse y en ese momento la víctima se acercó hasta donde estaba detenido, reconociéndolo como la persona que momentos antes lo desapoderó del dinero y del vehículo con violencia. De inmediato fue ingresado al Centro Penitenciario y de "&amp;"Reinserción Social de la zona, a disposición de la autoridad judicial, quien, tras proceso legal le impuso una pena de 20 años de cárcel, y también le fijó una multa de 92 mil 432 pesos y la suspensión de sus derechos políticos y civiles, La Fiscalía Gene"&amp;"ral de Justicia del Estado de México pone a disposición de la ciudadanía el correo electrónico cerotolerancia@fiscaliaedomex.gob.mx, el número telefónico 800 7028770, o bien, la aplicación FGJEdomex, la cual está disponible de manera gratuita para los tel"&amp;"éfonos inteligentes de los sistemas iOS y Android, para que denuncie cualquier hecho delictivo. No hay etiquetas asociadas a éste artículo.")</f>
        <v>.La Fiscalía General de Justicia del Estado de México (FGJEM) obtuvo sentencia de condena de 20 años de prisión en contra de Marco Antonio García Pichardo por su intervención en el delito de robo de un vehículo con violencia. De acuerdo con las pesquisas iniciadas por hechos ocurridos el pasado 2 de enero de 2019, se pudo precisar que la víctima se encontraba a bordo de un vehículo de la marca Nissan en avenida Acueducto, en la colonia Ampliación, Santa María Tulpetlac, en el municipio de Ecatepec. En ese instante, el hoy sentenciado, Marco Antonio García Pichardo se acercó a la víctima y con un arma punzocortante la amenazó y luego la desapoderó de dinero en efectivo, así como de las llaves de dicha unidad. Sin embargo, al intentar darse a la fuga en el automóvil, se percató de la presencia de elementos de la Secretaría de Seguridad del Estado de México (SSEM) por lo que descendió del vehículo para correr sobre la avenida Cerritos. El imputado cayó al suelo boca abajo, por lo que los policías captores le ayudaron a reincorporarse y en ese momento la víctima se acercó hasta donde estaba detenido, reconociéndolo como la persona que momentos antes lo desapoderó del dinero y del vehículo con violencia. De inmediato fue ingresado al Centro Penitenciario y de Reinserción Social de la zona, a disposición de la autoridad judicial, quien, tras proceso legal le impuso una pena de 20 años de cárcel, y también le fijó una multa de 92 mil 432 pesos y la suspensión de sus derechos políticos y civiles,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06" s="15">
        <f>IFERROR(__xludf.DUMMYFUNCTION("""COMPUTED_VALUE"""),0.3971)</f>
        <v>0.3971</v>
      </c>
      <c r="P106" s="2"/>
      <c r="Q106" s="17">
        <f>IFERROR(__xludf.DUMMYFUNCTION("""COMPUTED_VALUE"""),8.0)</f>
        <v>8</v>
      </c>
      <c r="R106" s="2" t="str">
        <f>IFERROR(__xludf.DUMMYFUNCTION("""COMPUTED_VALUE"""),"High")</f>
        <v>High</v>
      </c>
      <c r="S106" s="17">
        <f>IFERROR(__xludf.DUMMYFUNCTION("""COMPUTED_VALUE"""),3.0)</f>
        <v>3</v>
      </c>
      <c r="T106" s="17">
        <f>IFERROR(__xludf.DUMMYFUNCTION("""COMPUTED_VALUE"""),0.0)</f>
        <v>0</v>
      </c>
      <c r="U106" s="14">
        <f>IFERROR(__xludf.DUMMYFUNCTION("""COMPUTED_VALUE"""),2.0)</f>
        <v>2</v>
      </c>
      <c r="V106" s="14">
        <v>2025.0</v>
      </c>
      <c r="W106" s="2" t="s">
        <v>1168</v>
      </c>
      <c r="X106" s="2" t="s">
        <v>1194</v>
      </c>
      <c r="Y106" s="13" t="s">
        <v>456</v>
      </c>
      <c r="Z106" s="14">
        <v>0.0</v>
      </c>
      <c r="AA106" s="14">
        <v>0.0</v>
      </c>
      <c r="AB106" s="14">
        <v>0.0</v>
      </c>
      <c r="AC106" s="14">
        <v>0.0</v>
      </c>
      <c r="AD106" s="2">
        <v>0.0</v>
      </c>
      <c r="AE106" s="2">
        <v>1.0</v>
      </c>
      <c r="AF106" s="2">
        <v>12.0</v>
      </c>
      <c r="AG106" s="2" t="s">
        <v>1202</v>
      </c>
      <c r="AH106" s="2">
        <v>0.0</v>
      </c>
    </row>
    <row r="107" ht="15.75" customHeight="1">
      <c r="A107" s="2" t="str">
        <f>IFERROR(__xludf.DUMMYFUNCTION("""COMPUTED_VALUE"""),"Diario Portal")</f>
        <v>Diario Portal</v>
      </c>
      <c r="B107" s="12" t="str">
        <f>IFERROR(__xludf.DUMMYFUNCTION("""COMPUTED_VALUE"""),"Gratifican a 264 servidoras judiciales por excelencia en desempeño")</f>
        <v>Gratifican a 264 servidoras judiciales por excelencia en desempeño</v>
      </c>
      <c r="C107" s="13" t="str">
        <f>IFERROR(__xludf.DUMMYFUNCTION("""COMPUTED_VALUE"""),"2025-12-18 19:16:05")</f>
        <v>2025-12-18 19:16:05</v>
      </c>
      <c r="D107" s="14">
        <f>IFERROR(__xludf.DUMMYFUNCTION("""COMPUTED_VALUE"""),1.0)</f>
        <v>1</v>
      </c>
      <c r="E107" s="15">
        <f>IFERROR(__xludf.DUMMYFUNCTION("""COMPUTED_VALUE"""),0.8952)</f>
        <v>0.8952</v>
      </c>
      <c r="F107" s="2" t="str">
        <f>IFERROR(__xludf.DUMMYFUNCTION("""COMPUTED_VALUE"""),"Positivo")</f>
        <v>Positivo</v>
      </c>
      <c r="G107" s="15">
        <f>IFERROR(__xludf.DUMMYFUNCTION("""COMPUTED_VALUE"""),0.8952)</f>
        <v>0.8952</v>
      </c>
      <c r="H107" s="2" t="str">
        <f>IFERROR(__xludf.DUMMYFUNCTION("""COMPUTED_VALUE"""),"Otros temas generales")</f>
        <v>Otros temas generales</v>
      </c>
      <c r="I107" s="2" t="str">
        <f>IFERROR(__xludf.DUMMYFUNCTION("""COMPUTED_VALUE"""),"N/A")</f>
        <v>N/A</v>
      </c>
      <c r="J107" s="2" t="str">
        <f>IFERROR(__xludf.DUMMYFUNCTION("""COMPUTED_VALUE"""),"Descartar / Baja prioridad.")</f>
        <v>Descartar / Baja prioridad.</v>
      </c>
      <c r="K107" s="2" t="str">
        <f>IFERROR(__xludf.DUMMYFUNCTION("""COMPUTED_VALUE"""),"Estado de México")</f>
        <v>Estado de México</v>
      </c>
      <c r="L107" s="2" t="str">
        <f>IFERROR(__xludf.DUMMYFUNCTION("""COMPUTED_VALUE"""),"Estado de México")</f>
        <v>Estado de México</v>
      </c>
      <c r="M107" s="16" t="str">
        <f>IFERROR(__xludf.DUMMYFUNCTION("""COMPUTED_VALUE"""),"https://diarioportal.com/seguridad-y-justicia/gratifican-a-264-servidoras-judiciales-por-excelencia-en-desempeno")</f>
        <v>https://diarioportal.com/seguridad-y-justicia/gratifican-a-264-servidoras-judiciales-por-excelencia-en-desempeno</v>
      </c>
      <c r="N107" s="2" t="str">
        <f>IFERROR(__xludf.DUMMYFUNCTION("""COMPUTED_VALUE"""),"“Reconocer el trabajo diario de las y los integrantes de la familia judicial, es un acto de justicia, motivo de alegría y fiesta porque ellas y ellos sin importar las adversidades mantienen este Poder Judicial como una gran institución”, expresó el magist"&amp;"rado Héctor Macedo García, presidente del Tribunal Superior de Justicia, al entregar estímulos y recompensas a 264 servidoras y servidores públicos. En el Aula Magna ‘Mgdo. Lic. Gustavo A. Barrera Graf’ de la Escuela Judicial, donde se reconocieron las ca"&amp;"tegorías de: permanencia en el servicio, desempeño destacado, desempeño a servidores públicos operativos, técnicos o profesionales, atención al público, decanato y pin de plata, Macedo García calificó el evento como un acto de justicia para quienes, sin i"&amp;"mportar las situaciones adversas entregan lo mejor de sí cada día, enalteciendo a la institución. Refrendó su compromiso con las y los trabajadores, subrayando que junto a las y los integrantes del Órgano de Administración Judicial continuarán dignificand"&amp;"o su servicio. “El Estado de México es referente nacional en la implementación de una de las reformas de mayor trascendencia que reconfigura la estructura funcional del Poder Judicial, y la forma en que se legitiman a las personas juzgadoras; eso fue y ha"&amp;" sido posible gracias al profesionalismo, entereza y al amor institucional que nos identifica a los más de 6 mil 500 servidoras y servidores que conformamos la familia judicial y que son la base que sostiene la impartición de justicia en la entidad” desta"&amp;"có el magistrado Fernando Díaz Juárez, Presidente del Órgano de Administración Judicial. El magistrado refirió que hoy se celebra el activo más importante que tiene el Poder Judicial, su capital humano “ustedes son quienes hacen posible que en la entidad "&amp;"más importante del pacto federal, la impartición de justicia, sea un referente a nivel nacional” resaltó. “Recibir un estímulo o una recompensa por nuestro trabajo, no es únicamente un motivo de orgullo personal, es un recordatorio del valor que tiene el "&amp;"servicio público ejercido con honestidad, responsabilidad y vocación, cada reconocimiento que hoy se entrega, representa horas de esfuerzo, decisiones tomadas con cuidado, compromiso cotidiano y una profunda convicción de servir a la justicia y a la socie"&amp;"dad mexiquense”, manifestó en nombre de las y los galardonados, la Jueza Mercedes Nájera Jaimes, adscrita al Juzgado de Control Especializado en Cateos y Órdenes de Aprehensión en Línea. Destacó que el reconocimiento que hoy recibe pertenece también a las"&amp;" y los compañeros con quienes se comparten largas jornadas, retos complejos y la responsabilidad de cumplir con la ley y la ciudadanía. Participaron también los Magistrados y Magistradas integrantes del Órgano de Administración Judicial, Elizabeth Rodrígu"&amp;"ez Colín, María Alejandra Almazán Barrera, Pablo Espinosa Márquez y Hernán Mejía López; así como el Magistrado José Luis Embris Vásquez, Director General de la Escuela Judicial. No hay etiquetas asociadas a éste artículo.")</f>
        <v>“Reconocer el trabajo diario de las y los integrantes de la familia judicial, es un acto de justicia, motivo de alegría y fiesta porque ellas y ellos sin importar las adversidades mantienen este Poder Judicial como una gran institución”, expresó el magistrado Héctor Macedo García, presidente del Tribunal Superior de Justicia, al entregar estímulos y recompensas a 264 servidoras y servidores públicos. En el Aula Magna ‘Mgdo. Lic. Gustavo A. Barrera Graf’ de la Escuela Judicial, donde se reconocieron las categorías de: permanencia en el servicio, desempeño destacado, desempeño a servidores públicos operativos, técnicos o profesionales, atención al público, decanato y pin de plata, Macedo García calificó el evento como un acto de justicia para quienes, sin importar las situaciones adversas entregan lo mejor de sí cada día, enalteciendo a la institución. Refrendó su compromiso con las y los trabajadores, subrayando que junto a las y los integrantes del Órgano de Administración Judicial continuarán dignificando su servicio. “El Estado de México es referente nacional en la implementación de una de las reformas de mayor trascendencia que reconfigura la estructura funcional del Poder Judicial, y la forma en que se legitiman a las personas juzgadoras; eso fue y ha sido posible gracias al profesionalismo, entereza y al amor institucional que nos identifica a los más de 6 mil 500 servidoras y servidores que conformamos la familia judicial y que son la base que sostiene la impartición de justicia en la entidad” destacó el magistrado Fernando Díaz Juárez, Presidente del Órgano de Administración Judicial. El magistrado refirió que hoy se celebra el activo más importante que tiene el Poder Judicial, su capital humano “ustedes son quienes hacen posible que en la entidad más importante del pacto federal, la impartición de justicia, sea un referente a nivel nacional” resaltó. “Recibir un estímulo o una recompensa por nuestro trabajo, no es únicamente un motivo de orgullo personal, es un recordatorio del valor que tiene el servicio público ejercido con honestidad, responsabilidad y vocación, cada reconocimiento que hoy se entrega, representa horas de esfuerzo, decisiones tomadas con cuidado, compromiso cotidiano y una profunda convicción de servir a la justicia y a la sociedad mexiquense”, manifestó en nombre de las y los galardonados, la Jueza Mercedes Nájera Jaimes, adscrita al Juzgado de Control Especializado en Cateos y Órdenes de Aprehensión en Línea. Destacó que el reconocimiento que hoy recibe pertenece también a las y los compañeros con quienes se comparten largas jornadas, retos complejos y la responsabilidad de cumplir con la ley y la ciudadanía. Participaron también los Magistrados y Magistradas integrantes del Órgano de Administración Judicial, Elizabeth Rodríguez Colín, María Alejandra Almazán Barrera, Pablo Espinosa Márquez y Hernán Mejía López; así como el Magistrado José Luis Embris Vásquez, Director General de la Escuela Judicial. No hay etiquetas asociadas a éste artículo.</v>
      </c>
      <c r="O107" s="15">
        <f>IFERROR(__xludf.DUMMYFUNCTION("""COMPUTED_VALUE"""),0.4476)</f>
        <v>0.4476</v>
      </c>
      <c r="P107" s="2"/>
      <c r="Q107" s="17">
        <f>IFERROR(__xludf.DUMMYFUNCTION("""COMPUTED_VALUE"""),3.0)</f>
        <v>3</v>
      </c>
      <c r="R107" s="2" t="str">
        <f>IFERROR(__xludf.DUMMYFUNCTION("""COMPUTED_VALUE"""),"Low")</f>
        <v>Low</v>
      </c>
      <c r="S107" s="17">
        <f>IFERROR(__xludf.DUMMYFUNCTION("""COMPUTED_VALUE"""),0.0)</f>
        <v>0</v>
      </c>
      <c r="T107" s="17">
        <f>IFERROR(__xludf.DUMMYFUNCTION("""COMPUTED_VALUE"""),0.0)</f>
        <v>0</v>
      </c>
      <c r="U107" s="14">
        <f>IFERROR(__xludf.DUMMYFUNCTION("""COMPUTED_VALUE"""),2.0)</f>
        <v>2</v>
      </c>
      <c r="V107" s="14">
        <v>2025.0</v>
      </c>
      <c r="W107" s="2" t="s">
        <v>1168</v>
      </c>
      <c r="X107" s="2" t="s">
        <v>1201</v>
      </c>
      <c r="Y107" s="13" t="s">
        <v>460</v>
      </c>
      <c r="Z107" s="14">
        <v>0.0</v>
      </c>
      <c r="AA107" s="14">
        <v>0.0</v>
      </c>
      <c r="AB107" s="14">
        <v>0.0</v>
      </c>
      <c r="AC107" s="14">
        <v>0.0</v>
      </c>
      <c r="AD107" s="2">
        <v>0.0</v>
      </c>
      <c r="AE107" s="2">
        <v>0.0</v>
      </c>
      <c r="AF107" s="2">
        <v>12.0</v>
      </c>
      <c r="AG107" s="2" t="s">
        <v>1202</v>
      </c>
      <c r="AH107" s="2">
        <v>0.0</v>
      </c>
    </row>
    <row r="108" ht="15.75" customHeight="1">
      <c r="A108" s="2" t="str">
        <f>IFERROR(__xludf.DUMMYFUNCTION("""COMPUTED_VALUE"""),"Diario Portal")</f>
        <v>Diario Portal</v>
      </c>
      <c r="B108" s="12" t="str">
        <f>IFERROR(__xludf.DUMMYFUNCTION("""COMPUTED_VALUE"""),"Aprehenden a 3 sujetos que habían secuestrado a una joven, la retuvieron en una caja")</f>
        <v>Aprehenden a 3 sujetos que habían secuestrado a una joven, la retuvieron en una caja</v>
      </c>
      <c r="C108" s="13" t="str">
        <f>IFERROR(__xludf.DUMMYFUNCTION("""COMPUTED_VALUE"""),"2025-12-17 16:51:59")</f>
        <v>2025-12-17 16:51:59</v>
      </c>
      <c r="D108" s="14">
        <f>IFERROR(__xludf.DUMMYFUNCTION("""COMPUTED_VALUE"""),2.0)</f>
        <v>2</v>
      </c>
      <c r="E108" s="15">
        <f>IFERROR(__xludf.DUMMYFUNCTION("""COMPUTED_VALUE"""),-0.5139)</f>
        <v>-0.5139</v>
      </c>
      <c r="F108" s="2" t="str">
        <f>IFERROR(__xludf.DUMMYFUNCTION("""COMPUTED_VALUE"""),"Negativo")</f>
        <v>Negativo</v>
      </c>
      <c r="G108" s="15">
        <f>IFERROR(__xludf.DUMMYFUNCTION("""COMPUTED_VALUE"""),0.5139)</f>
        <v>0.5139</v>
      </c>
      <c r="H108" s="2" t="str">
        <f>IFERROR(__xludf.DUMMYFUNCTION("""COMPUTED_VALUE"""),"Operativo policial o detención")</f>
        <v>Operativo policial o detención</v>
      </c>
      <c r="I108" s="2" t="str">
        <f>IFERROR(__xludf.DUMMYFUNCTION("""COMPUTED_VALUE"""),"N/A")</f>
        <v>N/A</v>
      </c>
      <c r="J108" s="2" t="str">
        <f>IFERROR(__xludf.DUMMYFUNCTION("""COMPUTED_VALUE"""),"Monitoreo general.")</f>
        <v>Monitoreo general.</v>
      </c>
      <c r="K108" s="2" t="str">
        <f>IFERROR(__xludf.DUMMYFUNCTION("""COMPUTED_VALUE"""),"Estado de México")</f>
        <v>Estado de México</v>
      </c>
      <c r="L108" s="2" t="str">
        <f>IFERROR(__xludf.DUMMYFUNCTION("""COMPUTED_VALUE"""),"Estado de México")</f>
        <v>Estado de México</v>
      </c>
      <c r="M108" s="16" t="str">
        <f>IFERROR(__xludf.DUMMYFUNCTION("""COMPUTED_VALUE"""),"https://diarioportal.com/seguridad-y-justicia/aprehenden-a-3-sujetos-que-habian-secuestrado-a-una-joven-la-retuvieron-en-una-caja")</f>
        <v>https://diarioportal.com/seguridad-y-justicia/aprehenden-a-3-sujetos-que-habian-secuestrado-a-una-joven-la-retuvieron-en-una-caja</v>
      </c>
      <c r="N108" s="2" t="str">
        <f>IFERROR(__xludf.DUMMYFUNCTION("""COMPUTED_VALUE"""),"Tres sujetos identificados como César Alberto ‘N’, Martín Gerardo ‘N’ y Edgar Eduardo ‘N’ por su probable participación en el delito de privación de la libertad de menores, en agravio de una adolescente, quien había sido reportada como desaparecida en el "&amp;"municipio de Tecámac. De acuerdo a la indagatoria iniciada por estos hechos, el pasado 28 de noviembre del año 2025, la víctima salió de su escuela para dirigirse a un domicilio ubicado en la colonia Ex Hacienda de Paula en el municipio de Temascalapa, el"&amp;" cual era habitado por su pareja sentimental, al no tener conocimiento de su paradero, la madre acudió a la Fiscalía para denunciar la desaparición de su hija por lo que se inició la investigación y los protocolos para su búsqueda. Actos de investigación "&amp;"permitieron ubicar el domicilio en donde podría encontrarse la víctima, por lo que el Agente del Ministerio Público solicitó y obtuvo de una Autoridad Judicial la orden de cateo correspondiente, misma que fue cumplimentada el pasado diez de diciembre, fec"&amp;"ha en que elementos de la Fiscalía estatal, de la secretaría estatal y policía municipal se constituyeron en el inmueble ubicado en el municipio de Temascalapa como parte de las acciones de búsqueda de la adolescente. En el lugar se encontraban César Albe"&amp;"rto ‘N’, Martín Gerardo ‘N’ y Edgar Eduardo ‘N’, en tanto que la adolescente fue localizada dentro de una caja de madera pintada parcialmente de color negro constituida con dos bocinas tipo bafle. Por estos hechos, el Agente del Ministerio Público solicit"&amp;"ó ante la Autoridad Judicial la orden de aprehensión correspondiente, misma que una vez obtenida, fue cumplimentada por elementos de la Fiscalía y de la Secretaría de Seguridad Del Estado de México (SSEM). La víctima fue trasladada al Centro de Justicia d"&amp;"e la zona para ser entregada a sus familiares, en tanto que los detenidos fueron ingresados al Centro Penitenciario y de Reinserción Social de Otumba, a disposición de la Autoridad Judicial, quien determinará su situación jurídica. No hay etiquetas asocia"&amp;"das a éste artículo.")</f>
        <v>Tres sujetos identificados como César Alberto ‘N’, Martín Gerardo ‘N’ y Edgar Eduardo ‘N’ por su probable participación en el delito de privación de la libertad de menores, en agravio de una adolescente, quien había sido reportada como desaparecida en el municipio de Tecámac. De acuerdo a la indagatoria iniciada por estos hechos, el pasado 28 de noviembre del año 2025, la víctima salió de su escuela para dirigirse a un domicilio ubicado en la colonia Ex Hacienda de Paula en el municipio de Temascalapa, el cual era habitado por su pareja sentimental, al no tener conocimiento de su paradero, la madre acudió a la Fiscalía para denunciar la desaparición de su hija por lo que se inició la investigación y los protocolos para su búsqueda. Actos de investigación permitieron ubicar el domicilio en donde podría encontrarse la víctima, por lo que el Agente del Ministerio Público solicitó y obtuvo de una Autoridad Judicial la orden de cateo correspondiente, misma que fue cumplimentada el pasado diez de diciembre, fecha en que elementos de la Fiscalía estatal, de la secretaría estatal y policía municipal se constituyeron en el inmueble ubicado en el municipio de Temascalapa como parte de las acciones de búsqueda de la adolescente. En el lugar se encontraban César Alberto ‘N’, Martín Gerardo ‘N’ y Edgar Eduardo ‘N’, en tanto que la adolescente fue localizada dentro de una caja de madera pintada parcialmente de color negro constituida con dos bocinas tipo bafle. Por estos hechos, el Agente del Ministerio Público solicitó ante la Autoridad Judicial la orden de aprehensión correspondiente, misma que una vez obtenida, fue cumplimentada por elementos de la Fiscalía y de la Secretaría de Seguridad Del Estado de México (SSEM). La víctima fue trasladada al Centro de Justicia de la zona para ser entregada a sus familiares, en tanto que los detenidos fueron ingresados al Centro Penitenciario y de Reinserción Social de Otumba, a disposición de la Autoridad Judicial, quien determinará su situación jurídica. No hay etiquetas asociadas a éste artículo.</v>
      </c>
      <c r="O108" s="15">
        <f>IFERROR(__xludf.DUMMYFUNCTION("""COMPUTED_VALUE"""),0.6514)</f>
        <v>0.6514</v>
      </c>
      <c r="P108" s="2"/>
      <c r="Q108" s="17">
        <f>IFERROR(__xludf.DUMMYFUNCTION("""COMPUTED_VALUE"""),3.0)</f>
        <v>3</v>
      </c>
      <c r="R108" s="2" t="str">
        <f>IFERROR(__xludf.DUMMYFUNCTION("""COMPUTED_VALUE"""),"Medium")</f>
        <v>Medium</v>
      </c>
      <c r="S108" s="17">
        <f>IFERROR(__xludf.DUMMYFUNCTION("""COMPUTED_VALUE"""),3.0)</f>
        <v>3</v>
      </c>
      <c r="T108" s="17">
        <f>IFERROR(__xludf.DUMMYFUNCTION("""COMPUTED_VALUE"""),0.0)</f>
        <v>0</v>
      </c>
      <c r="U108" s="14">
        <f>IFERROR(__xludf.DUMMYFUNCTION("""COMPUTED_VALUE"""),2.0)</f>
        <v>2</v>
      </c>
      <c r="V108" s="14">
        <v>2025.0</v>
      </c>
      <c r="W108" s="2" t="s">
        <v>1168</v>
      </c>
      <c r="X108" s="2" t="s">
        <v>1203</v>
      </c>
      <c r="Y108" s="13" t="s">
        <v>464</v>
      </c>
      <c r="Z108" s="14">
        <v>0.0</v>
      </c>
      <c r="AA108" s="14">
        <v>0.0</v>
      </c>
      <c r="AB108" s="14">
        <v>0.0</v>
      </c>
      <c r="AC108" s="14">
        <v>0.0</v>
      </c>
      <c r="AD108" s="2">
        <v>0.0</v>
      </c>
      <c r="AE108" s="2">
        <v>0.0</v>
      </c>
      <c r="AF108" s="2">
        <v>12.0</v>
      </c>
      <c r="AG108" s="2" t="s">
        <v>1202</v>
      </c>
      <c r="AH108" s="2">
        <v>0.0</v>
      </c>
    </row>
    <row r="109" ht="15.75" customHeight="1">
      <c r="A109" s="2" t="str">
        <f>IFERROR(__xludf.DUMMYFUNCTION("""COMPUTED_VALUE"""),"Diario Portal")</f>
        <v>Diario Portal</v>
      </c>
      <c r="B109" s="12" t="str">
        <f>IFERROR(__xludf.DUMMYFUNCTION("""COMPUTED_VALUE"""),"Se suman 996 nuevos elementos a labor de seguridad en Edomex")</f>
        <v>Se suman 996 nuevos elementos a labor de seguridad en Edomex</v>
      </c>
      <c r="C109" s="13" t="str">
        <f>IFERROR(__xludf.DUMMYFUNCTION("""COMPUTED_VALUE"""),"2025-12-17 16:51:08")</f>
        <v>2025-12-17 16:51:08</v>
      </c>
      <c r="D109" s="14">
        <f>IFERROR(__xludf.DUMMYFUNCTION("""COMPUTED_VALUE"""),2.0)</f>
        <v>2</v>
      </c>
      <c r="E109" s="15">
        <f>IFERROR(__xludf.DUMMYFUNCTION("""COMPUTED_VALUE"""),0.6265)</f>
        <v>0.6265</v>
      </c>
      <c r="F109" s="2" t="str">
        <f>IFERROR(__xludf.DUMMYFUNCTION("""COMPUTED_VALUE"""),"Positivo")</f>
        <v>Positivo</v>
      </c>
      <c r="G109" s="15">
        <f>IFERROR(__xludf.DUMMYFUNCTION("""COMPUTED_VALUE"""),0.6265)</f>
        <v>0.6265</v>
      </c>
      <c r="H109" s="2" t="str">
        <f>IFERROR(__xludf.DUMMYFUNCTION("""COMPUTED_VALUE"""),"Operativo policial o detención")</f>
        <v>Operativo policial o detención</v>
      </c>
      <c r="I109" s="2" t="str">
        <f>IFERROR(__xludf.DUMMYFUNCTION("""COMPUTED_VALUE"""),"N/A")</f>
        <v>N/A</v>
      </c>
      <c r="J109" s="2" t="str">
        <f>IFERROR(__xludf.DUMMYFUNCTION("""COMPUTED_VALUE"""),"Monitoreo general.")</f>
        <v>Monitoreo general.</v>
      </c>
      <c r="K109" s="2" t="str">
        <f>IFERROR(__xludf.DUMMYFUNCTION("""COMPUTED_VALUE"""),"Estado de México")</f>
        <v>Estado de México</v>
      </c>
      <c r="L109" s="2" t="str">
        <f>IFERROR(__xludf.DUMMYFUNCTION("""COMPUTED_VALUE"""),"Estado de México")</f>
        <v>Estado de México</v>
      </c>
      <c r="M109" s="16" t="str">
        <f>IFERROR(__xludf.DUMMYFUNCTION("""COMPUTED_VALUE"""),"https://diarioportal.com/seguridad-y-justicia/se-suman-996-nuevos-elementos-a-labor-de-seguridad-en-edomex")</f>
        <v>https://diarioportal.com/seguridad-y-justicia/se-suman-996-nuevos-elementos-a-labor-de-seguridad-en-edomex</v>
      </c>
      <c r="N109" s="2" t="str">
        <f>IFERROR(__xludf.DUMMYFUNCTION("""COMPUTED_VALUE"""),"El gobierno del Estado de México concluyó la formación de 996 nuevos elementos de Policía de Proximidad Estatal, Municipal y Custodios Penitenciarios, quienes se suman de manera directa a las labores de seguridad y atención ciudadana en distintos municipi"&amp;"os de la entidad. “Quienes forman parte de esta generación tendrán una tarea muy relevante, pues estarán en zonas estratégicas para apoyar labores de prevención, mejorar la convivencia y ofrecer una respuesta más ágil ante situaciones de riesgo”, expresó "&amp;"la gobernadora Delfina Gómez Álvarez. Durante la ceremonia de clausura de cursos, impartidos por la Universidad Mexiquense de Seguridad, la Mandataria estatal señaló que la incorporación de estos elementos forma parte de la estrategia implementada por su "&amp;"administración, para dar mayor tranquilidad a los y las mexiquenses. Además, reconoció el acompañamiento del gobierno de México y el interés de la Presidenta Claudia Sheinbaum. “Ella me ha expresado personalmente su respeto y reconocimiento hacia la labor"&amp;" que se está realizando en el Estado de México para garantizar la tranquilidad y construir la paz que tanto anhelan las familias mexiquenses”, afirmó la mandataria mexiquense. La formación de los nuevos elementos incluye disciplina, conocimientos técnicos"&amp;", habilidades operativas y valores éticos, además de actividades complementarias como foros internacionales con especialistas en seguridad y torneos tácticos y deportivos. Del total de egresados, 501 corresponden a Policía de Proximidad Estatal, 276 a Pol"&amp;"icía de Proximidad Municipal y 219 a Policías Custodios Penitenciarios, quienes se integran a los trabajos de seguridad en beneficio de casi 18 millones de habitantes del Estado de México. Acompañada de Horacio Duarte Olivares, secretario General de Gobie"&amp;"rno, la Gobernadora agradeció a las familias de las y los cadetes por su confianza y destacó que el gobierno del Estado de México mantiene inversiones en equipamiento, patrullas y mejores condiciones laborales para quienes integran los cuerpos de segurida"&amp;"d. A esta Clausura de Cursos asistieron Cristóbal Castañeda Camarillo, Secretario de Seguridad; Laura González Hernández, Secretaria de Desarrollo Económico;  José Francisco Vázquez Rodríguez, Presidente de la Junta de Coordinación Política de la LXII Leg"&amp;"islatura local; así como representantes de las Secretaría de la Defensa, Guardia Nacional, del Centro Nacional de Inteligencia y familiares de las y los graduados. No hay etiquetas asociadas a éste artículo.")</f>
        <v>El gobierno del Estado de México concluyó la formación de 996 nuevos elementos de Policía de Proximidad Estatal, Municipal y Custodios Penitenciarios, quienes se suman de manera directa a las labores de seguridad y atención ciudadana en distintos municipios de la entidad. “Quienes forman parte de esta generación tendrán una tarea muy relevante, pues estarán en zonas estratégicas para apoyar labores de prevención, mejorar la convivencia y ofrecer una respuesta más ágil ante situaciones de riesgo”, expresó la gobernadora Delfina Gómez Álvarez. Durante la ceremonia de clausura de cursos, impartidos por la Universidad Mexiquense de Seguridad, la Mandataria estatal señaló que la incorporación de estos elementos forma parte de la estrategia implementada por su administración, para dar mayor tranquilidad a los y las mexiquenses. Además, reconoció el acompañamiento del gobierno de México y el interés de la Presidenta Claudia Sheinbaum. “Ella me ha expresado personalmente su respeto y reconocimiento hacia la labor que se está realizando en el Estado de México para garantizar la tranquilidad y construir la paz que tanto anhelan las familias mexiquenses”, afirmó la mandataria mexiquense. La formación de los nuevos elementos incluye disciplina, conocimientos técnicos, habilidades operativas y valores éticos, además de actividades complementarias como foros internacionales con especialistas en seguridad y torneos tácticos y deportivos. Del total de egresados, 501 corresponden a Policía de Proximidad Estatal, 276 a Policía de Proximidad Municipal y 219 a Policías Custodios Penitenciarios, quienes se integran a los trabajos de seguridad en beneficio de casi 18 millones de habitantes del Estado de México. Acompañada de Horacio Duarte Olivares, secretario General de Gobierno, la Gobernadora agradeció a las familias de las y los cadetes por su confianza y destacó que el gobierno del Estado de México mantiene inversiones en equipamiento, patrullas y mejores condiciones laborales para quienes integran los cuerpos de seguridad. A esta Clausura de Cursos asistieron Cristóbal Castañeda Camarillo, Secretario de Seguridad; Laura González Hernández, Secretaria de Desarrollo Económico;  José Francisco Vázquez Rodríguez, Presidente de la Junta de Coordinación Política de la LXII Legislatura local; así como representantes de las Secretaría de la Defensa, Guardia Nacional, del Centro Nacional de Inteligencia y familiares de las y los graduados. No hay etiquetas asociadas a éste artículo.</v>
      </c>
      <c r="O109" s="15">
        <f>IFERROR(__xludf.DUMMYFUNCTION("""COMPUTED_VALUE"""),0.5795)</f>
        <v>0.5795</v>
      </c>
      <c r="P109" s="2"/>
      <c r="Q109" s="17">
        <f>IFERROR(__xludf.DUMMYFUNCTION("""COMPUTED_VALUE"""),8.0)</f>
        <v>8</v>
      </c>
      <c r="R109" s="2" t="str">
        <f>IFERROR(__xludf.DUMMYFUNCTION("""COMPUTED_VALUE"""),"High")</f>
        <v>High</v>
      </c>
      <c r="S109" s="17">
        <f>IFERROR(__xludf.DUMMYFUNCTION("""COMPUTED_VALUE"""),3.0)</f>
        <v>3</v>
      </c>
      <c r="T109" s="17">
        <f>IFERROR(__xludf.DUMMYFUNCTION("""COMPUTED_VALUE"""),0.0)</f>
        <v>0</v>
      </c>
      <c r="U109" s="14">
        <f>IFERROR(__xludf.DUMMYFUNCTION("""COMPUTED_VALUE"""),2.0)</f>
        <v>2</v>
      </c>
      <c r="V109" s="14">
        <v>2025.0</v>
      </c>
      <c r="W109" s="2" t="s">
        <v>1168</v>
      </c>
      <c r="X109" s="2" t="s">
        <v>1203</v>
      </c>
      <c r="Y109" s="13" t="s">
        <v>468</v>
      </c>
      <c r="Z109" s="14">
        <v>0.0</v>
      </c>
      <c r="AA109" s="14">
        <v>0.0</v>
      </c>
      <c r="AB109" s="14">
        <v>0.0</v>
      </c>
      <c r="AC109" s="14">
        <v>0.0</v>
      </c>
      <c r="AD109" s="2">
        <v>0.0</v>
      </c>
      <c r="AE109" s="2">
        <v>0.0</v>
      </c>
      <c r="AF109" s="2">
        <v>12.0</v>
      </c>
      <c r="AG109" s="2" t="s">
        <v>1202</v>
      </c>
      <c r="AH109" s="2">
        <v>0.0</v>
      </c>
    </row>
    <row r="110" ht="15.75" customHeight="1">
      <c r="A110" s="2" t="str">
        <f>IFERROR(__xludf.DUMMYFUNCTION("""COMPUTED_VALUE"""),"Diario Portal")</f>
        <v>Diario Portal</v>
      </c>
      <c r="B110" s="12" t="str">
        <f>IFERROR(__xludf.DUMMYFUNCTION("""COMPUTED_VALUE"""),"Se registran 32% menos homicidios en Edomex durante 2025")</f>
        <v>Se registran 32% menos homicidios en Edomex durante 2025</v>
      </c>
      <c r="C110" s="13" t="str">
        <f>IFERROR(__xludf.DUMMYFUNCTION("""COMPUTED_VALUE"""),"2025-12-17 16:50:01")</f>
        <v>2025-12-17 16:50:01</v>
      </c>
      <c r="D110" s="14">
        <f>IFERROR(__xludf.DUMMYFUNCTION("""COMPUTED_VALUE"""),4.0)</f>
        <v>4</v>
      </c>
      <c r="E110" s="15">
        <f>IFERROR(__xludf.DUMMYFUNCTION("""COMPUTED_VALUE"""),0.0)</f>
        <v>0</v>
      </c>
      <c r="F110" s="2" t="str">
        <f>IFERROR(__xludf.DUMMYFUNCTION("""COMPUTED_VALUE"""),"Neutral")</f>
        <v>Neutral</v>
      </c>
      <c r="G110" s="15">
        <f>IFERROR(__xludf.DUMMYFUNCTION("""COMPUTED_VALUE"""),0.5493)</f>
        <v>0.5493</v>
      </c>
      <c r="H110" s="2" t="str">
        <f>IFERROR(__xludf.DUMMYFUNCTION("""COMPUTED_VALUE"""),"Delito violento, robo o asalto")</f>
        <v>Delito violento, robo o asalto</v>
      </c>
      <c r="I110" s="2" t="str">
        <f>IFERROR(__xludf.DUMMYFUNCTION("""COMPUTED_VALUE"""),"homicidio")</f>
        <v>homicidio</v>
      </c>
      <c r="J110" s="2" t="str">
        <f>IFERROR(__xludf.DUMMYFUNCTION("""COMPUTED_VALUE"""),"Prevención PAX: Contactos de confianza.")</f>
        <v>Prevención PAX: Contactos de confianza.</v>
      </c>
      <c r="K110" s="2" t="str">
        <f>IFERROR(__xludf.DUMMYFUNCTION("""COMPUTED_VALUE"""),"Estado de México")</f>
        <v>Estado de México</v>
      </c>
      <c r="L110" s="2" t="str">
        <f>IFERROR(__xludf.DUMMYFUNCTION("""COMPUTED_VALUE"""),"Estado de México")</f>
        <v>Estado de México</v>
      </c>
      <c r="M110" s="16" t="str">
        <f>IFERROR(__xludf.DUMMYFUNCTION("""COMPUTED_VALUE"""),"https://diarioportal.com/seguridad-y-justicia/se-registran-32-menos-homicidios-en-edomex-durante-2025")</f>
        <v>https://diarioportal.com/seguridad-y-justicia/se-registran-32-menos-homicidios-en-edomex-durante-2025</v>
      </c>
      <c r="N110" s="2" t="str">
        <f>IFERROR(__xludf.DUMMYFUNCTION("""COMPUTED_VALUE"""),"La gobernadora Delfina Gómez Álvarez destacó que la estrategia de seguridad y el trabajo conjunto entre los tres órdenes de gobierno han permitido que el Estado de México registre una reducción del 32% en homicidios dolosos, del 01 enero al 16 de diciembr"&amp;"e de 2025, en relación con el mismo periodo del año pasado. Esto representa 707 víctimas de homicidios menos, lo que equivaldría a que no haya homicidios por siete meses. “Hoy, la Mesa de Paz se realizó en el #C5, ubicado en Toluca. Durante la reunión, la"&amp;" Fiscalía General de Justicia del Estado de México destacó que el delito de homicidio doloso registró una disminución de 32.36 % en lo que va del año, en comparación a 2024”, señaló la mandataria mexiquense en redes sociales. De acuerdo con el reporte de "&amp;"la Fiscalía General de Justicia del Estado de México (FGJEM), durante la Mesa de Paz, presidida por la gobernadora Delfina Gómez, el número de víctimas de homicidio doloso pasó de 2 mil 185 en el periodo referido de 2024, a mil 478 en lo que va de este añ"&amp;"o. El número de eventos también disminuyó (32.36 por ciento), al pasar de mil 899 a mil 273, en el periodo referido. Además, se señaló que noviembre fue el mes más bajo, con 96 casos; la primera vez que fueron menos de 100 desde que la FGJEM tiene registr"&amp;"os. “Cada día, las autoridades de los tres órdenes de gobierno trabajamos para coordinar estrategias y acciones por la seguridad de la población de los 125 municipios”, resaltó la gobernadora Delfina Gómez. A la sesión 236 de la Mesa de Paz, asistieron Ho"&amp;"racio Duarte Olivares, Secretario General de Gobierno; Héctor Macedo García, Presidente del Tribunal Superior de Justicia del Estado de México; Cristóbal Castañeda Camarillo, Secretario de Seguridad; Maricela López Urbina, Secretaria Técnica; José Luis Ce"&amp;"rvantes Martínez, Fiscal General de Justicia del Estado de México, así como representantes de Defensa, Marina, Guardia Nacional y el Centro Nacional de Inteligencia. No hay etiquetas asociadas a éste artículo.")</f>
        <v>La gobernadora Delfina Gómez Álvarez destacó que la estrategia de seguridad y el trabajo conjunto entre los tres órdenes de gobierno han permitido que el Estado de México registre una reducción del 32% en homicidios dolosos, del 01 enero al 16 de diciembre de 2025, en relación con el mismo periodo del año pasado. Esto representa 707 víctimas de homicidios menos, lo que equivaldría a que no haya homicidios por siete meses. “Hoy, la Mesa de Paz se realizó en el #C5, ubicado en Toluca. Durante la reunión, la Fiscalía General de Justicia del Estado de México destacó que el delito de homicidio doloso registró una disminución de 32.36 % en lo que va del año, en comparación a 2024”, señaló la mandataria mexiquense en redes sociales. De acuerdo con el reporte de la Fiscalía General de Justicia del Estado de México (FGJEM), durante la Mesa de Paz, presidida por la gobernadora Delfina Gómez, el número de víctimas de homicidio doloso pasó de 2 mil 185 en el periodo referido de 2024, a mil 478 en lo que va de este año. El número de eventos también disminuyó (32.36 por ciento), al pasar de mil 899 a mil 273, en el periodo referido. Además, se señaló que noviembre fue el mes más bajo, con 96 casos; la primera vez que fueron menos de 100 desde que la FGJEM tiene registros. “Cada día, las autoridades de los tres órdenes de gobierno trabajamos para coordinar estrategias y acciones por la seguridad de la población de los 125 municipios”, resaltó la gobernadora Delfina Gómez. A la sesión 236 de la Mesa de Paz, asistieron Horacio Duarte Olivares, Secretario General de Gobierno; Héctor Macedo García, Presidente del Tribunal Superior de Justicia del Estado de México; Cristóbal Castañeda Camarillo, Secretario de Seguridad; Maricela López Urbina, Secretaria Técnica; José Luis Cervantes Martínez, Fiscal General de Justicia del Estado de México, así como representantes de Defensa, Marina, Guardia Nacional y el Centro Nacional de Inteligencia. No hay etiquetas asociadas a éste artículo.</v>
      </c>
      <c r="O110" s="15">
        <f>IFERROR(__xludf.DUMMYFUNCTION("""COMPUTED_VALUE"""),1.0)</f>
        <v>1</v>
      </c>
      <c r="P110" s="2"/>
      <c r="Q110" s="17">
        <f>IFERROR(__xludf.DUMMYFUNCTION("""COMPUTED_VALUE"""),8.0)</f>
        <v>8</v>
      </c>
      <c r="R110" s="2" t="str">
        <f>IFERROR(__xludf.DUMMYFUNCTION("""COMPUTED_VALUE"""),"High")</f>
        <v>High</v>
      </c>
      <c r="S110" s="17">
        <f>IFERROR(__xludf.DUMMYFUNCTION("""COMPUTED_VALUE"""),3.0)</f>
        <v>3</v>
      </c>
      <c r="T110" s="17">
        <f>IFERROR(__xludf.DUMMYFUNCTION("""COMPUTED_VALUE"""),0.0)</f>
        <v>0</v>
      </c>
      <c r="U110" s="14">
        <f>IFERROR(__xludf.DUMMYFUNCTION("""COMPUTED_VALUE"""),2.0)</f>
        <v>2</v>
      </c>
      <c r="V110" s="14">
        <v>2025.0</v>
      </c>
      <c r="W110" s="2" t="s">
        <v>1168</v>
      </c>
      <c r="X110" s="2" t="s">
        <v>1203</v>
      </c>
      <c r="Y110" s="13" t="s">
        <v>472</v>
      </c>
      <c r="Z110" s="14">
        <v>0.0</v>
      </c>
      <c r="AA110" s="14">
        <v>0.0</v>
      </c>
      <c r="AB110" s="14">
        <v>0.0</v>
      </c>
      <c r="AC110" s="14">
        <v>0.0</v>
      </c>
      <c r="AD110" s="2">
        <v>0.0</v>
      </c>
      <c r="AE110" s="2">
        <v>1.0</v>
      </c>
      <c r="AF110" s="2">
        <v>12.0</v>
      </c>
      <c r="AG110" s="2" t="s">
        <v>1202</v>
      </c>
      <c r="AH110" s="2">
        <v>0.0</v>
      </c>
    </row>
    <row r="111" ht="15.75" customHeight="1">
      <c r="A111" s="2" t="str">
        <f>IFERROR(__xludf.DUMMYFUNCTION("""COMPUTED_VALUE"""),"Diario Portal")</f>
        <v>Diario Portal</v>
      </c>
      <c r="B111" s="12" t="str">
        <f>IFERROR(__xludf.DUMMYFUNCTION("""COMPUTED_VALUE"""),"Inicia proceso  penal contra  16 detenidos  por asaltos,  homicidios   y extorsiones  en carreteras  mexiquenses")</f>
        <v>Inicia proceso  penal contra  16 detenidos  por asaltos,  homicidios   y extorsiones  en carreteras  mexiquenses</v>
      </c>
      <c r="C111" s="13" t="str">
        <f>IFERROR(__xludf.DUMMYFUNCTION("""COMPUTED_VALUE"""),"Sin Fecha")</f>
        <v>Sin Fecha</v>
      </c>
      <c r="D111" s="14">
        <f>IFERROR(__xludf.DUMMYFUNCTION("""COMPUTED_VALUE"""),5.0)</f>
        <v>5</v>
      </c>
      <c r="E111" s="15">
        <f>IFERROR(__xludf.DUMMYFUNCTION("""COMPUTED_VALUE"""),0.0)</f>
        <v>0</v>
      </c>
      <c r="F111" s="2" t="str">
        <f>IFERROR(__xludf.DUMMYFUNCTION("""COMPUTED_VALUE"""),"Neutral")</f>
        <v>Neutral</v>
      </c>
      <c r="G111" s="15">
        <f>IFERROR(__xludf.DUMMYFUNCTION("""COMPUTED_VALUE"""),0.4596)</f>
        <v>0.4596</v>
      </c>
      <c r="H111" s="2" t="str">
        <f>IFERROR(__xludf.DUMMYFUNCTION("""COMPUTED_VALUE"""),"Delito violento, robo o asalto")</f>
        <v>Delito violento, robo o asalto</v>
      </c>
      <c r="I111" s="2" t="str">
        <f>IFERROR(__xludf.DUMMYFUNCTION("""COMPUTED_VALUE"""),"homicidio")</f>
        <v>homicidio</v>
      </c>
      <c r="J111" s="2" t="str">
        <f>IFERROR(__xludf.DUMMYFUNCTION("""COMPUTED_VALUE"""),"Prevención Nocturna: Alerta de zona de riesgo.")</f>
        <v>Prevención Nocturna: Alerta de zona de riesgo.</v>
      </c>
      <c r="K111" s="2" t="str">
        <f>IFERROR(__xludf.DUMMYFUNCTION("""COMPUTED_VALUE"""),"Estado de México")</f>
        <v>Estado de México</v>
      </c>
      <c r="L111" s="2" t="str">
        <f>IFERROR(__xludf.DUMMYFUNCTION("""COMPUTED_VALUE"""),"Estado de México")</f>
        <v>Estado de México</v>
      </c>
      <c r="M111" s="16" t="str">
        <f>IFERROR(__xludf.DUMMYFUNCTION("""COMPUTED_VALUE"""),"https://diarioportal.com/seguridad-y-justicia/inicia-proceso-penal-contra-16-detenidos-por-asaltos-homicidios-y-extorsiones-en-carreteras-mexiquenses")</f>
        <v>https://diarioportal.com/seguridad-y-justicia/inicia-proceso-penal-contra-16-detenidos-por-asaltos-homicidios-y-extorsiones-en-carreteras-mexiquenses</v>
      </c>
      <c r="N111" s="2" t="str">
        <f>IFERROR(__xludf.DUMMYFUNCTION("""COMPUTED_VALUE"""),"De los 68 detenidos en la Operación Senda, que combate el robo de transporte de carga en carreteras y vialidades el Estado de México, 16 ya fueron vinculados a proceso, 13 están pendientes de resolver su situación jurídica, 38 ya tienen fecha de audiencia"&amp;" de formulación de imputación y uno será remitido a la Fiscalía General de la República (FGR). Los presuntos delincuentes son investigados por secuestro exprés, homicidio, robo a transporte de carga y robo con violencia, portación de arma de fuego, ataque"&amp;"s a las vías de comunicación, entre otros ilícitos. De acuerdo con la Fiscalía General de Justicia del Estado de México (FGJEM), los detenidos fueron ingresados a diversos Centros de Prevención y Readaptación Social de la entidad, en espera de que un juez"&amp;" determine su situación jurídica y les sea dictada una sentencia de condena en su contra. Entre los detenidos destaca Brandon 'N' alias 'Becker', quien presuntamente junto con Luis Alberto Canales Martínez y Julio César 'N', el primero sentenciado a 55 añ"&amp;"os y el segundo vinculado a proceso,  participaron en un robo registrado en el mes de julio de 2024 sobre la autopista México-Pachuca, cuando realizaron disparos de arma de fuego en contra de un transporte de carga y causaron la muerte de un adolescente d"&amp;"e 17 años que viajaba en su interior, hecho delictivo que en su momento fue viralizado en redes sociales y altamente difundido en medios de comunicación. De igual forma fueron detenidos Erik Yair 'N', Daniela 'N', Brayan Moisés 'N', Edgar Giovanni 'N' y J"&amp;"onathan Uriel 'N' del grupo delictivo autodenominado 'Los Tilicos'; Jesús Guillermo 'N' y Mario Alberto 'N', principales integrantes de 'Los Pantera'; Guadalupe Carolina 'N' y Luis Jaime 'N' de 'Ángel Axel'; Ernesto 'N' de la 'Banda del Kevin'; Diego Arma"&amp;"ndo 'N' de los “Bam Bam”; Edgar 'N' de “La Empresa”; Geovanny 'N' de “Los Marmolejo”; Erika Denisse 'N' de “Toño Tenis”; así como Hugo Raymundo 'N' y Luis Alberto 'N', quienes hasta el momento de su detención fingían como elementos de una corporación de p"&amp;"olicía municipal. Las acciones operativas se realizaron en 46 municipios mexiquenses y en ellas lograron la detención de 26 objetivos prioritarios relacionados con el robo a transporte de carga, de igual forma fueron asegurados 137 inmuebles, entre los qu"&amp;"e destacan bodegas, encierros de transportes, casas de seguridad, una empresa de monitoreo satelital y establecimientos comerciales, utilizados en la comisión y planeación de este ilícito. Información de gabinete aportada por la Guardia Nacional, datos pr"&amp;"oporcionados por las víctimas y  actos de investigación de la FGJEM, identificaron el modus operandi de los principales grupos delictivos dedicados al robo de transporte de carga con presencia en el estado, por lo que entre el 9 y 12 de diciembre pasados "&amp;"desplegaron acciones simultáneas. Para estas acciones contaron con el apoyo del Poder Judicial del Estado de México, que permitió la obtención de órdenes de aprehensión y técnicas de investigación de cateo que posteriormente fueron cumplimentadas y ejecut"&amp;"adas, por lo que la autoridad judicial designó un grupo específico de jueces de control que, durante más de 72 horas consecutivas, realizó el análisis de 82 solicitudes. En las acciones simultáneas se llevaron a cabo detenciones por cumplimiento de orden "&amp;"de aprehensión, en flagrancia, así como técnicas de investigación de cateo e inspecciones, impactando en las actividades delictivas de los grupos criminales autodenominados “Toño Tenis”, “Ángel Axel” y “El Kevin”, vinculados con un grupo criminal con oríg"&amp;"enes en Michoacán, así como “Los Tilicos”, “Los Panteras”, “Los Marmolejos”, “Los Bam Bam” y “La Empresa”, relacionados con un grupo criminal con orígenes en Jalisco. Las investigaciones concluyeron que el robo a transporte de carga se lleva a cabo princi"&amp;"palmente en caminos locales o estatales, además de utilizar inmuebles ubicados en la periferia de las vías de comunicación mencionadas, incluso con la complicidad de autoridades, así  como de empleados de las propias empresas y de agrupaciones gremiales q"&amp;"ue aglutinan a transportistas. Entre los modus operandi identificados destaca el que se actualiza en los accesos a los centros de distribución, parques industriales o lugares aledaños, ya que mientras los operadores hacen fila para entregar la mercancía, "&amp;"son amagados por individuos que a pie de calle irrumpen en sus unidades, los privan de la libertad y en ocasiones los abandonan en zonas despobladas, en tanto que las unidades son trasladadas a otro sitio, donde “traspalean” la mercancía a cajas secas sin"&amp;" reporte de robo, mientras que el tractocamión y los remolques robados son vandalizados. Obstruir la circulación en carreteras, ya sea con vehículos, rocas o troncos, así como lanzar objetos desde puentes para dañar el vehículo también son prácticas recur"&amp;"rentes, además de que son utilizadas armas de fuego e incluso realizan disparos en contra de los transportes, particularmente a los parabrisas. También identificaron que a través del uso de uniformes e insignias apócrifas y simulación de vehículos oficial"&amp;"es, realizan supuestos retenes o alcances a los transportistas para detenerlos. Otras prácticas ilícitas en las que incurren es simular o provocar la ponchadura de llantas de las unidades, forzar las chapas para robarlas cuando están estacionadas o impact"&amp;"arlas en circulación, práctica conocida como montachoques. Las indagatorias arrojaron que en algunos restaurantes y comercios que brindan servicios de venta de alimentos, descanso o entretenimiento, ya sean formales o irregulares conocidos como “cachimbas"&amp;"”, los choferes son engañados por sexo servidoras al servicio de células delincuenciales, quienes obtienen datos sobre su carga y ruta. En estos sitios que son utilizados como puntos de reunión y planeación de ilícitos, se comercializan estimulantes y sus"&amp;"tancias psicotrópicas para inhibir el sueño de los conductores. La Operación Senda también identificó que empleados de una empresa dedicada al monitoreo satelital de los transportes de carga, mantenían contacto directo con integrantes de las células crimi"&amp;"nales, a quienes les enviaban información en tiempo real de la ubicación de los vehículos seleccionados para robarlos. Por ello, fueron intervenidas bodegas y comercios informales en los que se localizaron mercancías diversas como semillas, leche en caja,"&amp;" productos de abarrotes, cubetas con aceite, entre otros productos, de los que no acreditó su procedencia lícita, incluso en uno de los inmuebles fue hallada paquetería de la empresa Mercado Libre con reporte de robo. Otros inmuebles asegurados fueron des"&amp;"huesaderos, en los que se localizaron chasises de tractocamiones, motores y diversas refacciones con medios de identificación alterados o reporte de robo, además de pensiones o encierros utilizados para el ocultamiento y desvalijamiento de unidades robada"&amp;"s, así como el traspaleo de la mercancía. Los 137 inmuebles intervenidos son identificados como 58 bodegas, 23 encierros o pensiones, 23 casas de seguridad o domicilios de objetivos prioritarios, una empresa de monitoreo, tres deshuesaderos, dos comercios"&amp;" de venta irregular, cuatro restaurantes, 22 cachimbas y una empresa de monitoreo, por lo que la Fiscalía Mexiquense ha iniciado con el procedimiento de extinción de dominio en los casos procedentes. Adicionalmente fueron asegurados 178 vehículos, algunos"&amp;" de ellos con medios de identificación alterados e incluso con calcomanías o rótulos de organizaciones sociales con apariencia de sindicato o asociación, en particular los autodenominados ACME, USON, IZGASA, AMOTAC y Sindicatos Unidos Transformando México"&amp;", unidades presuntamente utilizadas para el traspaleo y traslado de cargamentos robados. También fueron asegurados 49 armas de fuegos, cartuchos útiles y cargadores, 61 mil 294 cajas con mercancías diversas, 535 mil pesos en moneda nacional, yenes y euros"&amp;", 29 motores, miles de toneladas de chasises y autopartes de camión sin medios de identificación o alterados, placas de circulación y autopartes con reportes de robo, un troquel e insignias apócrifas para simular corporaciones oficiales, equipos de monito"&amp;"reo satelital e inhibidores de señal, así como diversas dosis de estupefacientes. No hay etiquetas asociadas a éste artículo.")</f>
        <v>De los 68 detenidos en la Operación Senda, que combate el robo de transporte de carga en carreteras y vialidades el Estado de México, 16 ya fueron vinculados a proceso, 13 están pendientes de resolver su situación jurídica, 38 ya tienen fecha de audiencia de formulación de imputación y uno será remitido a la Fiscalía General de la República (FGR). Los presuntos delincuentes son investigados por secuestro exprés, homicidio, robo a transporte de carga y robo con violencia, portación de arma de fuego, ataques a las vías de comunicación, entre otros ilícitos. De acuerdo con la Fiscalía General de Justicia del Estado de México (FGJEM), los detenidos fueron ingresados a diversos Centros de Prevención y Readaptación Social de la entidad, en espera de que un juez determine su situación jurídica y les sea dictada una sentencia de condena en su contra. Entre los detenidos destaca Brandon 'N' alias 'Becker', quien presuntamente junto con Luis Alberto Canales Martínez y Julio César 'N', el primero sentenciado a 55 años y el segundo vinculado a proceso,  participaron en un robo registrado en el mes de julio de 2024 sobre la autopista México-Pachuca, cuando realizaron disparos de arma de fuego en contra de un transporte de carga y causaron la muerte de un adolescente de 17 años que viajaba en su interior, hecho delictivo que en su momento fue viralizado en redes sociales y altamente difundido en medios de comunicación. De igual forma fueron detenidos Erik Yair 'N', Daniela 'N', Brayan Moisés 'N', Edgar Giovanni 'N' y Jonathan Uriel 'N' del grupo delictivo autodenominado 'Los Tilicos'; Jesús Guillermo 'N' y Mario Alberto 'N', principales integrantes de 'Los Pantera'; Guadalupe Carolina 'N' y Luis Jaime 'N' de 'Ángel Axel'; Ernesto 'N' de la 'Banda del Kevin'; Diego Armando 'N' de los “Bam Bam”; Edgar 'N' de “La Empresa”; Geovanny 'N' de “Los Marmolejo”; Erika Denisse 'N' de “Toño Tenis”; así como Hugo Raymundo 'N' y Luis Alberto 'N', quienes hasta el momento de su detención fingían como elementos de una corporación de policía municipal. Las acciones operativas se realizaron en 46 municipios mexiquenses y en ellas lograron la detención de 26 objetivos prioritarios relacionados con el robo a transporte de carga, de igual forma fueron asegurados 137 inmuebles, entre los que destacan bodegas, encierros de transportes, casas de seguridad, una empresa de monitoreo satelital y establecimientos comerciales, utilizados en la comisión y planeación de este ilícito. Información de gabinete aportada por la Guardia Nacional, datos proporcionados por las víctimas y  actos de investigación de la FGJEM, identificaron el modus operandi de los principales grupos delictivos dedicados al robo de transporte de carga con presencia en el estado, por lo que entre el 9 y 12 de diciembre pasados desplegaron acciones simultáneas. Para estas acciones contaron con el apoyo del Poder Judicial del Estado de México, que permitió la obtención de órdenes de aprehensión y técnicas de investigación de cateo que posteriormente fueron cumplimentadas y ejecutadas, por lo que la autoridad judicial designó un grupo específico de jueces de control que, durante más de 72 horas consecutivas, realizó el análisis de 82 solicitudes. En las acciones simultáneas se llevaron a cabo detenciones por cumplimiento de orden de aprehensión, en flagrancia, así como técnicas de investigación de cateo e inspecciones, impactando en las actividades delictivas de los grupos criminales autodenominados “Toño Tenis”, “Ángel Axel” y “El Kevin”, vinculados con un grupo criminal con orígenes en Michoacán, así como “Los Tilicos”, “Los Panteras”, “Los Marmolejos”, “Los Bam Bam” y “La Empresa”, relacionados con un grupo criminal con orígenes en Jalisco. Las investigaciones concluyeron que el robo a transporte de carga se lleva a cabo principalmente en caminos locales o estatales, además de utilizar inmuebles ubicados en la periferia de las vías de comunicación mencionadas, incluso con la complicidad de autoridades, así  como de empleados de las propias empresas y de agrupaciones gremiales que aglutinan a transportistas. Entre los modus operandi identificados destaca el que se actualiza en los accesos a los centros de distribución, parques industriales o lugares aledaños, ya que mientras los operadores hacen fila para entregar la mercancía, son amagados por individuos que a pie de calle irrumpen en sus unidades, los privan de la libertad y en ocasiones los abandonan en zonas despobladas, en tanto que las unidades son trasladadas a otro sitio, donde “traspalean” la mercancía a cajas secas sin reporte de robo, mientras que el tractocamión y los remolques robados son vandalizados. Obstruir la circulación en carreteras, ya sea con vehículos, rocas o troncos, así como lanzar objetos desde puentes para dañar el vehículo también son prácticas recurrentes, además de que son utilizadas armas de fuego e incluso realizan disparos en contra de los transportes, particularmente a los parabrisas. También identificaron que a través del uso de uniformes e insignias apócrifas y simulación de vehículos oficiales, realizan supuestos retenes o alcances a los transportistas para detenerlos. Otras prácticas ilícitas en las que incurren es simular o provocar la ponchadura de llantas de las unidades, forzar las chapas para robarlas cuando están estacionadas o impactarlas en circulación, práctica conocida como montachoques. Las indagatorias arrojaron que en algunos restaurantes y comercios que brindan servicios de venta de alimentos, descanso o entretenimiento, ya sean formales o irregulares conocidos como “cachimbas”, los choferes son engañados por sexo servidoras al servicio de células delincuenciales, quienes obtienen datos sobre su carga y ruta. En estos sitios que son utilizados como puntos de reunión y planeación de ilícitos, se comercializan estimulantes y sustancias psicotrópicas para inhibir el sueño de los conductores. La Operación Senda también identificó que empleados de una empresa dedicada al monitoreo satelital de los transportes de carga, mantenían contacto directo con integrantes de las células criminales, a quienes les enviaban información en tiempo real de la ubicación de los vehículos seleccionados para robarlos. Por ello, fueron intervenidas bodegas y comercios informales en los que se localizaron mercancías diversas como semillas, leche en caja, productos de abarrotes, cubetas con aceite, entre otros productos, de los que no acreditó su procedencia lícita, incluso en uno de los inmuebles fue hallada paquetería de la empresa Mercado Libre con reporte de robo. Otros inmuebles asegurados fueron deshuesaderos, en los que se localizaron chasises de tractocamiones, motores y diversas refacciones con medios de identificación alterados o reporte de robo, además de pensiones o encierros utilizados para el ocultamiento y desvalijamiento de unidades robadas, así como el traspaleo de la mercancía. Los 137 inmuebles intervenidos son identificados como 58 bodegas, 23 encierros o pensiones, 23 casas de seguridad o domicilios de objetivos prioritarios, una empresa de monitoreo, tres deshuesaderos, dos comercios de venta irregular, cuatro restaurantes, 22 cachimbas y una empresa de monitoreo, por lo que la Fiscalía Mexiquense ha iniciado con el procedimiento de extinción de dominio en los casos procedentes. Adicionalmente fueron asegurados 178 vehículos, algunos de ellos con medios de identificación alterados e incluso con calcomanías o rótulos de organizaciones sociales con apariencia de sindicato o asociación, en particular los autodenominados ACME, USON, IZGASA, AMOTAC y Sindicatos Unidos Transformando México, unidades presuntamente utilizadas para el traspaleo y traslado de cargamentos robados. También fueron asegurados 49 armas de fuegos, cartuchos útiles y cargadores, 61 mil 294 cajas con mercancías diversas, 535 mil pesos en moneda nacional, yenes y euros, 29 motores, miles de toneladas de chasises y autopartes de camión sin medios de identificación o alterados, placas de circulación y autopartes con reportes de robo, un troquel e insignias apócrifas para simular corporaciones oficiales, equipos de monitoreo satelital e inhibidores de señal, así como diversas dosis de estupefacientes. No hay etiquetas asociadas a éste artículo.</v>
      </c>
      <c r="O111" s="15">
        <f>IFERROR(__xludf.DUMMYFUNCTION("""COMPUTED_VALUE"""),1.0)</f>
        <v>1</v>
      </c>
      <c r="P111" s="2"/>
      <c r="Q111" s="17">
        <f>IFERROR(__xludf.DUMMYFUNCTION("""COMPUTED_VALUE"""),5.0)</f>
        <v>5</v>
      </c>
      <c r="R111" s="2" t="str">
        <f>IFERROR(__xludf.DUMMYFUNCTION("""COMPUTED_VALUE"""),"Medium")</f>
        <v>Medium</v>
      </c>
      <c r="S111" s="17">
        <f>IFERROR(__xludf.DUMMYFUNCTION("""COMPUTED_VALUE"""),1.0)</f>
        <v>1</v>
      </c>
      <c r="T111" s="17">
        <f>IFERROR(__xludf.DUMMYFUNCTION("""COMPUTED_VALUE"""),0.0)</f>
        <v>0</v>
      </c>
      <c r="U111" s="14">
        <f>IFERROR(__xludf.DUMMYFUNCTION("""COMPUTED_VALUE"""),2.0)</f>
        <v>2</v>
      </c>
      <c r="V111" s="14" t="s">
        <v>1186</v>
      </c>
      <c r="W111" s="2" t="s">
        <v>190</v>
      </c>
      <c r="X111" s="2" t="s">
        <v>190</v>
      </c>
      <c r="Y111" s="13"/>
      <c r="Z111" s="14">
        <v>0.0</v>
      </c>
      <c r="AA111" s="14">
        <v>0.0</v>
      </c>
      <c r="AB111" s="14">
        <v>0.0</v>
      </c>
      <c r="AC111" s="14">
        <v>0.0</v>
      </c>
      <c r="AD111" s="2">
        <v>0.0</v>
      </c>
      <c r="AE111" s="2">
        <v>1.0</v>
      </c>
      <c r="AF111" s="2" t="s">
        <v>1186</v>
      </c>
      <c r="AG111" s="2" t="s">
        <v>1202</v>
      </c>
      <c r="AH111" s="2">
        <v>0.0</v>
      </c>
    </row>
    <row r="112" ht="15.75" customHeight="1">
      <c r="A112" s="2" t="str">
        <f>IFERROR(__xludf.DUMMYFUNCTION("""COMPUTED_VALUE"""),"Diario Portal")</f>
        <v>Diario Portal</v>
      </c>
      <c r="B112" s="12" t="str">
        <f>IFERROR(__xludf.DUMMYFUNCTION("""COMPUTED_VALUE"""),"Nezahualcóyotl aplica el nuevo Reglamento de Tránsito del Estado de México para salvaguardar la vida de las personas")</f>
        <v>Nezahualcóyotl aplica el nuevo Reglamento de Tránsito del Estado de México para salvaguardar la vida de las personas</v>
      </c>
      <c r="C112" s="13" t="str">
        <f>IFERROR(__xludf.DUMMYFUNCTION("""COMPUTED_VALUE"""),"2025-12-17 11:20:43")</f>
        <v>2025-12-17 11:20:43</v>
      </c>
      <c r="D112" s="14">
        <f>IFERROR(__xludf.DUMMYFUNCTION("""COMPUTED_VALUE"""),1.0)</f>
        <v>1</v>
      </c>
      <c r="E112" s="15">
        <f>IFERROR(__xludf.DUMMYFUNCTION("""COMPUTED_VALUE"""),0.0)</f>
        <v>0</v>
      </c>
      <c r="F112" s="2" t="str">
        <f>IFERROR(__xludf.DUMMYFUNCTION("""COMPUTED_VALUE"""),"Neutral")</f>
        <v>Neutral</v>
      </c>
      <c r="G112" s="15">
        <f>IFERROR(__xludf.DUMMYFUNCTION("""COMPUTED_VALUE"""),0.4917)</f>
        <v>0.4917</v>
      </c>
      <c r="H112" s="2" t="str">
        <f>IFERROR(__xludf.DUMMYFUNCTION("""COMPUTED_VALUE"""),"Noticia corporativa o regulación de transporte")</f>
        <v>Noticia corporativa o regulación de transporte</v>
      </c>
      <c r="I112" s="2" t="str">
        <f>IFERROR(__xludf.DUMMYFUNCTION("""COMPUTED_VALUE"""),"N/A")</f>
        <v>N/A</v>
      </c>
      <c r="J112" s="2" t="str">
        <f>IFERROR(__xludf.DUMMYFUNCTION("""COMPUTED_VALUE"""),"Monitoreo general.")</f>
        <v>Monitoreo general.</v>
      </c>
      <c r="K112" s="2" t="str">
        <f>IFERROR(__xludf.DUMMYFUNCTION("""COMPUTED_VALUE"""),"Nezahualcóyotl")</f>
        <v>Nezahualcóyotl</v>
      </c>
      <c r="L112" s="2" t="str">
        <f>IFERROR(__xludf.DUMMYFUNCTION("""COMPUTED_VALUE"""),"Estado de México")</f>
        <v>Estado de México</v>
      </c>
      <c r="M112" s="16" t="str">
        <f>IFERROR(__xludf.DUMMYFUNCTION("""COMPUTED_VALUE"""),"https://diarioportal.com/seguridad-y-justicia/nezahualcoyotl-aplica-el-nuevo-reglamento-de-transito-del-estado-de-mexico-para-salvaguardar-la-vida-de-las-personas")</f>
        <v>https://diarioportal.com/seguridad-y-justicia/nezahualcoyotl-aplica-el-nuevo-reglamento-de-transito-del-estado-de-mexico-para-salvaguardar-la-vida-de-las-personas</v>
      </c>
      <c r="N112" s="2" t="str">
        <f>IFERROR(__xludf.DUMMYFUNCTION("""COMPUTED_VALUE"""),"En tan solo 22 días en el municipio de Nezahualcóyotl se han aplicado 460 infracciones de acuerdo a la aplicación del nuevo Reglamento de Tránsito del Estado de México para reducir accidentes, prevenir hechos fatales y fomentar una cultura de responsabili"&amp;"dad vial en esta localidad. El gobierno municipal de Nezahualcóyotl informó que desde la entrada en vigor del nuevo Reglamento de Tránsito del Estado de México, se ha reforzado la vigilancia vial con un enfoque preventivo y de ordenamiento del tránsito. D"&amp;"etallaron que en estos primeros 22 días en el municipio de Nezahualcóyotl se han aplicado 460 infracciones de acuerdo a la aplicación del nuevo Reglamento con el objetivo de reducir accidentes, prevenir hechos fatales y fomentar una cultura de responsabil"&amp;"idad vial en esta localidad. Mencionaron que las principales infracciones detectadas están relacionadas con la falta de uso de casco y protección ocular en motociclistas, invasión de carriles confinados, estacionamiento indebido y conducción sin licencia "&amp;"El nuevo ordenamiento establece la jerarquía de la movilidad, que reconoce como prioridad a peatones, posteriormente a ciclistas y usuarios de vehículos no motorizados; enseguida el servicio público de transporte; y finalmente vehículos motorizados partic"&amp;"ulares. Aseguraron que esto es un reflejo de una política pública orientada, no a la recaudación, sino a reducir accidentes, prevenir hechos fatales y fomentar una cultura de responsabilidad vial, en beneficio de todas las personas que transitan por esta "&amp;"localidad. Sin embargo, las autoridades exhortaron a los peatones y automovilistas respetar el reglamento. No hay etiquetas asociadas a éste artículo.")</f>
        <v>En tan solo 22 días en el municipio de Nezahualcóyotl se han aplicado 460 infracciones de acuerdo a la aplicación del nuevo Reglamento de Tránsito del Estado de México para reducir accidentes, prevenir hechos fatales y fomentar una cultura de responsabilidad vial en esta localidad. El gobierno municipal de Nezahualcóyotl informó que desde la entrada en vigor del nuevo Reglamento de Tránsito del Estado de México, se ha reforzado la vigilancia vial con un enfoque preventivo y de ordenamiento del tránsito. Detallaron que en estos primeros 22 días en el municipio de Nezahualcóyotl se han aplicado 460 infracciones de acuerdo a la aplicación del nuevo Reglamento con el objetivo de reducir accidentes, prevenir hechos fatales y fomentar una cultura de responsabilidad vial en esta localidad. Mencionaron que las principales infracciones detectadas están relacionadas con la falta de uso de casco y protección ocular en motociclistas, invasión de carriles confinados, estacionamiento indebido y conducción sin licencia El nuevo ordenamiento establece la jerarquía de la movilidad, que reconoce como prioridad a peatones, posteriormente a ciclistas y usuarios de vehículos no motorizados; enseguida el servicio público de transporte; y finalmente vehículos motorizados particulares. Aseguraron que esto es un reflejo de una política pública orientada, no a la recaudación, sino a reducir accidentes, prevenir hechos fatales y fomentar una cultura de responsabilidad vial, en beneficio de todas las personas que transitan por esta localidad. Sin embargo, las autoridades exhortaron a los peatones y automovilistas respetar el reglamento. No hay etiquetas asociadas a éste artículo.</v>
      </c>
      <c r="O112" s="15">
        <f>IFERROR(__xludf.DUMMYFUNCTION("""COMPUTED_VALUE"""),0.3682)</f>
        <v>0.3682</v>
      </c>
      <c r="P112" s="2"/>
      <c r="Q112" s="17">
        <f>IFERROR(__xludf.DUMMYFUNCTION("""COMPUTED_VALUE"""),8.5)</f>
        <v>8.5</v>
      </c>
      <c r="R112" s="2" t="str">
        <f>IFERROR(__xludf.DUMMYFUNCTION("""COMPUTED_VALUE"""),"Low")</f>
        <v>Low</v>
      </c>
      <c r="S112" s="17">
        <f>IFERROR(__xludf.DUMMYFUNCTION("""COMPUTED_VALUE"""),0.5)</f>
        <v>0.5</v>
      </c>
      <c r="T112" s="17">
        <f>IFERROR(__xludf.DUMMYFUNCTION("""COMPUTED_VALUE"""),0.0)</f>
        <v>0</v>
      </c>
      <c r="U112" s="14">
        <f>IFERROR(__xludf.DUMMYFUNCTION("""COMPUTED_VALUE"""),2.0)</f>
        <v>2</v>
      </c>
      <c r="V112" s="14">
        <v>2025.0</v>
      </c>
      <c r="W112" s="2" t="s">
        <v>1168</v>
      </c>
      <c r="X112" s="2" t="s">
        <v>1203</v>
      </c>
      <c r="Y112" s="13" t="s">
        <v>479</v>
      </c>
      <c r="Z112" s="14">
        <v>0.0</v>
      </c>
      <c r="AA112" s="14">
        <v>0.0</v>
      </c>
      <c r="AB112" s="14">
        <v>0.0</v>
      </c>
      <c r="AC112" s="14">
        <v>0.0</v>
      </c>
      <c r="AD112" s="2">
        <v>0.0</v>
      </c>
      <c r="AE112" s="2">
        <v>0.0</v>
      </c>
      <c r="AF112" s="2">
        <v>12.0</v>
      </c>
      <c r="AG112" s="2" t="s">
        <v>1215</v>
      </c>
      <c r="AH112" s="2">
        <v>0.0</v>
      </c>
    </row>
    <row r="113" ht="15.75" customHeight="1">
      <c r="A113" s="2" t="str">
        <f>IFERROR(__xludf.DUMMYFUNCTION("""COMPUTED_VALUE"""),"Diario Portal")</f>
        <v>Diario Portal</v>
      </c>
      <c r="B113" s="12" t="str">
        <f>IFERROR(__xludf.DUMMYFUNCTION("""COMPUTED_VALUE"""),"Juez dicta 70 años de cárcel para exalcaldesa de Amanalco por ultimar a un síndico y su escolta")</f>
        <v>Juez dicta 70 años de cárcel para exalcaldesa de Amanalco por ultimar a un síndico y su escolta</v>
      </c>
      <c r="C113" s="13" t="str">
        <f>IFERROR(__xludf.DUMMYFUNCTION("""COMPUTED_VALUE"""),"2025-12-16 18:25:39")</f>
        <v>2025-12-16 18:25:39</v>
      </c>
      <c r="D113" s="14">
        <f>IFERROR(__xludf.DUMMYFUNCTION("""COMPUTED_VALUE"""),4.0)</f>
        <v>4</v>
      </c>
      <c r="E113" s="15">
        <f>IFERROR(__xludf.DUMMYFUNCTION("""COMPUTED_VALUE"""),-0.6095)</f>
        <v>-0.6095</v>
      </c>
      <c r="F113" s="2" t="str">
        <f>IFERROR(__xludf.DUMMYFUNCTION("""COMPUTED_VALUE"""),"Negativo")</f>
        <v>Negativo</v>
      </c>
      <c r="G113" s="15">
        <f>IFERROR(__xludf.DUMMYFUNCTION("""COMPUTED_VALUE"""),0.6095)</f>
        <v>0.6095</v>
      </c>
      <c r="H113" s="2" t="str">
        <f>IFERROR(__xludf.DUMMYFUNCTION("""COMPUTED_VALUE"""),"Delito violento, robo o asalto")</f>
        <v>Delito violento, robo o asalto</v>
      </c>
      <c r="I113" s="2" t="str">
        <f>IFERROR(__xludf.DUMMYFUNCTION("""COMPUTED_VALUE"""),"homicidio")</f>
        <v>homicidio</v>
      </c>
      <c r="J113" s="2" t="str">
        <f>IFERROR(__xludf.DUMMYFUNCTION("""COMPUTED_VALUE"""),"Prevención Nocturna: Alerta de zona de riesgo.")</f>
        <v>Prevención Nocturna: Alerta de zona de riesgo.</v>
      </c>
      <c r="K113" s="2" t="str">
        <f>IFERROR(__xludf.DUMMYFUNCTION("""COMPUTED_VALUE"""),"Estado de México")</f>
        <v>Estado de México</v>
      </c>
      <c r="L113" s="2" t="str">
        <f>IFERROR(__xludf.DUMMYFUNCTION("""COMPUTED_VALUE"""),"Estado de México")</f>
        <v>Estado de México</v>
      </c>
      <c r="M113" s="16" t="str">
        <f>IFERROR(__xludf.DUMMYFUNCTION("""COMPUTED_VALUE"""),"https://diarioportal.com/seguridad-y-justicia/juez-dicta-70-anos-de-carcel-para-exalcaldesa-de-amanalco-por-ultimar-a-un-sindico-y-su-escolta")</f>
        <v>https://diarioportal.com/seguridad-y-justicia/juez-dicta-70-anos-de-carcel-para-exalcaldesa-de-amanalco-por-ultimar-a-un-sindico-y-su-escolta</v>
      </c>
      <c r="N113" s="2" t="str">
        <f>IFERROR(__xludf.DUMMYFUNCTION("""COMPUTED_VALUE"""),"Un juez dictó una sentencia de 70 años de prisión en contra de María Elena Martínez Robles, expresidenta municipal de Amanalco, luego de acreditar su participación en el delito de homicidio calificado en agravio del síndico Miguel Ángel Lara de la Cruz y "&amp;"su escolta, Guillermo Jeronimo Roque, registrado el 25 de enero de 2023, quienes fueron privados de la vida por sus órdenes. Además, determinó el pago de una multa como reparación del daño de 207 mil 234 pesos por cada víctima, además de que sus derechos "&amp;"civiles y políticos quedaron suspendidos. De acuerdo con información de la Fiscalía General de Justicia del Estado de México (FGJEM) la investigación de la Operación Enjambre logró precisar que las víctimas, cuando se encontraban en el ejercicio de su fun"&amp;"ción pública, por instrucciones de su superior jerárquica, la entonces presidenta municipal, fueron enviados a una zona de alto riesgo dominada por grupos delincuenciales con presencia en la región, de la cual nunca regresaron con vida. A través de actos "&amp;"de investigación, el Agente del Ministerio Público estableció que Martínez Robles ordenó de manera directa a integrantes de la Familia Michoacana que privaran de la vida al síndico municipal con el fin de poder seguir controlando las decisiones al interio"&amp;"r de la administración municipal. Las pesquisas establecieron que la entonces presidenta municipal sostuvo una llamada telefónica con un integrante del grupo criminal, a quien le solicitó privar de la vida al entonces síndico municipal con el fin de quita"&amp;"rlo del camino y poder trabajar bien, por lo que el 25 de enero del 2023 envió a Lara de la Cruz a una reunión al municipio de Zacazonapan. Fue el 26 de enero de 2023 cuando fueron hallados los cuerpos de ambas víctimas al interior de un vehículo sobre la"&amp;" carretera Temascaltepec-Luvianos, a la altura de la comunidad La Alcantarilla perteneciente al municipio de Zacazonapan. La FGJEM también determinó que la expresidenta municipal de Amanalco participó en diversas reuniones con integrantes de la Familia Mi"&amp;"choacana con el fin de coordinar la forma de trabajar con la administración municipal. La ahora sentenciada fue detenida como resultado de las acciones operativas y de investigación realizadas por la Fiscalía Mexiquense y la Secretaría de Seguridad y Prot"&amp;"ección Ciudadana (SSPC), como parte de la Operación Enjambre con el apoyo de la Secretaría de la Defensa Nacional, la Guardia Nacional y de la Secretaría de Seguridad del Estado de México (SSEM). Cabe señalar que esta es la onceava sentencia condenatoria "&amp;"obtenida en contra de los 16 objetivos prioritarios dentro de la Operación Enjambre y que hasta el momento suma 60 presuntos responsables detenidos. No hay etiquetas asociadas a éste artículo.")</f>
        <v>Un juez dictó una sentencia de 70 años de prisión en contra de María Elena Martínez Robles, expresidenta municipal de Amanalco, luego de acreditar su participación en el delito de homicidio calificado en agravio del síndico Miguel Ángel Lara de la Cruz y su escolta, Guillermo Jeronimo Roque, registrado el 25 de enero de 2023, quienes fueron privados de la vida por sus órdenes. Además, determinó el pago de una multa como reparación del daño de 207 mil 234 pesos por cada víctima, además de que sus derechos civiles y políticos quedaron suspendidos. De acuerdo con información de la Fiscalía General de Justicia del Estado de México (FGJEM) la investigación de la Operación Enjambre logró precisar que las víctimas, cuando se encontraban en el ejercicio de su función pública, por instrucciones de su superior jerárquica, la entonces presidenta municipal, fueron enviados a una zona de alto riesgo dominada por grupos delincuenciales con presencia en la región, de la cual nunca regresaron con vida. A través de actos de investigación, el Agente del Ministerio Público estableció que Martínez Robles ordenó de manera directa a integrantes de la Familia Michoacana que privaran de la vida al síndico municipal con el fin de poder seguir controlando las decisiones al interior de la administración municipal. Las pesquisas establecieron que la entonces presidenta municipal sostuvo una llamada telefónica con un integrante del grupo criminal, a quien le solicitó privar de la vida al entonces síndico municipal con el fin de quitarlo del camino y poder trabajar bien, por lo que el 25 de enero del 2023 envió a Lara de la Cruz a una reunión al municipio de Zacazonapan. Fue el 26 de enero de 2023 cuando fueron hallados los cuerpos de ambas víctimas al interior de un vehículo sobre la carretera Temascaltepec-Luvianos, a la altura de la comunidad La Alcantarilla perteneciente al municipio de Zacazonapan. La FGJEM también determinó que la expresidenta municipal de Amanalco participó en diversas reuniones con integrantes de la Familia Michoacana con el fin de coordinar la forma de trabajar con la administración municipal. La ahora sentenciada fue detenida como resultado de las acciones operativas y de investigación realizadas por la Fiscalía Mexiquense y la Secretaría de Seguridad y Protección Ciudadana (SSPC), como parte de la Operación Enjambre con el apoyo de la Secretaría de la Defensa Nacional, la Guardia Nacional y de la Secretaría de Seguridad del Estado de México (SSEM). Cabe señalar que esta es la onceava sentencia condenatoria obtenida en contra de los 16 objetivos prioritarios dentro de la Operación Enjambre y que hasta el momento suma 60 presuntos responsables detenidos. No hay etiquetas asociadas a éste artículo.</v>
      </c>
      <c r="O113" s="15">
        <f>IFERROR(__xludf.DUMMYFUNCTION("""COMPUTED_VALUE"""),1.0)</f>
        <v>1</v>
      </c>
      <c r="P113" s="2"/>
      <c r="Q113" s="17">
        <f>IFERROR(__xludf.DUMMYFUNCTION("""COMPUTED_VALUE"""),3.0)</f>
        <v>3</v>
      </c>
      <c r="R113" s="2" t="str">
        <f>IFERROR(__xludf.DUMMYFUNCTION("""COMPUTED_VALUE"""),"Medium")</f>
        <v>Medium</v>
      </c>
      <c r="S113" s="17">
        <f>IFERROR(__xludf.DUMMYFUNCTION("""COMPUTED_VALUE"""),2.0)</f>
        <v>2</v>
      </c>
      <c r="T113" s="17">
        <f>IFERROR(__xludf.DUMMYFUNCTION("""COMPUTED_VALUE"""),0.0)</f>
        <v>0</v>
      </c>
      <c r="U113" s="14">
        <f>IFERROR(__xludf.DUMMYFUNCTION("""COMPUTED_VALUE"""),2.0)</f>
        <v>2</v>
      </c>
      <c r="V113" s="14">
        <v>2025.0</v>
      </c>
      <c r="W113" s="2" t="s">
        <v>1168</v>
      </c>
      <c r="X113" s="2" t="s">
        <v>1218</v>
      </c>
      <c r="Y113" s="13" t="s">
        <v>483</v>
      </c>
      <c r="Z113" s="14">
        <v>0.0</v>
      </c>
      <c r="AA113" s="14">
        <v>0.0</v>
      </c>
      <c r="AB113" s="14">
        <v>0.0</v>
      </c>
      <c r="AC113" s="14">
        <v>0.0</v>
      </c>
      <c r="AD113" s="2">
        <v>0.0</v>
      </c>
      <c r="AE113" s="2">
        <v>1.0</v>
      </c>
      <c r="AF113" s="2">
        <v>12.0</v>
      </c>
      <c r="AG113" s="2" t="s">
        <v>1202</v>
      </c>
      <c r="AH113" s="2">
        <v>0.0</v>
      </c>
    </row>
    <row r="114" ht="15.75" customHeight="1">
      <c r="A114" s="2" t="str">
        <f>IFERROR(__xludf.DUMMYFUNCTION("""COMPUTED_VALUE"""),"Diario Portal")</f>
        <v>Diario Portal</v>
      </c>
      <c r="B114" s="12" t="str">
        <f>IFERROR(__xludf.DUMMYFUNCTION("""COMPUTED_VALUE"""),"Magistrada Arlen Siu asumirá la presidencia del OPPM del Edomex")</f>
        <v>Magistrada Arlen Siu asumirá la presidencia del OPPM del Edomex</v>
      </c>
      <c r="C114" s="13" t="str">
        <f>IFERROR(__xludf.DUMMYFUNCTION("""COMPUTED_VALUE"""),"2025-12-15 19:06:54")</f>
        <v>2025-12-15 19:06:54</v>
      </c>
      <c r="D114" s="14">
        <f>IFERROR(__xludf.DUMMYFUNCTION("""COMPUTED_VALUE"""),2.0)</f>
        <v>2</v>
      </c>
      <c r="E114" s="15">
        <f>IFERROR(__xludf.DUMMYFUNCTION("""COMPUTED_VALUE"""),0.6871)</f>
        <v>0.6871</v>
      </c>
      <c r="F114" s="2" t="str">
        <f>IFERROR(__xludf.DUMMYFUNCTION("""COMPUTED_VALUE"""),"Positivo")</f>
        <v>Positivo</v>
      </c>
      <c r="G114" s="15">
        <f>IFERROR(__xludf.DUMMYFUNCTION("""COMPUTED_VALUE"""),0.6871)</f>
        <v>0.6871</v>
      </c>
      <c r="H114" s="2" t="str">
        <f>IFERROR(__xludf.DUMMYFUNCTION("""COMPUTED_VALUE"""),"Operativo policial o detención")</f>
        <v>Operativo policial o detención</v>
      </c>
      <c r="I114" s="2" t="str">
        <f>IFERROR(__xludf.DUMMYFUNCTION("""COMPUTED_VALUE"""),"N/A")</f>
        <v>N/A</v>
      </c>
      <c r="J114" s="2" t="str">
        <f>IFERROR(__xludf.DUMMYFUNCTION("""COMPUTED_VALUE"""),"Monitoreo general.")</f>
        <v>Monitoreo general.</v>
      </c>
      <c r="K114" s="2" t="str">
        <f>IFERROR(__xludf.DUMMYFUNCTION("""COMPUTED_VALUE"""),"Estado de México")</f>
        <v>Estado de México</v>
      </c>
      <c r="L114" s="2" t="str">
        <f>IFERROR(__xludf.DUMMYFUNCTION("""COMPUTED_VALUE"""),"Estado de México")</f>
        <v>Estado de México</v>
      </c>
      <c r="M114" s="16" t="str">
        <f>IFERROR(__xludf.DUMMYFUNCTION("""COMPUTED_VALUE"""),"https://diarioportal.com/seguridad-y-justicia/magistrada-arlen-siu-asumira-la-presidencia-del-oppm-del-edomex")</f>
        <v>https://diarioportal.com/seguridad-y-justicia/magistrada-arlen-siu-asumira-la-presidencia-del-oppm-del-edomex</v>
      </c>
      <c r="N114" s="2" t="str">
        <f>IFERROR(__xludf.DUMMYFUNCTION("""COMPUTED_VALUE"""),"“Hoy podemos decir que contribuimos al fortalecimiento de la paridad y que avanzamos hacia una participación más libre, informada y justa para todas,” aseveró la Consejera Presidenta del Instituto Electoral del Estado de México (IEEM) y Presidenta del Obs"&amp;"ervatorio de Participación Política de las Mujeres del Estado de México (OPPMEM), Amalia Pulido Gómez, durante la presentación del Informe de Resultados 2025 del Observatorio. Durante la sesión se designó a Arlen Siu Jaime Merlos, Magistrada Presidenta de"&amp;"l Tribunal Electoral del Estado de México (TEEM), como presidenta del OPPMEM, a partir del primero de enero del 2026. Durante la Trigésima Tercera Sesión Ordinaria del OPPMEM, Pulido Gómez destacó que en 2025 las actividades del Observatorio estuvieron ma"&amp;"rcadas por el Proceso Electoral Judicial Extraordinario mexiquense, pues fue un desafío que exigió más claridad, compromiso y trabajo conjunto para promover una participación política donde la igualdad fuera la regla y la violencia política contra las muj"&amp;"eres en razón de género, la excepción. Pulido informó que, como parte de las actividades del OPPMEM para lograr la igualdad en la contienda, se brindó información y capacitación para el fortalecimiento de habilidades y desarrollo de herramientas sobre par"&amp;"ticipación política de las mujeres; además, se diseñó un Programa de Trabajo con una meta de 209 actividades, la cual fue superada al concretarse 575 acciones; también, desde la Dirección Ejecutiva del OPPMEM, se impulsaron acciones estratégicas que pasar"&amp;"on de siete programadas a 18 realizadas, así como conferencias, talleres y espacios de reflexión. En las redes sociales se realizaron  756 publicaciones, que alcanzaron 179 mil 832 visualizaciones. Pulido Gómez, aseguró que cada conferencia, mensaje, publ"&amp;"icación y acompañamiento contribuyó a una participación política de las mujeres más igualitaria, informada y justa. “Este año hicimos mucho más que superar metas. Acompañamos historias, abrimos caminos y fortalecimos la voz de miles de mujeres que hoy par"&amp;"ticipan, deciden y transforman la vida pública del Estado de México”, destacó. En su intervención, Jaime Merlos reiteró su compromiso de fortalecer el camino ya forjado, asumiendo la responsabilidad de privilegiar el diálogo, promover la colaboración inte"&amp;"rinstitucional y proteger la dignidad y los derechos de las mujeres mexiquenses. Subrayó que, aunque los desafíos son amplios, el OPPMEM es sinónimo de capacidad, sensibilidad y profesionalismo, cuya experiencia lo consolida un organismo que impulsa la pr"&amp;"omoción de la participación política de las mujeres a nivel nacional. En representación de María Esther Rodríguez Hernández, Secretaria de las Mujeres, e integrante del OPPMEM, Alicia Trejo Patiño, Directora General de Igualdad Sustantiva y enlace de la D"&amp;"irección Ejecutiva, reconoció el trabajo realizado por el Observatorio en materia de fortalecimiento de la vida democrática en la entidad; la promoción de la inclusión y en garantizar que la participación política sea un derecho plenamente accesible y eje"&amp;"rcido por todas las mujeres. Destacó que cada uno de los esfuerzos impulsados desde el OPPMEM contribuye a la construcción de instituciones más abiertas, equitativas y representativas. No hay etiquetas asociadas a éste artículo.")</f>
        <v>“Hoy podemos decir que contribuimos al fortalecimiento de la paridad y que avanzamos hacia una participación más libre, informada y justa para todas,” aseveró la Consejera Presidenta del Instituto Electoral del Estado de México (IEEM) y Presidenta del Observatorio de Participación Política de las Mujeres del Estado de México (OPPMEM), Amalia Pulido Gómez, durante la presentación del Informe de Resultados 2025 del Observatorio. Durante la sesión se designó a Arlen Siu Jaime Merlos, Magistrada Presidenta del Tribunal Electoral del Estado de México (TEEM), como presidenta del OPPMEM, a partir del primero de enero del 2026. Durante la Trigésima Tercera Sesión Ordinaria del OPPMEM, Pulido Gómez destacó que en 2025 las actividades del Observatorio estuvieron marcadas por el Proceso Electoral Judicial Extraordinario mexiquense, pues fue un desafío que exigió más claridad, compromiso y trabajo conjunto para promover una participación política donde la igualdad fuera la regla y la violencia política contra las mujeres en razón de género, la excepción. Pulido informó que, como parte de las actividades del OPPMEM para lograr la igualdad en la contienda, se brindó información y capacitación para el fortalecimiento de habilidades y desarrollo de herramientas sobre participación política de las mujeres; además, se diseñó un Programa de Trabajo con una meta de 209 actividades, la cual fue superada al concretarse 575 acciones; también, desde la Dirección Ejecutiva del OPPMEM, se impulsaron acciones estratégicas que pasaron de siete programadas a 18 realizadas, así como conferencias, talleres y espacios de reflexión. En las redes sociales se realizaron  756 publicaciones, que alcanzaron 179 mil 832 visualizaciones. Pulido Gómez, aseguró que cada conferencia, mensaje, publicación y acompañamiento contribuyó a una participación política de las mujeres más igualitaria, informada y justa. “Este año hicimos mucho más que superar metas. Acompañamos historias, abrimos caminos y fortalecimos la voz de miles de mujeres que hoy participan, deciden y transforman la vida pública del Estado de México”, destacó. En su intervención, Jaime Merlos reiteró su compromiso de fortalecer el camino ya forjado, asumiendo la responsabilidad de privilegiar el diálogo, promover la colaboración interinstitucional y proteger la dignidad y los derechos de las mujeres mexiquenses. Subrayó que, aunque los desafíos son amplios, el OPPMEM es sinónimo de capacidad, sensibilidad y profesionalismo, cuya experiencia lo consolida un organismo que impulsa la promoción de la participación política de las mujeres a nivel nacional. En representación de María Esther Rodríguez Hernández, Secretaria de las Mujeres, e integrante del OPPMEM, Alicia Trejo Patiño, Directora General de Igualdad Sustantiva y enlace de la Dirección Ejecutiva, reconoció el trabajo realizado por el Observatorio en materia de fortalecimiento de la vida democrática en la entidad; la promoción de la inclusión y en garantizar que la participación política sea un derecho plenamente accesible y ejercido por todas las mujeres. Destacó que cada uno de los esfuerzos impulsados desde el OPPMEM contribuye a la construcción de instituciones más abiertas, equitativas y representativas. No hay etiquetas asociadas a éste artículo.</v>
      </c>
      <c r="O114" s="15">
        <f>IFERROR(__xludf.DUMMYFUNCTION("""COMPUTED_VALUE"""),0.3035)</f>
        <v>0.3035</v>
      </c>
      <c r="P114" s="2"/>
      <c r="Q114" s="17">
        <f>IFERROR(__xludf.DUMMYFUNCTION("""COMPUTED_VALUE"""),8.0)</f>
        <v>8</v>
      </c>
      <c r="R114" s="2" t="str">
        <f>IFERROR(__xludf.DUMMYFUNCTION("""COMPUTED_VALUE"""),"High")</f>
        <v>High</v>
      </c>
      <c r="S114" s="17">
        <f>IFERROR(__xludf.DUMMYFUNCTION("""COMPUTED_VALUE"""),3.0)</f>
        <v>3</v>
      </c>
      <c r="T114" s="17">
        <f>IFERROR(__xludf.DUMMYFUNCTION("""COMPUTED_VALUE"""),0.0)</f>
        <v>0</v>
      </c>
      <c r="U114" s="14">
        <f>IFERROR(__xludf.DUMMYFUNCTION("""COMPUTED_VALUE"""),2.0)</f>
        <v>2</v>
      </c>
      <c r="V114" s="14">
        <v>2025.0</v>
      </c>
      <c r="W114" s="2" t="s">
        <v>1168</v>
      </c>
      <c r="X114" s="2" t="s">
        <v>1169</v>
      </c>
      <c r="Y114" s="13" t="s">
        <v>487</v>
      </c>
      <c r="Z114" s="14">
        <v>0.0</v>
      </c>
      <c r="AA114" s="14">
        <v>0.0</v>
      </c>
      <c r="AB114" s="14">
        <v>0.0</v>
      </c>
      <c r="AC114" s="14">
        <v>0.0</v>
      </c>
      <c r="AD114" s="2">
        <v>0.0</v>
      </c>
      <c r="AE114" s="2">
        <v>0.0</v>
      </c>
      <c r="AF114" s="2">
        <v>12.0</v>
      </c>
      <c r="AG114" s="2" t="s">
        <v>1202</v>
      </c>
      <c r="AH114" s="2">
        <v>0.0</v>
      </c>
    </row>
    <row r="115" ht="15.75" customHeight="1">
      <c r="A115" s="2" t="str">
        <f>IFERROR(__xludf.DUMMYFUNCTION("""COMPUTED_VALUE"""),"Diario Portal")</f>
        <v>Diario Portal</v>
      </c>
      <c r="B115" s="12" t="str">
        <f>IFERROR(__xludf.DUMMYFUNCTION("""COMPUTED_VALUE"""),"Abren proceso penal contra el agresor sexual de una mujer en Nextlalpan")</f>
        <v>Abren proceso penal contra el agresor sexual de una mujer en Nextlalpan</v>
      </c>
      <c r="C115" s="13" t="str">
        <f>IFERROR(__xludf.DUMMYFUNCTION("""COMPUTED_VALUE"""),"2025-12-15 19:02:52")</f>
        <v>2025-12-15 19:02:52</v>
      </c>
      <c r="D115" s="14">
        <f>IFERROR(__xludf.DUMMYFUNCTION("""COMPUTED_VALUE"""),5.0)</f>
        <v>5</v>
      </c>
      <c r="E115" s="15">
        <f>IFERROR(__xludf.DUMMYFUNCTION("""COMPUTED_VALUE"""),-0.5905)</f>
        <v>-0.5905</v>
      </c>
      <c r="F115" s="2" t="str">
        <f>IFERROR(__xludf.DUMMYFUNCTION("""COMPUTED_VALUE"""),"Negativo")</f>
        <v>Negativo</v>
      </c>
      <c r="G115" s="15">
        <f>IFERROR(__xludf.DUMMYFUNCTION("""COMPUTED_VALUE"""),0.5905)</f>
        <v>0.5905</v>
      </c>
      <c r="H115" s="2" t="str">
        <f>IFERROR(__xludf.DUMMYFUNCTION("""COMPUTED_VALUE"""),"Acoso o agresión sexual")</f>
        <v>Acoso o agresión sexual</v>
      </c>
      <c r="I115" s="2" t="str">
        <f>IFERROR(__xludf.DUMMYFUNCTION("""COMPUTED_VALUE"""),"violación")</f>
        <v>violación</v>
      </c>
      <c r="J115" s="2" t="str">
        <f>IFERROR(__xludf.DUMMYFUNCTION("""COMPUTED_VALUE"""),"INTEGRIDAD / GÉNERO: Cero Tolerancia.")</f>
        <v>INTEGRIDAD / GÉNERO: Cero Tolerancia.</v>
      </c>
      <c r="K115" s="2" t="str">
        <f>IFERROR(__xludf.DUMMYFUNCTION("""COMPUTED_VALUE"""),"Estado de México")</f>
        <v>Estado de México</v>
      </c>
      <c r="L115" s="2" t="str">
        <f>IFERROR(__xludf.DUMMYFUNCTION("""COMPUTED_VALUE"""),"Estado de México")</f>
        <v>Estado de México</v>
      </c>
      <c r="M115" s="16" t="str">
        <f>IFERROR(__xludf.DUMMYFUNCTION("""COMPUTED_VALUE"""),"https://diarioportal.com/seguridad-y-justicia/abren-proceso-penal-contra-el-agresor-sexual-de-una-mujer-en-nextlalpan")</f>
        <v>https://diarioportal.com/seguridad-y-justicia/abren-proceso-penal-contra-el-agresor-sexual-de-una-mujer-en-nextlalpan</v>
      </c>
      <c r="N115" s="2" t="str">
        <f>IFERROR(__xludf.DUMMYFUNCTION("""COMPUTED_VALUE"""),"La Fiscalía General del Estado de México (FGJEM) obtuvo de un Juez auto de vinculación a proceso en contra de Archibaldo ‘N’, por su probable participación en el delito de violación en agravio de una mujer. De acuerdo a la investigación iniciada por el Ag"&amp;"ente del Ministerio Público, el ahora detenido ingresó al domicilio de la víctima ubicado en el fraccionamiento Santa Inés, en Nextlalpan, en donde la habría agredido. Una persona se dio cuenta de estos hechos, por lo que solicitó auxilio a la Policía Mun"&amp;"icipal, quienes arribaron a dicho lugar y lograron detener a Archibaldo ‘N’ al interior del domicilio, por lo que fue trasladado ante el Agente del Ministerio Público. Una vez que el Juez de la causa conoció los hechos denunciados y valoró las pruebas apo"&amp;"rtadas por esta Fiscalía, determinó la vinculación a proceso de Archibaldo ‘N’ por su probable participación en el delito de violación, además de establecer prisión preventiva oficiosa y un periodo de tres meses para el cierre de la investigación compleme"&amp;"ntaria. No hay etiquetas asociadas a éste artículo.")</f>
        <v>La Fiscalía General del Estado de México (FGJEM) obtuvo de un Juez auto de vinculación a proceso en contra de Archibaldo ‘N’, por su probable participación en el delito de violación en agravio de una mujer. De acuerdo a la investigación iniciada por el Agente del Ministerio Público, el ahora detenido ingresó al domicilio de la víctima ubicado en el fraccionamiento Santa Inés, en Nextlalpan, en donde la habría agredido. Una persona se dio cuenta de estos hechos, por lo que solicitó auxilio a la Policía Municipal, quienes arribaron a dicho lugar y lograron detener a Archibaldo ‘N’ al interior del domicilio, por lo que fue trasladado ante el Agente del Ministerio Público. Una vez que el Juez de la causa conoció los hechos denunciados y valoró las pruebas aportadas por esta Fiscalía, determinó la vinculación a proceso de Archibaldo ‘N’ por su probable participación en el delito de violación, además de establecer prisión preventiva oficiosa y un periodo de tres meses para el cierre de la investigación complementaria. No hay etiquetas asociadas a éste artículo.</v>
      </c>
      <c r="O115" s="15">
        <f>IFERROR(__xludf.DUMMYFUNCTION("""COMPUTED_VALUE"""),1.0)</f>
        <v>1</v>
      </c>
      <c r="P115" s="2"/>
      <c r="Q115" s="17">
        <f>IFERROR(__xludf.DUMMYFUNCTION("""COMPUTED_VALUE"""),5.0)</f>
        <v>5</v>
      </c>
      <c r="R115" s="2" t="str">
        <f>IFERROR(__xludf.DUMMYFUNCTION("""COMPUTED_VALUE"""),"High")</f>
        <v>High</v>
      </c>
      <c r="S115" s="17">
        <f>IFERROR(__xludf.DUMMYFUNCTION("""COMPUTED_VALUE"""),3.0)</f>
        <v>3</v>
      </c>
      <c r="T115" s="17">
        <f>IFERROR(__xludf.DUMMYFUNCTION("""COMPUTED_VALUE"""),0.0)</f>
        <v>0</v>
      </c>
      <c r="U115" s="14">
        <f>IFERROR(__xludf.DUMMYFUNCTION("""COMPUTED_VALUE"""),2.0)</f>
        <v>2</v>
      </c>
      <c r="V115" s="14">
        <v>2025.0</v>
      </c>
      <c r="W115" s="2" t="s">
        <v>1168</v>
      </c>
      <c r="X115" s="2" t="s">
        <v>1169</v>
      </c>
      <c r="Y115" s="13" t="s">
        <v>491</v>
      </c>
      <c r="Z115" s="14">
        <v>0.0</v>
      </c>
      <c r="AA115" s="14">
        <v>0.0</v>
      </c>
      <c r="AB115" s="14">
        <v>0.0</v>
      </c>
      <c r="AC115" s="14">
        <v>0.0</v>
      </c>
      <c r="AD115" s="2">
        <v>0.0</v>
      </c>
      <c r="AE115" s="2">
        <v>1.0</v>
      </c>
      <c r="AF115" s="2">
        <v>12.0</v>
      </c>
      <c r="AG115" s="2" t="s">
        <v>1202</v>
      </c>
      <c r="AH115" s="2">
        <v>0.0</v>
      </c>
    </row>
    <row r="116" ht="15.75" customHeight="1">
      <c r="A116" s="2" t="str">
        <f>IFERROR(__xludf.DUMMYFUNCTION("""COMPUTED_VALUE"""),"Diario Portal")</f>
        <v>Diario Portal</v>
      </c>
      <c r="B116" s="12" t="str">
        <f>IFERROR(__xludf.DUMMYFUNCTION("""COMPUTED_VALUE"""),"Homicidios y robos de vehículos disminuyen con Mando Unificado en oriente del Edomex")</f>
        <v>Homicidios y robos de vehículos disminuyen con Mando Unificado en oriente del Edomex</v>
      </c>
      <c r="C116" s="13" t="str">
        <f>IFERROR(__xludf.DUMMYFUNCTION("""COMPUTED_VALUE"""),"2025-12-15 17:28:36")</f>
        <v>2025-12-15 17:28:36</v>
      </c>
      <c r="D116" s="14">
        <f>IFERROR(__xludf.DUMMYFUNCTION("""COMPUTED_VALUE"""),4.0)</f>
        <v>4</v>
      </c>
      <c r="E116" s="15">
        <f>IFERROR(__xludf.DUMMYFUNCTION("""COMPUTED_VALUE"""),0.0)</f>
        <v>0</v>
      </c>
      <c r="F116" s="2" t="str">
        <f>IFERROR(__xludf.DUMMYFUNCTION("""COMPUTED_VALUE"""),"Neutral")</f>
        <v>Neutral</v>
      </c>
      <c r="G116" s="15">
        <f>IFERROR(__xludf.DUMMYFUNCTION("""COMPUTED_VALUE"""),0.4651)</f>
        <v>0.4651</v>
      </c>
      <c r="H116" s="2" t="str">
        <f>IFERROR(__xludf.DUMMYFUNCTION("""COMPUTED_VALUE"""),"Delito violento, robo o asalto")</f>
        <v>Delito violento, robo o asalto</v>
      </c>
      <c r="I116" s="2" t="str">
        <f>IFERROR(__xludf.DUMMYFUNCTION("""COMPUTED_VALUE"""),"homicidio")</f>
        <v>homicidio</v>
      </c>
      <c r="J116" s="2" t="str">
        <f>IFERROR(__xludf.DUMMYFUNCTION("""COMPUTED_VALUE"""),"Prevención PAX: Contactos de confianza.")</f>
        <v>Prevención PAX: Contactos de confianza.</v>
      </c>
      <c r="K116" s="2" t="str">
        <f>IFERROR(__xludf.DUMMYFUNCTION("""COMPUTED_VALUE"""),"Estado de México")</f>
        <v>Estado de México</v>
      </c>
      <c r="L116" s="2" t="str">
        <f>IFERROR(__xludf.DUMMYFUNCTION("""COMPUTED_VALUE"""),"Estado de México")</f>
        <v>Estado de México</v>
      </c>
      <c r="M116" s="16" t="str">
        <f>IFERROR(__xludf.DUMMYFUNCTION("""COMPUTED_VALUE"""),"https://diarioportal.com/seguridad-y-justicia/homicidios-y-robos-de-vehiculos-disminuyen-con-mando-unificado-en-oriente-del-edomex")</f>
        <v>https://diarioportal.com/seguridad-y-justicia/homicidios-y-robos-de-vehiculos-disminuyen-con-mando-unificado-en-oriente-del-edomex</v>
      </c>
      <c r="N116" s="2" t="str">
        <f>IFERROR(__xludf.DUMMYFUNCTION("""COMPUTED_VALUE"""),"El trabajo coordinado del Mando Unificado Oriente, integrado por los tres órdenes de gobierno, que forma parte de la estrategia de la Mesa de Paz que encabeza la gobernadora Delfina Gómez Álvarez, permitió la reducción del 53% en el robo de vehículos y 22"&amp;"% el homicidio doloso, en 265 días de su implementación en 15 municipios, en comparación con el mismo periodo previo a la puesta en marcha. “Esta mañana, encabecé la Mesa de Paz en el #C5 de Toluca. En esta reunión, el General Alcántara, Coordinador del M"&amp;"ando Unificado Oriente, compartió que a 265 días de la implementación de esta estrategia, se tiene la disminución de 53% en robo de vehículos y de 22% en homicidio doloso en los municipios que la integran. En coordinación, los tres órdenes de gobierno tra"&amp;"bajamos por la tranquilidad de las familias de la Zona Oriente. #ElPoderDeServir”, señaló la Gobernadora en sus redes sociales. El Mando Unificado Oriente avanza gracias a acciones tácticas como capacitación policial, operativos, detenciones y aseguramien"&amp;"tos, así como mejoras al entorno urbano, resultado del trabajo en equipo para combatir el crimen. De esta forma, se logra la mejora en la calidad de vida de las y los mexiquenses de Chalco, Chicoloapan, Chimalhuacán, Coacalco, Cuautitlán Izcalli, Cuautitl"&amp;"án México, Ecatepec, Ixtapaluca, Naucalpan, Nezahualcóyotl, La Paz, Texcoco, Tlalnepantla, Valle de Chalco y Tultitlán. A la Mesa de Paz 234 asistieron Horacio Duarte Olivares, Secretario General de Gobierno; Cristóbal Castañeda Camarillo, Secretario de S"&amp;"eguridad; Maricela López Urbina, Secretaria Técnica, así como representantes de la Defensa, Marina, Guardia Nacional y el Centro Nacional de Inteligencia. No hay etiquetas asociadas a éste artículo.")</f>
        <v>El trabajo coordinado del Mando Unificado Oriente, integrado por los tres órdenes de gobierno, que forma parte de la estrategia de la Mesa de Paz que encabeza la gobernadora Delfina Gómez Álvarez, permitió la reducción del 53% en el robo de vehículos y 22% el homicidio doloso, en 265 días de su implementación en 15 municipios, en comparación con el mismo periodo previo a la puesta en marcha. “Esta mañana, encabecé la Mesa de Paz en el #C5 de Toluca. En esta reunión, el General Alcántara, Coordinador del Mando Unificado Oriente, compartió que a 265 días de la implementación de esta estrategia, se tiene la disminución de 53% en robo de vehículos y de 22% en homicidio doloso en los municipios que la integran. En coordinación, los tres órdenes de gobierno trabajamos por la tranquilidad de las familias de la Zona Oriente. #ElPoderDeServir”, señaló la Gobernadora en sus redes sociales. El Mando Unificado Oriente avanza gracias a acciones tácticas como capacitación policial, operativos, detenciones y aseguramientos, así como mejoras al entorno urbano, resultado del trabajo en equipo para combatir el crimen. De esta forma, se logra la mejora en la calidad de vida de las y los mexiquenses de Chalco, Chicoloapan, Chimalhuacán, Coacalco, Cuautitlán Izcalli, Cuautitlán México, Ecatepec, Ixtapaluca, Naucalpan, Nezahualcóyotl, La Paz, Texcoco, Tlalnepantla, Valle de Chalco y Tultitlán. A la Mesa de Paz 234 asistieron Horacio Duarte Olivares, Secretario General de Gobierno; Cristóbal Castañeda Camarillo, Secretario de Seguridad; Maricela López Urbina, Secretaria Técnica, así como representantes de la Defensa, Marina, Guardia Nacional y el Centro Nacional de Inteligencia. No hay etiquetas asociadas a éste artículo.</v>
      </c>
      <c r="O116" s="15">
        <f>IFERROR(__xludf.DUMMYFUNCTION("""COMPUTED_VALUE"""),1.0)</f>
        <v>1</v>
      </c>
      <c r="P116" s="2"/>
      <c r="Q116" s="17">
        <f>IFERROR(__xludf.DUMMYFUNCTION("""COMPUTED_VALUE"""),3.0)</f>
        <v>3</v>
      </c>
      <c r="R116" s="2" t="str">
        <f>IFERROR(__xludf.DUMMYFUNCTION("""COMPUTED_VALUE"""),"Medium")</f>
        <v>Medium</v>
      </c>
      <c r="S116" s="17">
        <f>IFERROR(__xludf.DUMMYFUNCTION("""COMPUTED_VALUE"""),1.0)</f>
        <v>1</v>
      </c>
      <c r="T116" s="17">
        <f>IFERROR(__xludf.DUMMYFUNCTION("""COMPUTED_VALUE"""),0.0)</f>
        <v>0</v>
      </c>
      <c r="U116" s="14">
        <f>IFERROR(__xludf.DUMMYFUNCTION("""COMPUTED_VALUE"""),2.0)</f>
        <v>2</v>
      </c>
      <c r="V116" s="14">
        <v>2025.0</v>
      </c>
      <c r="W116" s="2" t="s">
        <v>1168</v>
      </c>
      <c r="X116" s="2" t="s">
        <v>1169</v>
      </c>
      <c r="Y116" s="13" t="s">
        <v>495</v>
      </c>
      <c r="Z116" s="14">
        <v>0.0</v>
      </c>
      <c r="AA116" s="14">
        <v>0.0</v>
      </c>
      <c r="AB116" s="14">
        <v>0.0</v>
      </c>
      <c r="AC116" s="14">
        <v>0.0</v>
      </c>
      <c r="AD116" s="2">
        <v>0.0</v>
      </c>
      <c r="AE116" s="2">
        <v>1.0</v>
      </c>
      <c r="AF116" s="2">
        <v>12.0</v>
      </c>
      <c r="AG116" s="2" t="s">
        <v>1202</v>
      </c>
      <c r="AH116" s="2">
        <v>0.0</v>
      </c>
    </row>
    <row r="117" ht="15.75" customHeight="1">
      <c r="A117" s="2" t="str">
        <f>IFERROR(__xludf.DUMMYFUNCTION("""COMPUTED_VALUE"""),"Diario Portal")</f>
        <v>Diario Portal</v>
      </c>
      <c r="B117" s="12" t="str">
        <f>IFERROR(__xludf.DUMMYFUNCTION("""COMPUTED_VALUE"""),"Duro golpe contra robo a transporte de carga en 21 municipios del Edomex")</f>
        <v>Duro golpe contra robo a transporte de carga en 21 municipios del Edomex</v>
      </c>
      <c r="C117" s="13" t="str">
        <f>IFERROR(__xludf.DUMMYFUNCTION("""COMPUTED_VALUE"""),"2025-12-14 22:10:34")</f>
        <v>2025-12-14 22:10:34</v>
      </c>
      <c r="D117" s="14">
        <f>IFERROR(__xludf.DUMMYFUNCTION("""COMPUTED_VALUE"""),5.0)</f>
        <v>5</v>
      </c>
      <c r="E117" s="15">
        <f>IFERROR(__xludf.DUMMYFUNCTION("""COMPUTED_VALUE"""),0.0)</f>
        <v>0</v>
      </c>
      <c r="F117" s="2" t="str">
        <f>IFERROR(__xludf.DUMMYFUNCTION("""COMPUTED_VALUE"""),"Neutral")</f>
        <v>Neutral</v>
      </c>
      <c r="G117" s="15">
        <f>IFERROR(__xludf.DUMMYFUNCTION("""COMPUTED_VALUE"""),0.5815)</f>
        <v>0.5815</v>
      </c>
      <c r="H117" s="2" t="str">
        <f>IFERROR(__xludf.DUMMYFUNCTION("""COMPUTED_VALUE"""),"Delito violento, robo o asalto")</f>
        <v>Delito violento, robo o asalto</v>
      </c>
      <c r="I117" s="2" t="str">
        <f>IFERROR(__xludf.DUMMYFUNCTION("""COMPUTED_VALUE"""),"homicidio")</f>
        <v>homicidio</v>
      </c>
      <c r="J117" s="2" t="str">
        <f>IFERROR(__xludf.DUMMYFUNCTION("""COMPUTED_VALUE"""),"Prevención PAX: Contactos de confianza.")</f>
        <v>Prevención PAX: Contactos de confianza.</v>
      </c>
      <c r="K117" s="2" t="str">
        <f>IFERROR(__xludf.DUMMYFUNCTION("""COMPUTED_VALUE"""),"Estado de México")</f>
        <v>Estado de México</v>
      </c>
      <c r="L117" s="2" t="str">
        <f>IFERROR(__xludf.DUMMYFUNCTION("""COMPUTED_VALUE"""),"Estado de México")</f>
        <v>Estado de México</v>
      </c>
      <c r="M117" s="16" t="str">
        <f>IFERROR(__xludf.DUMMYFUNCTION("""COMPUTED_VALUE"""),"https://diarioportal.com/seguridad-y-justicia/duro-golpe-contra-robo-a-transporte-de-carga-en-21-municipios-del-edomex")</f>
        <v>https://diarioportal.com/seguridad-y-justicia/duro-golpe-contra-robo-a-transporte-de-carga-en-21-municipios-del-edomex</v>
      </c>
      <c r="N117" s="2" t="str">
        <f>IFERROR(__xludf.DUMMYFUNCTION("""COMPUTED_VALUE"""),"Un total de 68 personas que formaban parte de ocho bandas especializadas en el robo de transporte de carga fueron detenidas en el marco de la Operación ‘Senda’, acción implementada contra este delito, anunciada por el Gabinete de Seguridad Nacional. La ac"&amp;"ción implementada entre los gobierno federal y estatal fue ejecutada en 46 municipios del Estado de México entre el 9 y 12 de diciembre, después de cinco meses de investigación donde las autoridades trabajaron con dueños de camiones y transportistas para "&amp;"identificar las zonas más peligrosas de la entidad mexiquense y las bandas responsables. De acuerdo con la Fiscalía General de Justicia del Estado de México (FGJEM), de las 68 personas detenidas e integrantes de las bandas dedicadas a robar camiones, 24 e"&amp;"ran objetivos con orden de aprehensión y 44 fueron detenidos en flagrancia. Asimismo, fueron asegurados 137 inmuebles tras concretar 63 cateos y 74 inspecciones. Las acciones se enfocaron en la zona donde colindan el Estado de México e Hidalgo, pues las b"&amp;"andas operaban principalmente en carreteras federales como la 130, la 135 y el Arco Norte. Las investigaciones identificaron a ocho organizaciones criminales dedicadas al robo de camiones de carga y que son los Tilicos y/o Saldívar, los Pantera, los Marmo"&amp;"lejo, la Empresa, Toño Tennis, Del Ángel Axel, Bam Bam y el Kevin. Estas bandas operaban principalmente en los municipios de Tlalnepantla, Tultitlán, Cuautitlán Izcalli, Polotitlán, Jilotepec, Soyaniquilpan, Otumba, Huehuetoca, Naucalpan, Atizapán de Zara"&amp;"goza, Tlalnepantla, Cuautitlán, Zumpango, Teoloyucan, Chimalhuacán, La Paz, Nezahualcóyotl, Nopaltepec, Nextlalpan, Ecatepec y Tecámac. Los inmuebles asegurados son 58 bodegas, cuatro restaurantes, 23 lugares de encierro, dos lugares de venta irregular, 2"&amp;"3 domicilios particulares, tres deshuesaderos, 22 cachimbas y una empresa de monitor. Durante la operación fueron asegurados 178 vehículos de transporte, 49 armas de fuego, cartuchos útiles y cargadores, 29 motores de tractocamión sin medios de identifica"&amp;"ción o alterados, 61 mil 294 cajas con mercancías diversas, además de aproximadamente 535 mil pesos en moneda nacional y extranjera, También fueron asegurados troquel e insignias para simular corporaciones oficiales, diversas autopartes como chasises y re"&amp;"facciones de camiones y trailers, equipos de monitoreo satelital e inhibidores de señales, placas de circulación de vehículos con reporte de robo, así como dosis de estupefacientes tipo cristal y mariguana. Los delitos que se les imputan a los detenidos s"&amp;"on secuestro exprés, robos de mercancía y vehículo con violencia, homicidio, robo en transporte público, contra la salud, encubrimiento por receptación, cohecho, ataques contra las vías de comunicación y portación de arma de fuego. Entre los detenidos des"&amp;"taca Mario Iván ‘N’, identificado como el líder de una célula criminal que operaba en el Estado de México e Hidalgo. Fue capturado junto con otros 11 miembros de su organización durante los cateos realizados en siete propiedades. Cabe señalar que la Opera"&amp;"ción Senda es un esfuerzo coordinado entre autoridades federales, estatales y el sector del autotransporte para combatir un delito que afecta la economía y seguridad de las carreteras. Operativos que continuará como parte de la Estrategia Nacional contra "&amp;"el Robo al Autotransporte. No hay etiquetas asociadas a éste artículo.")</f>
        <v>Un total de 68 personas que formaban parte de ocho bandas especializadas en el robo de transporte de carga fueron detenidas en el marco de la Operación ‘Senda’, acción implementada contra este delito, anunciada por el Gabinete de Seguridad Nacional. La acción implementada entre los gobierno federal y estatal fue ejecutada en 46 municipios del Estado de México entre el 9 y 12 de diciembre, después de cinco meses de investigación donde las autoridades trabajaron con dueños de camiones y transportistas para identificar las zonas más peligrosas de la entidad mexiquense y las bandas responsables. De acuerdo con la Fiscalía General de Justicia del Estado de México (FGJEM), de las 68 personas detenidas e integrantes de las bandas dedicadas a robar camiones, 24 eran objetivos con orden de aprehensión y 44 fueron detenidos en flagrancia. Asimismo, fueron asegurados 137 inmuebles tras concretar 63 cateos y 74 inspecciones. Las acciones se enfocaron en la zona donde colindan el Estado de México e Hidalgo, pues las bandas operaban principalmente en carreteras federales como la 130, la 135 y el Arco Norte. Las investigaciones identificaron a ocho organizaciones criminales dedicadas al robo de camiones de carga y que son los Tilicos y/o Saldívar, los Pantera, los Marmolejo, la Empresa, Toño Tennis, Del Ángel Axel, Bam Bam y el Kevin. Estas bandas operaban principalmente en los municipios de Tlalnepantla, Tultitlán, Cuautitlán Izcalli, Polotitlán, Jilotepec, Soyaniquilpan, Otumba, Huehuetoca, Naucalpan, Atizapán de Zaragoza, Tlalnepantla, Cuautitlán, Zumpango, Teoloyucan, Chimalhuacán, La Paz, Nezahualcóyotl, Nopaltepec, Nextlalpan, Ecatepec y Tecámac. Los inmuebles asegurados son 58 bodegas, cuatro restaurantes, 23 lugares de encierro, dos lugares de venta irregular, 23 domicilios particulares, tres deshuesaderos, 22 cachimbas y una empresa de monitor. Durante la operación fueron asegurados 178 vehículos de transporte, 49 armas de fuego, cartuchos útiles y cargadores, 29 motores de tractocamión sin medios de identificación o alterados, 61 mil 294 cajas con mercancías diversas, además de aproximadamente 535 mil pesos en moneda nacional y extranjera, También fueron asegurados troquel e insignias para simular corporaciones oficiales, diversas autopartes como chasises y refacciones de camiones y trailers, equipos de monitoreo satelital e inhibidores de señales, placas de circulación de vehículos con reporte de robo, así como dosis de estupefacientes tipo cristal y mariguana. Los delitos que se les imputan a los detenidos son secuestro exprés, robos de mercancía y vehículo con violencia, homicidio, robo en transporte público, contra la salud, encubrimiento por receptación, cohecho, ataques contra las vías de comunicación y portación de arma de fuego. Entre los detenidos destaca Mario Iván ‘N’, identificado como el líder de una célula criminal que operaba en el Estado de México e Hidalgo. Fue capturado junto con otros 11 miembros de su organización durante los cateos realizados en siete propiedades. Cabe señalar que la Operación Senda es un esfuerzo coordinado entre autoridades federales, estatales y el sector del autotransporte para combatir un delito que afecta la economía y seguridad de las carreteras. Operativos que continuará como parte de la Estrategia Nacional contra el Robo al Autotransporte. No hay etiquetas asociadas a éste artículo.</v>
      </c>
      <c r="O117" s="15">
        <f>IFERROR(__xludf.DUMMYFUNCTION("""COMPUTED_VALUE"""),1.0)</f>
        <v>1</v>
      </c>
      <c r="P117" s="2"/>
      <c r="Q117" s="17">
        <f>IFERROR(__xludf.DUMMYFUNCTION("""COMPUTED_VALUE"""),6.0)</f>
        <v>6</v>
      </c>
      <c r="R117" s="2" t="str">
        <f>IFERROR(__xludf.DUMMYFUNCTION("""COMPUTED_VALUE"""),"High")</f>
        <v>High</v>
      </c>
      <c r="S117" s="17">
        <f>IFERROR(__xludf.DUMMYFUNCTION("""COMPUTED_VALUE"""),3.0)</f>
        <v>3</v>
      </c>
      <c r="T117" s="17">
        <f>IFERROR(__xludf.DUMMYFUNCTION("""COMPUTED_VALUE"""),0.0)</f>
        <v>0</v>
      </c>
      <c r="U117" s="14">
        <f>IFERROR(__xludf.DUMMYFUNCTION("""COMPUTED_VALUE"""),2.0)</f>
        <v>2</v>
      </c>
      <c r="V117" s="14">
        <v>2025.0</v>
      </c>
      <c r="W117" s="2" t="s">
        <v>1168</v>
      </c>
      <c r="X117" s="2" t="s">
        <v>1188</v>
      </c>
      <c r="Y117" s="13" t="s">
        <v>499</v>
      </c>
      <c r="Z117" s="14">
        <v>0.0</v>
      </c>
      <c r="AA117" s="14">
        <v>0.0</v>
      </c>
      <c r="AB117" s="14">
        <v>0.0</v>
      </c>
      <c r="AC117" s="14">
        <v>0.0</v>
      </c>
      <c r="AD117" s="2">
        <v>0.0</v>
      </c>
      <c r="AE117" s="2">
        <v>1.0</v>
      </c>
      <c r="AF117" s="2">
        <v>12.0</v>
      </c>
      <c r="AG117" s="2" t="s">
        <v>1202</v>
      </c>
      <c r="AH117" s="2">
        <v>0.0</v>
      </c>
    </row>
    <row r="118" ht="15.75" customHeight="1">
      <c r="A118" s="2" t="str">
        <f>IFERROR(__xludf.DUMMYFUNCTION("""COMPUTED_VALUE"""),"Diario Portal")</f>
        <v>Diario Portal</v>
      </c>
      <c r="B118" s="12" t="str">
        <f>IFERROR(__xludf.DUMMYFUNCTION("""COMPUTED_VALUE"""),"Sentenciada  exalcaldesa  de Amanalco  por asesinato  de un síndico   y su escolta")</f>
        <v>Sentenciada  exalcaldesa  de Amanalco  por asesinato  de un síndico   y su escolta</v>
      </c>
      <c r="C118" s="13" t="str">
        <f>IFERROR(__xludf.DUMMYFUNCTION("""COMPUTED_VALUE"""),"Sin Fecha")</f>
        <v>Sin Fecha</v>
      </c>
      <c r="D118" s="14">
        <f>IFERROR(__xludf.DUMMYFUNCTION("""COMPUTED_VALUE"""),4.0)</f>
        <v>4</v>
      </c>
      <c r="E118" s="15">
        <f>IFERROR(__xludf.DUMMYFUNCTION("""COMPUTED_VALUE"""),-0.504)</f>
        <v>-0.504</v>
      </c>
      <c r="F118" s="2" t="str">
        <f>IFERROR(__xludf.DUMMYFUNCTION("""COMPUTED_VALUE"""),"Negativo")</f>
        <v>Negativo</v>
      </c>
      <c r="G118" s="15">
        <f>IFERROR(__xludf.DUMMYFUNCTION("""COMPUTED_VALUE"""),0.504)</f>
        <v>0.504</v>
      </c>
      <c r="H118" s="2" t="str">
        <f>IFERROR(__xludf.DUMMYFUNCTION("""COMPUTED_VALUE"""),"Delito violento, robo o asalto")</f>
        <v>Delito violento, robo o asalto</v>
      </c>
      <c r="I118" s="2" t="str">
        <f>IFERROR(__xludf.DUMMYFUNCTION("""COMPUTED_VALUE"""),"homicidio")</f>
        <v>homicidio</v>
      </c>
      <c r="J118" s="2" t="str">
        <f>IFERROR(__xludf.DUMMYFUNCTION("""COMPUTED_VALUE"""),"Prevención PAX: Contactos de confianza.")</f>
        <v>Prevención PAX: Contactos de confianza.</v>
      </c>
      <c r="K118" s="2" t="str">
        <f>IFERROR(__xludf.DUMMYFUNCTION("""COMPUTED_VALUE"""),"Estado de México")</f>
        <v>Estado de México</v>
      </c>
      <c r="L118" s="2" t="str">
        <f>IFERROR(__xludf.DUMMYFUNCTION("""COMPUTED_VALUE"""),"Estado de México")</f>
        <v>Estado de México</v>
      </c>
      <c r="M118" s="16" t="str">
        <f>IFERROR(__xludf.DUMMYFUNCTION("""COMPUTED_VALUE"""),"https://diarioportal.com/seguridad-y-justicia/sentenciada-exalcaldesa-de-amanalco-por-asesinato-de-un-sindico-y-su-escolta")</f>
        <v>https://diarioportal.com/seguridad-y-justicia/sentenciada-exalcaldesa-de-amanalco-por-asesinato-de-un-sindico-y-su-escolta</v>
      </c>
      <c r="N118" s="2" t="str">
        <f>IFERROR(__xludf.DUMMYFUNCTION("""COMPUTED_VALUE"""),"La expresidenta municipal de Amanalco, María Elena Martínez Robles, fue encontrada culpable por el homicidio calificado en agravio del síndico Miguel Ángel Lara de la Cruz y su escolta, Guillermo Jeronimo, hechos registrados el 25 de enero de 2023. De acu"&amp;"erdo con información de la Fiscalía General de Justicia del Estado de México (FGJEM), la exalcaldesa ordenó a integrantes de la Familia Michoacana ultimar a ambas personas. La Autoridad Judicial determinó la responsabilidad penal de la exalcaldesa, ya que"&amp;" las investigaciones arrojaron que las víctimas, en el ejercicio de su función pública, por instrucciones de la entonces presidenta municipal, fueron enviados a una zona de alto riesgo dominada por grupos delincuenciales con presencia en la región, de la "&amp;"cual nunca regresaron con vida. Las indagatorias de la Fiscalía Mexiquense establecieron que Martínez Robles ordenó de manera directa a integrantes de un grupo criminal con orígenes en Michoacán, que privaran de la vida al síndico municipal con el fin de "&amp;"poder seguir controlando las decisiones al interior del ayuntamiento. La ahora sentenciada fue detenida como resultado de las acciones operativas y de investigación realizadas por la Fiscalía del Estado de México y la Secretaría de Seguridad y Protección "&amp;"Ciudadana (SSPC), como parte de la Operación Enjambre con el apoyo de la Secretaría de la Defensa Nacional, la Guardia Nacional y de la Secretaría de Seguridad estatal (SSEM). Con los datos de prueba aportados, la autoridad judicial determinó la culpabili"&amp;"dad de María Elena Martínez Robles en este ilícito, y fijó el próximo martes como fecha para la audiencia de individualización de sanciones. Cabe señalar que hasta el momento, y derivado de las acciones de la Operación 'Enjambre', realizadas de manera con"&amp;"junta por el gobierno de México y el gobierno del Estado de México, han permitido obtener sentencias condenatorias contra10 de los 16 objetivos detenidos. La exservidora pública municipal fue detenida en el marco de la dicha operación, estrategia que tien"&amp;"e como propósito combatir diversas expresiones delincuenciales al interior de las administraciones municipales y sobre todo, hacer frente a la penetración del crimen organizado en las mismas. No hay etiquetas asociadas a éste artículo.")</f>
        <v>La expresidenta municipal de Amanalco, María Elena Martínez Robles, fue encontrada culpable por el homicidio calificado en agravio del síndico Miguel Ángel Lara de la Cruz y su escolta, Guillermo Jeronimo, hechos registrados el 25 de enero de 2023. De acuerdo con información de la Fiscalía General de Justicia del Estado de México (FGJEM), la exalcaldesa ordenó a integrantes de la Familia Michoacana ultimar a ambas personas. La Autoridad Judicial determinó la responsabilidad penal de la exalcaldesa, ya que las investigaciones arrojaron que las víctimas, en el ejercicio de su función pública, por instrucciones de la entonces presidenta municipal, fueron enviados a una zona de alto riesgo dominada por grupos delincuenciales con presencia en la región, de la cual nunca regresaron con vida. Las indagatorias de la Fiscalía Mexiquense establecieron que Martínez Robles ordenó de manera directa a integrantes de un grupo criminal con orígenes en Michoacán, que privaran de la vida al síndico municipal con el fin de poder seguir controlando las decisiones al interior del ayuntamiento. La ahora sentenciada fue detenida como resultado de las acciones operativas y de investigación realizadas por la Fiscalía del Estado de México y la Secretaría de Seguridad y Protección Ciudadana (SSPC), como parte de la Operación Enjambre con el apoyo de la Secretaría de la Defensa Nacional, la Guardia Nacional y de la Secretaría de Seguridad estatal (SSEM). Con los datos de prueba aportados, la autoridad judicial determinó la culpabilidad de María Elena Martínez Robles en este ilícito, y fijó el próximo martes como fecha para la audiencia de individualización de sanciones. Cabe señalar que hasta el momento, y derivado de las acciones de la Operación 'Enjambre', realizadas de manera conjunta por el gobierno de México y el gobierno del Estado de México, han permitido obtener sentencias condenatorias contra10 de los 16 objetivos detenidos. La exservidora pública municipal fue detenida en el marco de la dicha operación, estrategia que tiene como propósito combatir diversas expresiones delincuenciales al interior de las administraciones municipales y sobre todo, hacer frente a la penetración del crimen organizado en las mismas. No hay etiquetas asociadas a éste artículo.</v>
      </c>
      <c r="O118" s="15">
        <f>IFERROR(__xludf.DUMMYFUNCTION("""COMPUTED_VALUE"""),1.0)</f>
        <v>1</v>
      </c>
      <c r="P118" s="2"/>
      <c r="Q118" s="17">
        <f>IFERROR(__xludf.DUMMYFUNCTION("""COMPUTED_VALUE"""),3.0)</f>
        <v>3</v>
      </c>
      <c r="R118" s="2" t="str">
        <f>IFERROR(__xludf.DUMMYFUNCTION("""COMPUTED_VALUE"""),"Low")</f>
        <v>Low</v>
      </c>
      <c r="S118" s="17">
        <f>IFERROR(__xludf.DUMMYFUNCTION("""COMPUTED_VALUE"""),0.0)</f>
        <v>0</v>
      </c>
      <c r="T118" s="17">
        <f>IFERROR(__xludf.DUMMYFUNCTION("""COMPUTED_VALUE"""),0.0)</f>
        <v>0</v>
      </c>
      <c r="U118" s="14">
        <f>IFERROR(__xludf.DUMMYFUNCTION("""COMPUTED_VALUE"""),2.0)</f>
        <v>2</v>
      </c>
      <c r="V118" s="14" t="s">
        <v>1186</v>
      </c>
      <c r="W118" s="2" t="s">
        <v>190</v>
      </c>
      <c r="X118" s="2" t="s">
        <v>190</v>
      </c>
      <c r="Y118" s="13"/>
      <c r="Z118" s="14">
        <v>0.0</v>
      </c>
      <c r="AA118" s="14">
        <v>0.0</v>
      </c>
      <c r="AB118" s="14">
        <v>0.0</v>
      </c>
      <c r="AC118" s="14">
        <v>0.0</v>
      </c>
      <c r="AD118" s="2">
        <v>0.0</v>
      </c>
      <c r="AE118" s="2">
        <v>1.0</v>
      </c>
      <c r="AF118" s="2" t="s">
        <v>1186</v>
      </c>
      <c r="AG118" s="2" t="s">
        <v>1202</v>
      </c>
      <c r="AH118" s="2">
        <v>0.0</v>
      </c>
    </row>
    <row r="119" ht="15.75" customHeight="1">
      <c r="A119" s="2" t="str">
        <f>IFERROR(__xludf.DUMMYFUNCTION("""COMPUTED_VALUE"""),"Diario Portal")</f>
        <v>Diario Portal</v>
      </c>
      <c r="B119" s="12" t="str">
        <f>IFERROR(__xludf.DUMMYFUNCTION("""COMPUTED_VALUE"""),"Más de 600 policías resguardarán la final entre Toluca y Tigres")</f>
        <v>Más de 600 policías resguardarán la final entre Toluca y Tigres</v>
      </c>
      <c r="C119" s="13" t="str">
        <f>IFERROR(__xludf.DUMMYFUNCTION("""COMPUTED_VALUE"""),"2025-12-14 11:35:33")</f>
        <v>2025-12-14 11:35:33</v>
      </c>
      <c r="D119" s="14">
        <f>IFERROR(__xludf.DUMMYFUNCTION("""COMPUTED_VALUE"""),2.0)</f>
        <v>2</v>
      </c>
      <c r="E119" s="15">
        <f>IFERROR(__xludf.DUMMYFUNCTION("""COMPUTED_VALUE"""),0.0)</f>
        <v>0</v>
      </c>
      <c r="F119" s="2" t="str">
        <f>IFERROR(__xludf.DUMMYFUNCTION("""COMPUTED_VALUE"""),"Neutral")</f>
        <v>Neutral</v>
      </c>
      <c r="G119" s="15">
        <f>IFERROR(__xludf.DUMMYFUNCTION("""COMPUTED_VALUE"""),0.4867)</f>
        <v>0.4867</v>
      </c>
      <c r="H119" s="2" t="str">
        <f>IFERROR(__xludf.DUMMYFUNCTION("""COMPUTED_VALUE"""),"Operativo policial o detención")</f>
        <v>Operativo policial o detención</v>
      </c>
      <c r="I119" s="2" t="str">
        <f>IFERROR(__xludf.DUMMYFUNCTION("""COMPUTED_VALUE"""),"N/A")</f>
        <v>N/A</v>
      </c>
      <c r="J119" s="2" t="str">
        <f>IFERROR(__xludf.DUMMYFUNCTION("""COMPUTED_VALUE"""),"Monitoreo general.")</f>
        <v>Monitoreo general.</v>
      </c>
      <c r="K119" s="2" t="str">
        <f>IFERROR(__xludf.DUMMYFUNCTION("""COMPUTED_VALUE"""),"Toluca")</f>
        <v>Toluca</v>
      </c>
      <c r="L119" s="2" t="str">
        <f>IFERROR(__xludf.DUMMYFUNCTION("""COMPUTED_VALUE"""),"Estado de México")</f>
        <v>Estado de México</v>
      </c>
      <c r="M119" s="16" t="str">
        <f>IFERROR(__xludf.DUMMYFUNCTION("""COMPUTED_VALUE"""),"https://diarioportal.com/seguridad-y-justicia/mas-de-600-policias-resguardaran-la-final-entre-toluca-y-tigres")</f>
        <v>https://diarioportal.com/seguridad-y-justicia/mas-de-600-policias-resguardaran-la-final-entre-toluca-y-tigres</v>
      </c>
      <c r="N119" s="2" t="str">
        <f>IFERROR(__xludf.DUMMYFUNCTION("""COMPUTED_VALUE"""),"Con motivo de la final del futbol mexicano que se disputará la noche de este domingo en el estadio Nemesio Diez, entre los Diablos Rojos del Toluca y los Tigres de Nuevo León, el Gobierno de Toluca pondrá en marcha un operativo integral de seguridad y pro"&amp;"tección ciudadana. El dispositivo contará con la participación de más de 600 elementos de la Dirección General de Seguridad y Protección de Toluca, en coordinación con corporaciones de la policía estatal, ello con el propósito de salvaguardar la integrida"&amp;"d de asistentes, jugadores, cuerpos técnicos y personal operativo, además de preservar el orden público antes, durante y después del encuentro. El despliegue incluirá vigilancia permanente en el interior y exterior del estadio, patrullajes preventivos en "&amp;"colonias aledañas, principales vialidades de acceso y zonas de concentración de aficionados, así como la instalación de torres móviles de videovigilancia y el apoyo de unidades motorizadas para atender cualquier eventualidad de manera inmediata. Las autor"&amp;"idades municipales han exhortado a la afición a arribar con anticipación, acatar las indicaciones del personal de seguridad y mantener una conducta responsable, con el fin de que la final se desarrolle en un ambiente de paz, respeto y convivencia familiar"&amp;". Con este operativo, el Gobierno municipal de Toluca reafirmó su responsabilidad institucional con la seguridad y el bienestar de la población, a través de acciones coordinadas que permiten la realización de eventos de gran afluencia en condiciones de or"&amp;"den y tranquilidad. No hay etiquetas asociadas a éste artículo.")</f>
        <v>Con motivo de la final del futbol mexicano que se disputará la noche de este domingo en el estadio Nemesio Diez, entre los Diablos Rojos del Toluca y los Tigres de Nuevo León, el Gobierno de Toluca pondrá en marcha un operativo integral de seguridad y protección ciudadana. El dispositivo contará con la participación de más de 600 elementos de la Dirección General de Seguridad y Protección de Toluca, en coordinación con corporaciones de la policía estatal, ello con el propósito de salvaguardar la integridad de asistentes, jugadores, cuerpos técnicos y personal operativo, además de preservar el orden público antes, durante y después del encuentro. El despliegue incluirá vigilancia permanente en el interior y exterior del estadio, patrullajes preventivos en colonias aledañas, principales vialidades de acceso y zonas de concentración de aficionados, así como la instalación de torres móviles de videovigilancia y el apoyo de unidades motorizadas para atender cualquier eventualidad de manera inmediata. Las autoridades municipales han exhortado a la afición a arribar con anticipación, acatar las indicaciones del personal de seguridad y mantener una conducta responsable, con el fin de que la final se desarrolle en un ambiente de paz, respeto y convivencia familiar. Con este operativo, el Gobierno municipal de Toluca reafirmó su responsabilidad institucional con la seguridad y el bienestar de la población, a través de acciones coordinadas que permiten la realización de eventos de gran afluencia en condiciones de orden y tranquilidad. No hay etiquetas asociadas a éste artículo.</v>
      </c>
      <c r="O119" s="15">
        <f>IFERROR(__xludf.DUMMYFUNCTION("""COMPUTED_VALUE"""),0.5849)</f>
        <v>0.5849</v>
      </c>
      <c r="P119" s="2"/>
      <c r="Q119" s="17">
        <f>IFERROR(__xludf.DUMMYFUNCTION("""COMPUTED_VALUE"""),8.5)</f>
        <v>8.5</v>
      </c>
      <c r="R119" s="2" t="str">
        <f>IFERROR(__xludf.DUMMYFUNCTION("""COMPUTED_VALUE"""),"High")</f>
        <v>High</v>
      </c>
      <c r="S119" s="17">
        <f>IFERROR(__xludf.DUMMYFUNCTION("""COMPUTED_VALUE"""),3.5)</f>
        <v>3.5</v>
      </c>
      <c r="T119" s="17">
        <f>IFERROR(__xludf.DUMMYFUNCTION("""COMPUTED_VALUE"""),0.0)</f>
        <v>0</v>
      </c>
      <c r="U119" s="14">
        <f>IFERROR(__xludf.DUMMYFUNCTION("""COMPUTED_VALUE"""),2.0)</f>
        <v>2</v>
      </c>
      <c r="V119" s="14">
        <v>2025.0</v>
      </c>
      <c r="W119" s="2" t="s">
        <v>1168</v>
      </c>
      <c r="X119" s="2" t="s">
        <v>1188</v>
      </c>
      <c r="Y119" s="13" t="s">
        <v>506</v>
      </c>
      <c r="Z119" s="14">
        <v>0.0</v>
      </c>
      <c r="AA119" s="14">
        <v>0.0</v>
      </c>
      <c r="AB119" s="14">
        <v>0.0</v>
      </c>
      <c r="AC119" s="14">
        <v>0.0</v>
      </c>
      <c r="AD119" s="2">
        <v>0.0</v>
      </c>
      <c r="AE119" s="2">
        <v>0.0</v>
      </c>
      <c r="AF119" s="2">
        <v>12.0</v>
      </c>
      <c r="AG119" s="2" t="s">
        <v>1216</v>
      </c>
      <c r="AH119" s="2">
        <v>0.0</v>
      </c>
    </row>
    <row r="120" ht="15.75" customHeight="1">
      <c r="A120" s="2" t="str">
        <f>IFERROR(__xludf.DUMMYFUNCTION("""COMPUTED_VALUE"""),"Diario Portal")</f>
        <v>Diario Portal</v>
      </c>
      <c r="B120" s="12" t="str">
        <f>IFERROR(__xludf.DUMMYFUNCTION("""COMPUTED_VALUE"""),"Magistrada Mónica Aralí Soto Fregoso asume funciones en la Comisión de Venecia, perteneciente al Consejo de Europa")</f>
        <v>Magistrada Mónica Aralí Soto Fregoso asume funciones en la Comisión de Venecia, perteneciente al Consejo de Europa</v>
      </c>
      <c r="C120" s="13" t="str">
        <f>IFERROR(__xludf.DUMMYFUNCTION("""COMPUTED_VALUE"""),"2025-12-13 15:28:48")</f>
        <v>2025-12-13 15:28:48</v>
      </c>
      <c r="D120" s="14">
        <f>IFERROR(__xludf.DUMMYFUNCTION("""COMPUTED_VALUE"""),2.0)</f>
        <v>2</v>
      </c>
      <c r="E120" s="15">
        <f>IFERROR(__xludf.DUMMYFUNCTION("""COMPUTED_VALUE"""),0.0)</f>
        <v>0</v>
      </c>
      <c r="F120" s="2" t="str">
        <f>IFERROR(__xludf.DUMMYFUNCTION("""COMPUTED_VALUE"""),"Neutral")</f>
        <v>Neutral</v>
      </c>
      <c r="G120" s="15">
        <f>IFERROR(__xludf.DUMMYFUNCTION("""COMPUTED_VALUE"""),0.7432)</f>
        <v>0.7432</v>
      </c>
      <c r="H120" s="2" t="str">
        <f>IFERROR(__xludf.DUMMYFUNCTION("""COMPUTED_VALUE"""),"Operativo policial o detención")</f>
        <v>Operativo policial o detención</v>
      </c>
      <c r="I120" s="2" t="str">
        <f>IFERROR(__xludf.DUMMYFUNCTION("""COMPUTED_VALUE"""),"N/A")</f>
        <v>N/A</v>
      </c>
      <c r="J120" s="2" t="str">
        <f>IFERROR(__xludf.DUMMYFUNCTION("""COMPUTED_VALUE"""),"Monitoreo general.")</f>
        <v>Monitoreo general.</v>
      </c>
      <c r="K120" s="2"/>
      <c r="L120" s="2"/>
      <c r="M120" s="16" t="str">
        <f>IFERROR(__xludf.DUMMYFUNCTION("""COMPUTED_VALUE"""),"https://diarioportal.com/seguridad-y-justicia/magistrada-monica-arali-soto-fregoso-asume-funciones-en-la-comision-de-venecia-perteneciente-al-consejo-de-europa")</f>
        <v>https://diarioportal.com/seguridad-y-justicia/magistrada-monica-arali-soto-fregoso-asume-funciones-en-la-comision-de-venecia-perteneciente-al-consejo-de-europa</v>
      </c>
      <c r="N120" s="2" t="str">
        <f>IFERROR(__xludf.DUMMYFUNCTION("""COMPUTED_VALUE"""),"Este sábado, en sesión plenaria de la Comisión de Venecia, la magistrada de la Sala Superior del Tribunal Electoral de Poder Judicial de la Federación, Mónica Aralí Soto Fregoso fue electa como vicepresidenta de la Subcomisión de las Instituciones de Defe"&amp;"nsoría del Pueblo (Ombudsman) e integrante titular del Consejo para las Elecciones Democráticas. La Comisión Europea para la Democracia a través del Derecho, conocida como la Comisión de Venecia, es un órgano consultivo del Consejo de Europa. Su misión es"&amp;" ayudar a los Estados a mejorar sus sistemas constitucionales, legislativos e institucionales conforme a los principios de la democracia, los derechos humanos y el Estado de derecho, mediante dictámenes jurídicos independientes y cooperación internacional"&amp;". El Consejo para las Elecciones Democráticas es un órgano especializado de la Comisión de Venecia que brinda asesoría en materia electoral. Su función principal es promover elecciones libres, justas y transparentes mediante el análisis de legislaciones e"&amp;"lectorales, la elaboración de informes y recomendaciones, así como la interpretación de estándares democráticos internacionales, como el Código de Buenas Prácticas en Materia Electoral. La Subcomisión para las Instituciones del Ombudsman examina informes "&amp;"sobre temas de la competencia de estos órganos, sus marcos jurídicos, la promoción de buenas prácticas y el fortalecimiento de la independencia y eficacia de estas instituciones. No hay etiquetas asociadas a éste artículo.")</f>
        <v>Este sábado, en sesión plenaria de la Comisión de Venecia, la magistrada de la Sala Superior del Tribunal Electoral de Poder Judicial de la Federación, Mónica Aralí Soto Fregoso fue electa como vicepresidenta de la Subcomisión de las Instituciones de Defensoría del Pueblo (Ombudsman) e integrante titular del Consejo para las Elecciones Democráticas. La Comisión Europea para la Democracia a través del Derecho, conocida como la Comisión de Venecia, es un órgano consultivo del Consejo de Europa. Su misión es ayudar a los Estados a mejorar sus sistemas constitucionales, legislativos e institucionales conforme a los principios de la democracia, los derechos humanos y el Estado de derecho, mediante dictámenes jurídicos independientes y cooperación internacional. El Consejo para las Elecciones Democráticas es un órgano especializado de la Comisión de Venecia que brinda asesoría en materia electoral. Su función principal es promover elecciones libres, justas y transparentes mediante el análisis de legislaciones electorales, la elaboración de informes y recomendaciones, así como la interpretación de estándares democráticos internacionales, como el Código de Buenas Prácticas en Materia Electoral. La Subcomisión para las Instituciones del Ombudsman examina informes sobre temas de la competencia de estos órganos, sus marcos jurídicos, la promoción de buenas prácticas y el fortalecimiento de la independencia y eficacia de estas instituciones. No hay etiquetas asociadas a éste artículo.</v>
      </c>
      <c r="O120" s="15">
        <f>IFERROR(__xludf.DUMMYFUNCTION("""COMPUTED_VALUE"""),0.3438)</f>
        <v>0.3438</v>
      </c>
      <c r="P120" s="2"/>
      <c r="Q120" s="17">
        <f>IFERROR(__xludf.DUMMYFUNCTION("""COMPUTED_VALUE"""),0.0)</f>
        <v>0</v>
      </c>
      <c r="R120" s="2" t="str">
        <f>IFERROR(__xludf.DUMMYFUNCTION("""COMPUTED_VALUE"""),"None")</f>
        <v>None</v>
      </c>
      <c r="S120" s="17">
        <f>IFERROR(__xludf.DUMMYFUNCTION("""COMPUTED_VALUE"""),0.0)</f>
        <v>0</v>
      </c>
      <c r="T120" s="17">
        <f>IFERROR(__xludf.DUMMYFUNCTION("""COMPUTED_VALUE"""),0.0)</f>
        <v>0</v>
      </c>
      <c r="U120" s="14">
        <f>IFERROR(__xludf.DUMMYFUNCTION("""COMPUTED_VALUE"""),2.0)</f>
        <v>2</v>
      </c>
      <c r="V120" s="14">
        <v>2025.0</v>
      </c>
      <c r="W120" s="2" t="s">
        <v>1168</v>
      </c>
      <c r="X120" s="2" t="s">
        <v>1194</v>
      </c>
      <c r="Y120" s="13" t="s">
        <v>510</v>
      </c>
      <c r="Z120" s="14">
        <v>0.0</v>
      </c>
      <c r="AA120" s="14">
        <v>0.0</v>
      </c>
      <c r="AB120" s="14">
        <v>0.0</v>
      </c>
      <c r="AC120" s="14">
        <v>0.0</v>
      </c>
      <c r="AD120" s="2">
        <v>0.0</v>
      </c>
      <c r="AE120" s="2">
        <v>0.0</v>
      </c>
      <c r="AF120" s="2">
        <v>12.0</v>
      </c>
      <c r="AG120" s="2" t="s">
        <v>1186</v>
      </c>
      <c r="AH120" s="2">
        <v>0.0</v>
      </c>
    </row>
    <row r="121" ht="15.75" customHeight="1">
      <c r="A121" s="2" t="str">
        <f>IFERROR(__xludf.DUMMYFUNCTION("""COMPUTED_VALUE"""),"Diario Portal")</f>
        <v>Diario Portal</v>
      </c>
      <c r="B121" s="12" t="str">
        <f>IFERROR(__xludf.DUMMYFUNCTION("""COMPUTED_VALUE"""),"Impiden a criminales cobrar más de 12 mdp por fraude y extorsión en Edomex")</f>
        <v>Impiden a criminales cobrar más de 12 mdp por fraude y extorsión en Edomex</v>
      </c>
      <c r="C121" s="13" t="str">
        <f>IFERROR(__xludf.DUMMYFUNCTION("""COMPUTED_VALUE"""),"2025-12-12 18:39:18")</f>
        <v>2025-12-12 18:39:18</v>
      </c>
      <c r="D121" s="14">
        <f>IFERROR(__xludf.DUMMYFUNCTION("""COMPUTED_VALUE"""),1.0)</f>
        <v>1</v>
      </c>
      <c r="E121" s="15">
        <f>IFERROR(__xludf.DUMMYFUNCTION("""COMPUTED_VALUE"""),-0.4296)</f>
        <v>-0.4296</v>
      </c>
      <c r="F121" s="2" t="str">
        <f>IFERROR(__xludf.DUMMYFUNCTION("""COMPUTED_VALUE"""),"Negativo")</f>
        <v>Negativo</v>
      </c>
      <c r="G121" s="15">
        <f>IFERROR(__xludf.DUMMYFUNCTION("""COMPUTED_VALUE"""),0.4296)</f>
        <v>0.4296</v>
      </c>
      <c r="H121" s="2" t="str">
        <f>IFERROR(__xludf.DUMMYFUNCTION("""COMPUTED_VALUE"""),"Otros temas generales")</f>
        <v>Otros temas generales</v>
      </c>
      <c r="I121" s="2" t="str">
        <f>IFERROR(__xludf.DUMMYFUNCTION("""COMPUTED_VALUE"""),"N/A")</f>
        <v>N/A</v>
      </c>
      <c r="J121" s="2" t="str">
        <f>IFERROR(__xludf.DUMMYFUNCTION("""COMPUTED_VALUE"""),"Descartar / Baja prioridad.")</f>
        <v>Descartar / Baja prioridad.</v>
      </c>
      <c r="K121" s="2" t="str">
        <f>IFERROR(__xludf.DUMMYFUNCTION("""COMPUTED_VALUE"""),"Estado de México")</f>
        <v>Estado de México</v>
      </c>
      <c r="L121" s="2" t="str">
        <f>IFERROR(__xludf.DUMMYFUNCTION("""COMPUTED_VALUE"""),"Estado de México")</f>
        <v>Estado de México</v>
      </c>
      <c r="M121" s="16" t="str">
        <f>IFERROR(__xludf.DUMMYFUNCTION("""COMPUTED_VALUE"""),"https://diarioportal.com/seguridad-y-justicia/impiden-a-criminales-cobrar-mas-de-12-mdp-por-fraude-y-extorsion-en-edomex")</f>
        <v>https://diarioportal.com/seguridad-y-justicia/impiden-a-criminales-cobrar-mas-de-12-mdp-por-fraude-y-extorsion-en-edomex</v>
      </c>
      <c r="N121" s="2" t="str">
        <f>IFERROR(__xludf.DUMMYFUNCTION("""COMPUTED_VALUE"""),"En la Mesa de Paz que preside la gobernadora Delfina Gómez Álvarez se informó que, como resultado de la estrategia estatal contra la extorsión y el fraude, y de la coordinación permanente con el Gobierno de México, en el Estado de México se evitó el pago "&amp;"del 93.3% del dinero exigido por quienes cometen estos delitos, lo que representa una efectividad cercana al 100% para impedir que las víctimas entregaran recursos a la delincuencia. “Encabecé la Mesa de Paz de este día, donde la Secretaría de Seguridad d"&amp;"el Estado de México informó que, gracias a las acciones de la Policía Cibernética, del 4 al 10 de diciembre se evitó el pago en el 93.3% de las denuncias por extorsión”, señaló la mandataria mexiquense a través de sus redes sociales. De acuerdo con el aná"&amp;"lisis de la Secretaría de Seguridad, este nivel de efectividad evitó que 12 millones 026 mil 529 pesos llegaran a manos de la delincuencia. Asimismo, se destacó que las 748 denuncias ciudadanas presentadas en ese periodo fueron determinantes para activar "&amp;"de inmediato los protocolos de atención y contención. En términos operativos, el resultado equivale a una efectividad prácticamente total en la contención del pago exigido, al impedir que el 93.3% de los recursos reclamados por extorsión y fraude fueran e"&amp;"ntregados a los delincuentes, lo que confirma la capacidad de respuesta inmediata de las autoridades y la relevancia de la denuncia ciudadana. Del total de reportes recibidos, 317 correspondieron a extorsión telefónica; 218, a fraude telefónico; 36, a lla"&amp;"madas maliciosas; 17, a extorsión electrónica; 12, a amenazas; nueve, a extorsión por derecho de piso; una, a extorsión directa, y 138 a otros tipos de ilícitos. “En el 089 pueden llamar y reportar si ustedes o alguien cercano están siendo víctimas de ext"&amp;"orsión. ¡Juntas y juntos combatimos este delito! #ElPoderDeServir #EdoMexVSLaExtorsión”, agregó la gobernadora Delfina Gómez Álvarez en sus plataformas digitales. La Secretaría de Seguridad del Estado de México advirtió que la mayoría de las denuncias se "&amp;"relacionan con llamadas en las que los delincuentes afirman que las personas están bajo investigación y lanzan amenazas de daño (266 casos), con defraudadores que se hacen pasar por un familiar o conocido (68), llamadas maliciosas (36), extorsionadores qu"&amp;"e se presentan como víctimas (27), amenazas directas (12), además de otros reportes de diversa índole. No hay etiquetas asociadas a éste artículo.")</f>
        <v>En la Mesa de Paz que preside la gobernadora Delfina Gómez Álvarez se informó que, como resultado de la estrategia estatal contra la extorsión y el fraude, y de la coordinación permanente con el Gobierno de México, en el Estado de México se evitó el pago del 93.3% del dinero exigido por quienes cometen estos delitos, lo que representa una efectividad cercana al 100% para impedir que las víctimas entregaran recursos a la delincuencia. “Encabecé la Mesa de Paz de este día, donde la Secretaría de Seguridad del Estado de México informó que, gracias a las acciones de la Policía Cibernética, del 4 al 10 de diciembre se evitó el pago en el 93.3% de las denuncias por extorsión”, señaló la mandataria mexiquense a través de sus redes sociales. De acuerdo con el análisis de la Secretaría de Seguridad, este nivel de efectividad evitó que 12 millones 026 mil 529 pesos llegaran a manos de la delincuencia. Asimismo, se destacó que las 748 denuncias ciudadanas presentadas en ese periodo fueron determinantes para activar de inmediato los protocolos de atención y contención. En términos operativos, el resultado equivale a una efectividad prácticamente total en la contención del pago exigido, al impedir que el 93.3% de los recursos reclamados por extorsión y fraude fueran entregados a los delincuentes, lo que confirma la capacidad de respuesta inmediata de las autoridades y la relevancia de la denuncia ciudadana. Del total de reportes recibidos, 317 correspondieron a extorsión telefónica; 218, a fraude telefónico; 36, a llamadas maliciosas; 17, a extorsión electrónica; 12, a amenazas; nueve, a extorsión por derecho de piso; una, a extorsión directa, y 138 a otros tipos de ilícitos. “En el 089 pueden llamar y reportar si ustedes o alguien cercano están siendo víctimas de extorsión. ¡Juntas y juntos combatimos este delito! #ElPoderDeServir #EdoMexVSLaExtorsión”, agregó la gobernadora Delfina Gómez Álvarez en sus plataformas digitales. La Secretaría de Seguridad del Estado de México advirtió que la mayoría de las denuncias se relacionan con llamadas en las que los delincuentes afirman que las personas están bajo investigación y lanzan amenazas de daño (266 casos), con defraudadores que se hacen pasar por un familiar o conocido (68), llamadas maliciosas (36), extorsionadores que se presentan como víctimas (27), amenazas directas (12), además de otros reportes de diversa índole. No hay etiquetas asociadas a éste artículo.</v>
      </c>
      <c r="O121" s="15">
        <f>IFERROR(__xludf.DUMMYFUNCTION("""COMPUTED_VALUE"""),0.3586)</f>
        <v>0.3586</v>
      </c>
      <c r="P121" s="2"/>
      <c r="Q121" s="17">
        <f>IFERROR(__xludf.DUMMYFUNCTION("""COMPUTED_VALUE"""),8.0)</f>
        <v>8</v>
      </c>
      <c r="R121" s="2" t="str">
        <f>IFERROR(__xludf.DUMMYFUNCTION("""COMPUTED_VALUE"""),"High")</f>
        <v>High</v>
      </c>
      <c r="S121" s="17">
        <f>IFERROR(__xludf.DUMMYFUNCTION("""COMPUTED_VALUE"""),4.0)</f>
        <v>4</v>
      </c>
      <c r="T121" s="17">
        <f>IFERROR(__xludf.DUMMYFUNCTION("""COMPUTED_VALUE"""),0.0)</f>
        <v>0</v>
      </c>
      <c r="U121" s="14">
        <f>IFERROR(__xludf.DUMMYFUNCTION("""COMPUTED_VALUE"""),2.0)</f>
        <v>2</v>
      </c>
      <c r="V121" s="14">
        <v>2025.0</v>
      </c>
      <c r="W121" s="2" t="s">
        <v>1168</v>
      </c>
      <c r="X121" s="2" t="s">
        <v>1199</v>
      </c>
      <c r="Y121" s="13" t="s">
        <v>514</v>
      </c>
      <c r="Z121" s="14">
        <v>0.0</v>
      </c>
      <c r="AA121" s="14">
        <v>0.0</v>
      </c>
      <c r="AB121" s="14">
        <v>0.0</v>
      </c>
      <c r="AC121" s="14">
        <v>0.0</v>
      </c>
      <c r="AD121" s="2">
        <v>0.0</v>
      </c>
      <c r="AE121" s="2">
        <v>0.0</v>
      </c>
      <c r="AF121" s="2">
        <v>12.0</v>
      </c>
      <c r="AG121" s="2" t="s">
        <v>1202</v>
      </c>
      <c r="AH121" s="2">
        <v>0.0</v>
      </c>
    </row>
    <row r="122" ht="15.75" customHeight="1">
      <c r="A122" s="2" t="str">
        <f>IFERROR(__xludf.DUMMYFUNCTION("""COMPUTED_VALUE"""),"Diario Portal")</f>
        <v>Diario Portal</v>
      </c>
      <c r="B122" s="12" t="str">
        <f>IFERROR(__xludf.DUMMYFUNCTION("""COMPUTED_VALUE"""),"Cesan a cuatro  verificadores  sanitarios por  corrupción;  procede FGJEM  contra uno   por extorsión")</f>
        <v>Cesan a cuatro  verificadores  sanitarios por  corrupción;  procede FGJEM  contra uno   por extorsión</v>
      </c>
      <c r="C122" s="13" t="str">
        <f>IFERROR(__xludf.DUMMYFUNCTION("""COMPUTED_VALUE"""),"Sin Fecha")</f>
        <v>Sin Fecha</v>
      </c>
      <c r="D122" s="14">
        <f>IFERROR(__xludf.DUMMYFUNCTION("""COMPUTED_VALUE"""),2.0)</f>
        <v>2</v>
      </c>
      <c r="E122" s="15">
        <f>IFERROR(__xludf.DUMMYFUNCTION("""COMPUTED_VALUE"""),-0.7229)</f>
        <v>-0.7229</v>
      </c>
      <c r="F122" s="2" t="str">
        <f>IFERROR(__xludf.DUMMYFUNCTION("""COMPUTED_VALUE"""),"Negativo")</f>
        <v>Negativo</v>
      </c>
      <c r="G122" s="15">
        <f>IFERROR(__xludf.DUMMYFUNCTION("""COMPUTED_VALUE"""),0.7229)</f>
        <v>0.7229</v>
      </c>
      <c r="H122" s="2" t="str">
        <f>IFERROR(__xludf.DUMMYFUNCTION("""COMPUTED_VALUE"""),"Operativo policial o detención")</f>
        <v>Operativo policial o detención</v>
      </c>
      <c r="I122" s="2" t="str">
        <f>IFERROR(__xludf.DUMMYFUNCTION("""COMPUTED_VALUE"""),"N/A")</f>
        <v>N/A</v>
      </c>
      <c r="J122" s="2" t="str">
        <f>IFERROR(__xludf.DUMMYFUNCTION("""COMPUTED_VALUE"""),"Monitoreo general.")</f>
        <v>Monitoreo general.</v>
      </c>
      <c r="K122" s="2" t="str">
        <f>IFERROR(__xludf.DUMMYFUNCTION("""COMPUTED_VALUE"""),"Estado de México")</f>
        <v>Estado de México</v>
      </c>
      <c r="L122" s="2" t="str">
        <f>IFERROR(__xludf.DUMMYFUNCTION("""COMPUTED_VALUE"""),"Estado de México")</f>
        <v>Estado de México</v>
      </c>
      <c r="M122" s="16" t="str">
        <f>IFERROR(__xludf.DUMMYFUNCTION("""COMPUTED_VALUE"""),"https://diarioportal.com/seguridad-y-justicia/cesan-a-cuatro-verificadores-sanitarios-por-corrupcion-procede-fgjem-contra-uno-por-extorsion")</f>
        <v>https://diarioportal.com/seguridad-y-justicia/cesan-a-cuatro-verificadores-sanitarios-por-corrupcion-procede-fgjem-contra-uno-por-extorsion</v>
      </c>
      <c r="N122" s="2" t="str">
        <f>IFERROR(__xludf.DUMMYFUNCTION("""COMPUTED_VALUE"""),"En lo que va de la actual administración estatal, cuatro verificadores sanitarios han incurrido en actos de cohecho y extorsión a comercio, informó Gerardo Valdés Martínez, Coordinador de Regulación Sanitaria del Estado de México. Explicó que de estos cua"&amp;"tro verificadores, tres han incurrido en temas de cohecho y ya fueron separados de la institución, mientras que el cuarto servidor público que incurrió en asuntos de extorsión a comercio ya fue procesado por la Fiscalía General de Justicia del Estado de M"&amp;"éxico (FGJEM). Agregó que para combatir los temas de corrupción y abusos, la Coordinación de Regulación Sanitaria del Estado de México, desde hace seis meses ha implementado el uso de cámaras personales de video durante las verificaciones a establecimient"&amp;"os comerciales. Especificó que para estar en la misma sintonía con la federación, el personal de la dependencia a su cargo usa dispositivos de grabación durante las diligencias que realiza su personal. Sin embargo, Valdés Martínez indicó que requieren la "&amp;"autorización del locatario para realizar la filmación y quede evidencia del trabajo del verificador, quien no puede manipular el vídeo que se almacena, pero en caso de que se requiera puede consultar sin problema. Indicó que los videos que se graban previ"&amp;"a autorización de los dueños de establecimientos comerciales sirven para sustentar el trabajo de los verificadores en caso de que exista alguna inconformidad del sector empresarial con el desempeño de los servidores públicos, por lo que es solo en ese mom"&amp;"ento cuando pueden acceder a la base de datos para la consulta de la autoridad sanitaria. Finalmente, refirió que la Coordinación de Regulación Sanitaria del Estado de México cuenta con sólo 27 cámaras, las cuales operan en varios municipios mexiquenses, "&amp;"entre ellos, Nezahualcóyotl, Toluca, Atizapán de Zaragoza, Naucalpan y Ecatepec. No hay etiquetas asociadas a éste artículo.")</f>
        <v>En lo que va de la actual administración estatal, cuatro verificadores sanitarios han incurrido en actos de cohecho y extorsión a comercio, informó Gerardo Valdés Martínez, Coordinador de Regulación Sanitaria del Estado de México. Explicó que de estos cuatro verificadores, tres han incurrido en temas de cohecho y ya fueron separados de la institución, mientras que el cuarto servidor público que incurrió en asuntos de extorsión a comercio ya fue procesado por la Fiscalía General de Justicia del Estado de México (FGJEM). Agregó que para combatir los temas de corrupción y abusos, la Coordinación de Regulación Sanitaria del Estado de México, desde hace seis meses ha implementado el uso de cámaras personales de video durante las verificaciones a establecimientos comerciales. Especificó que para estar en la misma sintonía con la federación, el personal de la dependencia a su cargo usa dispositivos de grabación durante las diligencias que realiza su personal. Sin embargo, Valdés Martínez indicó que requieren la autorización del locatario para realizar la filmación y quede evidencia del trabajo del verificador, quien no puede manipular el vídeo que se almacena, pero en caso de que se requiera puede consultar sin problema. Indicó que los videos que se graban previa autorización de los dueños de establecimientos comerciales sirven para sustentar el trabajo de los verificadores en caso de que exista alguna inconformidad del sector empresarial con el desempeño de los servidores públicos, por lo que es solo en ese momento cuando pueden acceder a la base de datos para la consulta de la autoridad sanitaria. Finalmente, refirió que la Coordinación de Regulación Sanitaria del Estado de México cuenta con sólo 27 cámaras, las cuales operan en varios municipios mexiquenses, entre ellos, Nezahualcóyotl, Toluca, Atizapán de Zaragoza, Naucalpan y Ecatepec. No hay etiquetas asociadas a éste artículo.</v>
      </c>
      <c r="O122" s="15">
        <f>IFERROR(__xludf.DUMMYFUNCTION("""COMPUTED_VALUE"""),0.53)</f>
        <v>0.53</v>
      </c>
      <c r="P122" s="2"/>
      <c r="Q122" s="17">
        <f>IFERROR(__xludf.DUMMYFUNCTION("""COMPUTED_VALUE"""),5.0)</f>
        <v>5</v>
      </c>
      <c r="R122" s="2" t="str">
        <f>IFERROR(__xludf.DUMMYFUNCTION("""COMPUTED_VALUE"""),"Low")</f>
        <v>Low</v>
      </c>
      <c r="S122" s="17">
        <f>IFERROR(__xludf.DUMMYFUNCTION("""COMPUTED_VALUE"""),0.0)</f>
        <v>0</v>
      </c>
      <c r="T122" s="17">
        <f>IFERROR(__xludf.DUMMYFUNCTION("""COMPUTED_VALUE"""),0.0)</f>
        <v>0</v>
      </c>
      <c r="U122" s="14">
        <f>IFERROR(__xludf.DUMMYFUNCTION("""COMPUTED_VALUE"""),2.0)</f>
        <v>2</v>
      </c>
      <c r="V122" s="14" t="s">
        <v>1186</v>
      </c>
      <c r="W122" s="2" t="s">
        <v>190</v>
      </c>
      <c r="X122" s="2" t="s">
        <v>190</v>
      </c>
      <c r="Y122" s="13"/>
      <c r="Z122" s="14">
        <v>0.0</v>
      </c>
      <c r="AA122" s="14">
        <v>0.0</v>
      </c>
      <c r="AB122" s="14">
        <v>0.0</v>
      </c>
      <c r="AC122" s="14">
        <v>0.0</v>
      </c>
      <c r="AD122" s="2">
        <v>0.0</v>
      </c>
      <c r="AE122" s="2">
        <v>0.0</v>
      </c>
      <c r="AF122" s="2" t="s">
        <v>1186</v>
      </c>
      <c r="AG122" s="2" t="s">
        <v>1202</v>
      </c>
      <c r="AH122" s="2">
        <v>0.0</v>
      </c>
    </row>
    <row r="123" ht="15.75" customHeight="1">
      <c r="A123" s="2" t="str">
        <f>IFERROR(__xludf.DUMMYFUNCTION("""COMPUTED_VALUE"""),"Diario Portal")</f>
        <v>Diario Portal</v>
      </c>
      <c r="B123" s="12" t="str">
        <f>IFERROR(__xludf.DUMMYFUNCTION("""COMPUTED_VALUE"""),"Hallan un cuerpo embolsado y sin vida en Tultitlán")</f>
        <v>Hallan un cuerpo embolsado y sin vida en Tultitlán</v>
      </c>
      <c r="C123" s="13" t="str">
        <f>IFERROR(__xludf.DUMMYFUNCTION("""COMPUTED_VALUE"""),"2025-12-12 13:15:59")</f>
        <v>2025-12-12 13:15:59</v>
      </c>
      <c r="D123" s="14">
        <f>IFERROR(__xludf.DUMMYFUNCTION("""COMPUTED_VALUE"""),3.0)</f>
        <v>3</v>
      </c>
      <c r="E123" s="15">
        <f>IFERROR(__xludf.DUMMYFUNCTION("""COMPUTED_VALUE"""),-0.7444)</f>
        <v>-0.7444</v>
      </c>
      <c r="F123" s="2" t="str">
        <f>IFERROR(__xludf.DUMMYFUNCTION("""COMPUTED_VALUE"""),"Negativo")</f>
        <v>Negativo</v>
      </c>
      <c r="G123" s="15">
        <f>IFERROR(__xludf.DUMMYFUNCTION("""COMPUTED_VALUE"""),0.7444)</f>
        <v>0.7444</v>
      </c>
      <c r="H123" s="2" t="str">
        <f>IFERROR(__xludf.DUMMYFUNCTION("""COMPUTED_VALUE"""),"Protestas o bloqueos viales")</f>
        <v>Protestas o bloqueos viales</v>
      </c>
      <c r="I123" s="2" t="str">
        <f>IFERROR(__xludf.DUMMYFUNCTION("""COMPUTED_VALUE"""),"N/A")</f>
        <v>N/A</v>
      </c>
      <c r="J123" s="2" t="str">
        <f>IFERROR(__xludf.DUMMYFUNCTION("""COMPUTED_VALUE"""),"Operaciones: Notificar zonas a evitar (Waze/Maps).")</f>
        <v>Operaciones: Notificar zonas a evitar (Waze/Maps).</v>
      </c>
      <c r="K123" s="2" t="str">
        <f>IFERROR(__xludf.DUMMYFUNCTION("""COMPUTED_VALUE"""),"Sinaloa")</f>
        <v>Sinaloa</v>
      </c>
      <c r="L123" s="2" t="str">
        <f>IFERROR(__xludf.DUMMYFUNCTION("""COMPUTED_VALUE"""),"Sinaloa")</f>
        <v>Sinaloa</v>
      </c>
      <c r="M123" s="16" t="str">
        <f>IFERROR(__xludf.DUMMYFUNCTION("""COMPUTED_VALUE"""),"https://diarioportal.com/seguridad-y-justicia/hallan-un-cuerpo-embolsado-y-sin-vida-en-tultitlan")</f>
        <v>https://diarioportal.com/seguridad-y-justicia/hallan-un-cuerpo-embolsado-y-sin-vida-en-tultitlan</v>
      </c>
      <c r="N123" s="2" t="str">
        <f>IFERROR(__xludf.DUMMYFUNCTION("""COMPUTED_VALUE"""),"Esta mañana fue hallado el cuerpo de una mujer embolsado y sin vida sobre la avenida Estado de México, municipio de Tultitlán, hasta el momento se desconoce la identidad de la mujer. Fue minutos antes del mediodía que vecinos de la colonia Buenavista, los"&amp;" que reportaron un bulto de bolsas tirado sobre la avenida Estado de México esquina con Coyote. Inmediatamente al lugar arribaron los servicios de emergencias y policías municipales quienes al llegar corroboraron que al interior de las bolsas se encontrab"&amp;"a el cuerpo de una mujer. Los paramédicos certificaron que ya no contaba con signos vitales, por su parte los uniformados acordonaron la zona. Asimismo dieron viso al Ministerio Público quien arribó al sitio y dio fe de lo ocurrido y ordenó el levantamien"&amp;"to del cuerpo. Hasta el momento se desconoce el móvil del crimen y la identidad de la víctima. No hay etiquetas asociadas a éste artículo.")</f>
        <v>Esta mañana fue hallado el cuerpo de una mujer embolsado y sin vida sobre la avenida Estado de México, municipio de Tultitlán, hasta el momento se desconoce la identidad de la mujer. Fue minutos antes del mediodía que vecinos de la colonia Buenavista, los que reportaron un bulto de bolsas tirado sobre la avenida Estado de México esquina con Coyote. Inmediatamente al lugar arribaron los servicios de emergencias y policías municipales quienes al llegar corroboraron que al interior de las bolsas se encontraba el cuerpo de una mujer. Los paramédicos certificaron que ya no contaba con signos vitales, por su parte los uniformados acordonaron la zona. Asimismo dieron viso al Ministerio Público quien arribó al sitio y dio fe de lo ocurrido y ordenó el levantamiento del cuerpo. Hasta el momento se desconoce el móvil del crimen y la identidad de la víctima. No hay etiquetas asociadas a éste artículo.</v>
      </c>
      <c r="O123" s="15">
        <f>IFERROR(__xludf.DUMMYFUNCTION("""COMPUTED_VALUE"""),0.3092)</f>
        <v>0.3092</v>
      </c>
      <c r="P123" s="2"/>
      <c r="Q123" s="17">
        <f>IFERROR(__xludf.DUMMYFUNCTION("""COMPUTED_VALUE"""),6.0)</f>
        <v>6</v>
      </c>
      <c r="R123" s="2" t="str">
        <f>IFERROR(__xludf.DUMMYFUNCTION("""COMPUTED_VALUE"""),"Medium")</f>
        <v>Medium</v>
      </c>
      <c r="S123" s="17">
        <f>IFERROR(__xludf.DUMMYFUNCTION("""COMPUTED_VALUE"""),1.0)</f>
        <v>1</v>
      </c>
      <c r="T123" s="17">
        <f>IFERROR(__xludf.DUMMYFUNCTION("""COMPUTED_VALUE"""),0.0)</f>
        <v>0</v>
      </c>
      <c r="U123" s="14">
        <f>IFERROR(__xludf.DUMMYFUNCTION("""COMPUTED_VALUE"""),2.0)</f>
        <v>2</v>
      </c>
      <c r="V123" s="14">
        <v>2025.0</v>
      </c>
      <c r="W123" s="2" t="s">
        <v>1168</v>
      </c>
      <c r="X123" s="2" t="s">
        <v>1199</v>
      </c>
      <c r="Y123" s="13" t="s">
        <v>521</v>
      </c>
      <c r="Z123" s="14">
        <v>0.0</v>
      </c>
      <c r="AA123" s="14">
        <v>0.0</v>
      </c>
      <c r="AB123" s="14">
        <v>0.0</v>
      </c>
      <c r="AC123" s="14">
        <v>0.0</v>
      </c>
      <c r="AD123" s="2">
        <v>0.0</v>
      </c>
      <c r="AE123" s="2">
        <v>0.0</v>
      </c>
      <c r="AF123" s="2">
        <v>12.0</v>
      </c>
      <c r="AG123" s="2" t="s">
        <v>1172</v>
      </c>
      <c r="AH123" s="2">
        <v>0.0</v>
      </c>
    </row>
    <row r="124" ht="15.75" customHeight="1">
      <c r="A124" s="2" t="str">
        <f>IFERROR(__xludf.DUMMYFUNCTION("""COMPUTED_VALUE"""),"Diario Portal")</f>
        <v>Diario Portal</v>
      </c>
      <c r="B124" s="12" t="str">
        <f>IFERROR(__xludf.DUMMYFUNCTION("""COMPUTED_VALUE"""),"Implementan  operativo de  protección a   peregrinación   guadalupana  en el Edomex")</f>
        <v>Implementan  operativo de  protección a   peregrinación   guadalupana  en el Edomex</v>
      </c>
      <c r="C124" s="13" t="str">
        <f>IFERROR(__xludf.DUMMYFUNCTION("""COMPUTED_VALUE"""),"Sin Fecha")</f>
        <v>Sin Fecha</v>
      </c>
      <c r="D124" s="14">
        <f>IFERROR(__xludf.DUMMYFUNCTION("""COMPUTED_VALUE"""),1.0)</f>
        <v>1</v>
      </c>
      <c r="E124" s="15">
        <f>IFERROR(__xludf.DUMMYFUNCTION("""COMPUTED_VALUE"""),0.498)</f>
        <v>0.498</v>
      </c>
      <c r="F124" s="2" t="str">
        <f>IFERROR(__xludf.DUMMYFUNCTION("""COMPUTED_VALUE"""),"Positivo")</f>
        <v>Positivo</v>
      </c>
      <c r="G124" s="15">
        <f>IFERROR(__xludf.DUMMYFUNCTION("""COMPUTED_VALUE"""),0.498)</f>
        <v>0.498</v>
      </c>
      <c r="H124" s="2" t="str">
        <f>IFERROR(__xludf.DUMMYFUNCTION("""COMPUTED_VALUE"""),"Otros temas generales")</f>
        <v>Otros temas generales</v>
      </c>
      <c r="I124" s="2" t="str">
        <f>IFERROR(__xludf.DUMMYFUNCTION("""COMPUTED_VALUE"""),"N/A")</f>
        <v>N/A</v>
      </c>
      <c r="J124" s="2" t="str">
        <f>IFERROR(__xludf.DUMMYFUNCTION("""COMPUTED_VALUE"""),"Descartar / Baja prioridad.")</f>
        <v>Descartar / Baja prioridad.</v>
      </c>
      <c r="K124" s="2" t="str">
        <f>IFERROR(__xludf.DUMMYFUNCTION("""COMPUTED_VALUE"""),"Estado de México")</f>
        <v>Estado de México</v>
      </c>
      <c r="L124" s="2" t="str">
        <f>IFERROR(__xludf.DUMMYFUNCTION("""COMPUTED_VALUE"""),"Estado de México")</f>
        <v>Estado de México</v>
      </c>
      <c r="M124" s="16" t="str">
        <f>IFERROR(__xludf.DUMMYFUNCTION("""COMPUTED_VALUE"""),"https://diarioportal.com/seguridad-y-justicia/implementan-operativo-de-proteccion-a-peregrinacion-guadalupana-en-el-edomex")</f>
        <v>https://diarioportal.com/seguridad-y-justicia/implementan-operativo-de-proteccion-a-peregrinacion-guadalupana-en-el-edomex</v>
      </c>
      <c r="N124" s="2" t="str">
        <f>IFERROR(__xludf.DUMMYFUNCTION("""COMPUTED_VALUE"""),"Con el objetivo de brindar seguridad y asistencia a las y los peregrinos que transitan por la entidad rumbo a la Basílica de Guadalupe, Protección Civil del gobierno mexiquense desplegará un operativo especial en la carretera Peñón–Texcoco, uno de los pun"&amp;"tos con mayor concentración de personas en estas fechas. “Se desarrolla para anticipar riesgos y brindar asistencia a quienes recorren largas distancias. La presencia continua en territorio, el trabajo coordinado entre los tres órdenes de gobierno y la ca"&amp;"pacidad de respuesta inmediata permiten proteger a los peregrinos en los momentos de mayor concentración. Nuestro compromiso es acompañar este esfuerzo colectivo con profesionalismo y cercanía”, destacó el Coordinador General, Adrián Hernández Romero. En "&amp;"el dispositivo participarán 22 elementos de la dependencia, apoyados con un centro de coordinación, una ambulancia, dos unidades de rescate y cinco camionetas tipo pickup, utilizadas para realizar recorridos preventivos, supervisión de tramos carreteros, "&amp;"traslado de insumos y apoyo logístico ante posibles incidentes. El personal está preparado para brindar atención médica prehospitalaria por malestares frecuentes en peregrinaciones de larga distancia, como deshidratación, fatiga, ampollas, irritaciones cu"&amp;"táneas, dolor muscular, mareos o síncope por agotamiento. De manera paralela, se reforzará la supervisión vial ante el tránsito simultáneo de contingentes a pie, en bicicleta y en caravanas vehiculares, con el fin de reducir el riesgo de accidentes en zon"&amp;"as de cruce y concentración. Se prevé que la mayor afluencia se presente entre las 21:00 horas de este jueves y las 03:00 horas del 12 de diciembre, periodo en el que se intensificará la presencia operativa de Protección Civil. Para la atención de emergen"&amp;"cias que requieran el traslado de pacientes a unidades hospitalarias, se mantiene un enlace permanente con el Centro Regulador de Urgencias Médicas del Estado de México, así como comunicación directa con el C5, Policía Estatal, Grupo Relámpagos, Guardia N"&amp;"acional y autoridades municipales. No hay etiquetas asociadas a éste artículo.")</f>
        <v>Con el objetivo de brindar seguridad y asistencia a las y los peregrinos que transitan por la entidad rumbo a la Basílica de Guadalupe, Protección Civil del gobierno mexiquense desplegará un operativo especial en la carretera Peñón–Texcoco, uno de los puntos con mayor concentración de personas en estas fechas. “Se desarrolla para anticipar riesgos y brindar asistencia a quienes recorren largas distancias. La presencia continua en territorio, el trabajo coordinado entre los tres órdenes de gobierno y la capacidad de respuesta inmediata permiten proteger a los peregrinos en los momentos de mayor concentración. Nuestro compromiso es acompañar este esfuerzo colectivo con profesionalismo y cercanía”, destacó el Coordinador General, Adrián Hernández Romero. En el dispositivo participarán 22 elementos de la dependencia, apoyados con un centro de coordinación, una ambulancia, dos unidades de rescate y cinco camionetas tipo pickup, utilizadas para realizar recorridos preventivos, supervisión de tramos carreteros, traslado de insumos y apoyo logístico ante posibles incidentes. El personal está preparado para brindar atención médica prehospitalaria por malestares frecuentes en peregrinaciones de larga distancia, como deshidratación, fatiga, ampollas, irritaciones cutáneas, dolor muscular, mareos o síncope por agotamiento. De manera paralela, se reforzará la supervisión vial ante el tránsito simultáneo de contingentes a pie, en bicicleta y en caravanas vehiculares, con el fin de reducir el riesgo de accidentes en zonas de cruce y concentración. Se prevé que la mayor afluencia se presente entre las 21:00 horas de este jueves y las 03:00 horas del 12 de diciembre, periodo en el que se intensificará la presencia operativa de Protección Civil. Para la atención de emergencias que requieran el traslado de pacientes a unidades hospitalarias, se mantiene un enlace permanente con el Centro Regulador de Urgencias Médicas del Estado de México, así como comunicación directa con el C5, Policía Estatal, Grupo Relámpagos, Guardia Nacional y autoridades municipales. No hay etiquetas asociadas a éste artículo.</v>
      </c>
      <c r="O124" s="15">
        <f>IFERROR(__xludf.DUMMYFUNCTION("""COMPUTED_VALUE"""),0.3476)</f>
        <v>0.3476</v>
      </c>
      <c r="P124" s="2"/>
      <c r="Q124" s="17">
        <f>IFERROR(__xludf.DUMMYFUNCTION("""COMPUTED_VALUE"""),6.0)</f>
        <v>6</v>
      </c>
      <c r="R124" s="2" t="str">
        <f>IFERROR(__xludf.DUMMYFUNCTION("""COMPUTED_VALUE"""),"High")</f>
        <v>High</v>
      </c>
      <c r="S124" s="17">
        <f>IFERROR(__xludf.DUMMYFUNCTION("""COMPUTED_VALUE"""),6.0)</f>
        <v>6</v>
      </c>
      <c r="T124" s="17">
        <f>IFERROR(__xludf.DUMMYFUNCTION("""COMPUTED_VALUE"""),0.0)</f>
        <v>0</v>
      </c>
      <c r="U124" s="14">
        <f>IFERROR(__xludf.DUMMYFUNCTION("""COMPUTED_VALUE"""),2.0)</f>
        <v>2</v>
      </c>
      <c r="V124" s="14" t="s">
        <v>1186</v>
      </c>
      <c r="W124" s="2" t="s">
        <v>190</v>
      </c>
      <c r="X124" s="2" t="s">
        <v>190</v>
      </c>
      <c r="Y124" s="13"/>
      <c r="Z124" s="14">
        <v>0.0</v>
      </c>
      <c r="AA124" s="14">
        <v>0.0</v>
      </c>
      <c r="AB124" s="14">
        <v>0.0</v>
      </c>
      <c r="AC124" s="14">
        <v>0.0</v>
      </c>
      <c r="AD124" s="2">
        <v>0.0</v>
      </c>
      <c r="AE124" s="2">
        <v>0.0</v>
      </c>
      <c r="AF124" s="2" t="s">
        <v>1186</v>
      </c>
      <c r="AG124" s="2" t="s">
        <v>1202</v>
      </c>
      <c r="AH124" s="2">
        <v>0.0</v>
      </c>
    </row>
    <row r="125" ht="15.75" customHeight="1">
      <c r="A125" s="2" t="str">
        <f>IFERROR(__xludf.DUMMYFUNCTION("""COMPUTED_VALUE"""),"Diario Portal")</f>
        <v>Diario Portal</v>
      </c>
      <c r="B125" s="12" t="str">
        <f>IFERROR(__xludf.DUMMYFUNCTION("""COMPUTED_VALUE"""),"Cae cabecilla de un grupo dedicado a la extorsión y despojo en 4 municipios")</f>
        <v>Cae cabecilla de un grupo dedicado a la extorsión y despojo en 4 municipios</v>
      </c>
      <c r="C125" s="13" t="str">
        <f>IFERROR(__xludf.DUMMYFUNCTION("""COMPUTED_VALUE"""),"2025-12-10 16:21:54")</f>
        <v>2025-12-10 16:21:54</v>
      </c>
      <c r="D125" s="14">
        <f>IFERROR(__xludf.DUMMYFUNCTION("""COMPUTED_VALUE"""),4.0)</f>
        <v>4</v>
      </c>
      <c r="E125" s="15">
        <f>IFERROR(__xludf.DUMMYFUNCTION("""COMPUTED_VALUE"""),-0.5768)</f>
        <v>-0.5768</v>
      </c>
      <c r="F125" s="2" t="str">
        <f>IFERROR(__xludf.DUMMYFUNCTION("""COMPUTED_VALUE"""),"Negativo")</f>
        <v>Negativo</v>
      </c>
      <c r="G125" s="15">
        <f>IFERROR(__xludf.DUMMYFUNCTION("""COMPUTED_VALUE"""),0.5768)</f>
        <v>0.5768</v>
      </c>
      <c r="H125" s="2" t="str">
        <f>IFERROR(__xludf.DUMMYFUNCTION("""COMPUTED_VALUE"""),"Operativo policial o detención")</f>
        <v>Operativo policial o detención</v>
      </c>
      <c r="I125" s="2" t="str">
        <f>IFERROR(__xludf.DUMMYFUNCTION("""COMPUTED_VALUE"""),"N/A")</f>
        <v>N/A</v>
      </c>
      <c r="J125" s="2" t="str">
        <f>IFERROR(__xludf.DUMMYFUNCTION("""COMPUTED_VALUE"""),"Monitoreo general.")</f>
        <v>Monitoreo general.</v>
      </c>
      <c r="K125" s="2" t="str">
        <f>IFERROR(__xludf.DUMMYFUNCTION("""COMPUTED_VALUE"""),"Estado de México")</f>
        <v>Estado de México</v>
      </c>
      <c r="L125" s="2" t="str">
        <f>IFERROR(__xludf.DUMMYFUNCTION("""COMPUTED_VALUE"""),"Estado de México")</f>
        <v>Estado de México</v>
      </c>
      <c r="M125" s="16" t="str">
        <f>IFERROR(__xludf.DUMMYFUNCTION("""COMPUTED_VALUE"""),"https://diarioportal.com/seguridad-y-justicia/cae-cabecilla-de-un-grupo-dedicado-a-la-extorsion-y-despojo-en-4-municipios")</f>
        <v>https://diarioportal.com/seguridad-y-justicia/cae-cabecilla-de-un-grupo-dedicado-a-la-extorsion-y-despojo-en-4-municipios</v>
      </c>
      <c r="N125" s="2" t="str">
        <f>IFERROR(__xludf.DUMMYFUNCTION("""COMPUTED_VALUE"""),"Por su presunta participación en el delito de extorsión, Carlos Iván ‘N’ fue aprehendido por elementos de la Fiscalía General de Justicia del Estado de México (FGJEM), al ser considerado un objetivo prioritario dentro de la Operación ‘Restitución’ y quien"&amp;" es integrante de un grupo criminal conocido como ‘Los Souverbielle’. De acuerdo con la investigación de la Fiscalía mexiquense, el 17 de septiembre de 2024, el hoy detenido, junto con dos masculinos más, amenazaron con un arma de fuego a la víctima y le "&amp;"exigieron 800 mil pesos para devolverle una casa que previamente le habían despojado, exigencia que se repitió otras dos veces, el 3 de junio y el 31 de julio del 2025. Carlos Iván ‘N’ ya había sido aprehendido el pasado 4 de junio en Texcoco, por presunt"&amp;"amente ser el autor material de despojo en contra una víctima, quien, junto a sus dos hijos, rentaba una vivienda en este mismo municipio. El día de los hechos, el investigado llegó junto con otras 49 personas portando un arma de fuego y herramientas con "&amp;"la cual golpearon y rompieron la puerta de un inmueble ingresando varios de los individuos, una vez dentro agredieron verbalmente a la víctima para después pasar a la agresión física, amenazándola de que si no salía de la casa le harían daño a un familiar"&amp;", logrando expulsar a los legítimos ocupantes, tras lo cual le colocaron una cadena nueva al portón. Por este hecho la Fiscalía obtuvo vinculación a proceso y la imposición de una garantía de 50 mil pesos, además de no acercarse a la víctima y la prohibic"&amp;"ión de salir del país. En un hecho diverso, esta Representación Social obtuvo orden de aprehensión en contra de Carlos Iván ‘N’ por su probable intervención en el delito de extorsión, ya que el 1 de junio arribó, acompañado de otros dos sujetos, a una cas"&amp;"a ubicada en Acolman, donde se encontraba la persona que la habita, a quien amenazaron con arma de fuego, advirtiéndole que si no abandonaba el domicilio le causarían daño. A la organización criminal identificada como ‘Los Souverbielle’ se le relaciona co"&amp;"n delitos como la extorsión, despojo y delitos contra la propiedad en sus diferentes modalidades. Principalmente operan en municipios como Texcoco, San Vicente Chicoloapan, Chimalhuacán y Acolman. Labores de inteligencia de esta Fiscalía han permitido apr"&amp;"ehender en diferentes momentos a 51 de sus integrantes, entre ellos a su líder identificado como Sergio ‘N’. No hay etiquetas asociadas a éste artículo.")</f>
        <v>Por su presunta participación en el delito de extorsión, Carlos Iván ‘N’ fue aprehendido por elementos de la Fiscalía General de Justicia del Estado de México (FGJEM), al ser considerado un objetivo prioritario dentro de la Operación ‘Restitución’ y quien es integrante de un grupo criminal conocido como ‘Los Souverbielle’. De acuerdo con la investigación de la Fiscalía mexiquense, el 17 de septiembre de 2024, el hoy detenido, junto con dos masculinos más, amenazaron con un arma de fuego a la víctima y le exigieron 800 mil pesos para devolverle una casa que previamente le habían despojado, exigencia que se repitió otras dos veces, el 3 de junio y el 31 de julio del 2025. Carlos Iván ‘N’ ya había sido aprehendido el pasado 4 de junio en Texcoco, por presuntamente ser el autor material de despojo en contra una víctima, quien, junto a sus dos hijos, rentaba una vivienda en este mismo municipio. El día de los hechos, el investigado llegó junto con otras 49 personas portando un arma de fuego y herramientas con la cual golpearon y rompieron la puerta de un inmueble ingresando varios de los individuos, una vez dentro agredieron verbalmente a la víctima para después pasar a la agresión física, amenazándola de que si no salía de la casa le harían daño a un familiar, logrando expulsar a los legítimos ocupantes, tras lo cual le colocaron una cadena nueva al portón. Por este hecho la Fiscalía obtuvo vinculación a proceso y la imposición de una garantía de 50 mil pesos, además de no acercarse a la víctima y la prohibición de salir del país. En un hecho diverso, esta Representación Social obtuvo orden de aprehensión en contra de Carlos Iván ‘N’ por su probable intervención en el delito de extorsión, ya que el 1 de junio arribó, acompañado de otros dos sujetos, a una casa ubicada en Acolman, donde se encontraba la persona que la habita, a quien amenazaron con arma de fuego, advirtiéndole que si no abandonaba el domicilio le causarían daño. A la organización criminal identificada como ‘Los Souverbielle’ se le relaciona con delitos como la extorsión, despojo y delitos contra la propiedad en sus diferentes modalidades. Principalmente operan en municipios como Texcoco, San Vicente Chicoloapan, Chimalhuacán y Acolman. Labores de inteligencia de esta Fiscalía han permitido aprehender en diferentes momentos a 51 de sus integrantes, entre ellos a su líder identificado como Sergio ‘N’. No hay etiquetas asociadas a éste artículo.</v>
      </c>
      <c r="O125" s="15">
        <f>IFERROR(__xludf.DUMMYFUNCTION("""COMPUTED_VALUE"""),0.5376)</f>
        <v>0.5376</v>
      </c>
      <c r="P125" s="2"/>
      <c r="Q125" s="17">
        <f>IFERROR(__xludf.DUMMYFUNCTION("""COMPUTED_VALUE"""),5.0)</f>
        <v>5</v>
      </c>
      <c r="R125" s="2" t="str">
        <f>IFERROR(__xludf.DUMMYFUNCTION("""COMPUTED_VALUE"""),"High")</f>
        <v>High</v>
      </c>
      <c r="S125" s="17">
        <f>IFERROR(__xludf.DUMMYFUNCTION("""COMPUTED_VALUE"""),3.0)</f>
        <v>3</v>
      </c>
      <c r="T125" s="17">
        <f>IFERROR(__xludf.DUMMYFUNCTION("""COMPUTED_VALUE"""),0.0)</f>
        <v>0</v>
      </c>
      <c r="U125" s="14">
        <f>IFERROR(__xludf.DUMMYFUNCTION("""COMPUTED_VALUE"""),2.0)</f>
        <v>2</v>
      </c>
      <c r="V125" s="14">
        <v>2025.0</v>
      </c>
      <c r="W125" s="2" t="s">
        <v>1168</v>
      </c>
      <c r="X125" s="2" t="s">
        <v>1203</v>
      </c>
      <c r="Y125" s="13" t="s">
        <v>528</v>
      </c>
      <c r="Z125" s="14">
        <v>0.0</v>
      </c>
      <c r="AA125" s="14">
        <v>0.0</v>
      </c>
      <c r="AB125" s="14">
        <v>0.0</v>
      </c>
      <c r="AC125" s="14">
        <v>0.0</v>
      </c>
      <c r="AD125" s="2">
        <v>0.0</v>
      </c>
      <c r="AE125" s="2">
        <v>1.0</v>
      </c>
      <c r="AF125" s="2">
        <v>12.0</v>
      </c>
      <c r="AG125" s="2" t="s">
        <v>1202</v>
      </c>
      <c r="AH125" s="2">
        <v>0.0</v>
      </c>
    </row>
    <row r="126" ht="15.75" customHeight="1">
      <c r="A126" s="2" t="str">
        <f>IFERROR(__xludf.DUMMYFUNCTION("""COMPUTED_VALUE"""),"Diario Portal")</f>
        <v>Diario Portal</v>
      </c>
      <c r="B126" s="12" t="str">
        <f>IFERROR(__xludf.DUMMYFUNCTION("""COMPUTED_VALUE"""),"Listo blindaje a peregrinos guadalupanos en Ecatepec; Azucena pide prudencia de automovilistas")</f>
        <v>Listo blindaje a peregrinos guadalupanos en Ecatepec; Azucena pide prudencia de automovilistas</v>
      </c>
      <c r="C126" s="13" t="str">
        <f>IFERROR(__xludf.DUMMYFUNCTION("""COMPUTED_VALUE"""),"2025-12-10 15:01:35")</f>
        <v>2025-12-10 15:01:35</v>
      </c>
      <c r="D126" s="14">
        <f>IFERROR(__xludf.DUMMYFUNCTION("""COMPUTED_VALUE"""),1.0)</f>
        <v>1</v>
      </c>
      <c r="E126" s="15">
        <f>IFERROR(__xludf.DUMMYFUNCTION("""COMPUTED_VALUE"""),0.0)</f>
        <v>0</v>
      </c>
      <c r="F126" s="2" t="str">
        <f>IFERROR(__xludf.DUMMYFUNCTION("""COMPUTED_VALUE"""),"Neutral")</f>
        <v>Neutral</v>
      </c>
      <c r="G126" s="15">
        <f>IFERROR(__xludf.DUMMYFUNCTION("""COMPUTED_VALUE"""),0.4598)</f>
        <v>0.4598</v>
      </c>
      <c r="H126" s="2" t="str">
        <f>IFERROR(__xludf.DUMMYFUNCTION("""COMPUTED_VALUE"""),"Otros temas generales")</f>
        <v>Otros temas generales</v>
      </c>
      <c r="I126" s="2" t="str">
        <f>IFERROR(__xludf.DUMMYFUNCTION("""COMPUTED_VALUE"""),"N/A")</f>
        <v>N/A</v>
      </c>
      <c r="J126" s="2" t="str">
        <f>IFERROR(__xludf.DUMMYFUNCTION("""COMPUTED_VALUE"""),"Descartar / Baja prioridad.")</f>
        <v>Descartar / Baja prioridad.</v>
      </c>
      <c r="K126" s="2" t="str">
        <f>IFERROR(__xludf.DUMMYFUNCTION("""COMPUTED_VALUE"""),"Ecatepec")</f>
        <v>Ecatepec</v>
      </c>
      <c r="L126" s="2" t="str">
        <f>IFERROR(__xludf.DUMMYFUNCTION("""COMPUTED_VALUE"""),"Estado de México")</f>
        <v>Estado de México</v>
      </c>
      <c r="M126" s="16" t="str">
        <f>IFERROR(__xludf.DUMMYFUNCTION("""COMPUTED_VALUE"""),"https://diarioportal.com/seguridad-y-justicia/listo-blindaje-a-peregrinos-guadalupanos-en-ecatepec-azucena-pide-prudencia-de-automovilistas")</f>
        <v>https://diarioportal.com/seguridad-y-justicia/listo-blindaje-a-peregrinos-guadalupanos-en-ecatepec-azucena-pide-prudencia-de-automovilistas</v>
      </c>
      <c r="N126" s="2" t="str">
        <f>IFERROR(__xludf.DUMMYFUNCTION("""COMPUTED_VALUE"""),"Más de 300 elementos de Seguridad Pública y Tránsito, así como de Protección Civil, distribuidos en seis puntos de auxilio, vigilarán el paso de más de un millón de peregrinos que cruzarán el municipio de Ecatepec con dirección a la Basílica de Guadalupe,"&amp;" informó la presidenta municipal Azucena Cisneros Coss. La mañana de este miércoles, la alcaldesa Azucena Cisneros Coss dio el banderazo al operativo Peregrino Seguro, que contará con más de 300 elementos que vigilarán el paso de los devotos de la Virgen "&amp;"de Guadalupe que, como cada año, acuden a la Basílica el 12 de diciembre. Explicó que los 300 elementos se desplegarán en seis puntos esenciales, donde se les otorgará a los peregrinos agua, naranjas, lunchs, atención médica y acompañamiento. Detalló que "&amp;"esté año esperan que más de un millón de personas pasen por el municipio de Ecatepec, por lo que pidió a los automovilistas respetar el paso de los feligreses. “Estos días esperamos a más de un millón de peregrinos que pasen por Ecatepec, nosotros somos u"&amp;"n municipio de paso de los feligreses, estamos hablando de Veracruz, Hidalgo, Tlaxcala, entre otros”, dijo. Agradeció a todo el personal que participará en el Operativo Peregrino Seguro, por su dedicación y trabajo en beneficio y seguridad de los habitant"&amp;"es de Ecatepec y municipios aledaños. Explicó que los módulos se instalaron en la Avenida Central, Vía Morelos y los uniformados apoyan a los que puedan circular sobre la autopista México-Pachuca. Exhortó a los automovilistas a respetar a los feligreses, "&amp;"manejar con precaución y no exceder los límites de velocidad. No hay etiquetas asociadas a éste artículo.")</f>
        <v>Más de 300 elementos de Seguridad Pública y Tránsito, así como de Protección Civil, distribuidos en seis puntos de auxilio, vigilarán el paso de más de un millón de peregrinos que cruzarán el municipio de Ecatepec con dirección a la Basílica de Guadalupe, informó la presidenta municipal Azucena Cisneros Coss. La mañana de este miércoles, la alcaldesa Azucena Cisneros Coss dio el banderazo al operativo Peregrino Seguro, que contará con más de 300 elementos que vigilarán el paso de los devotos de la Virgen de Guadalupe que, como cada año, acuden a la Basílica el 12 de diciembre. Explicó que los 300 elementos se desplegarán en seis puntos esenciales, donde se les otorgará a los peregrinos agua, naranjas, lunchs, atención médica y acompañamiento. Detalló que esté año esperan que más de un millón de personas pasen por el municipio de Ecatepec, por lo que pidió a los automovilistas respetar el paso de los feligreses. “Estos días esperamos a más de un millón de peregrinos que pasen por Ecatepec, nosotros somos un municipio de paso de los feligreses, estamos hablando de Veracruz, Hidalgo, Tlaxcala, entre otros”, dijo. Agradeció a todo el personal que participará en el Operativo Peregrino Seguro, por su dedicación y trabajo en beneficio y seguridad de los habitantes de Ecatepec y municipios aledaños. Explicó que los módulos se instalaron en la Avenida Central, Vía Morelos y los uniformados apoyan a los que puedan circular sobre la autopista México-Pachuca. Exhortó a los automovilistas a respetar a los feligreses, manejar con precaución y no exceder los límites de velocidad. No hay etiquetas asociadas a éste artículo.</v>
      </c>
      <c r="O126" s="15">
        <f>IFERROR(__xludf.DUMMYFUNCTION("""COMPUTED_VALUE"""),0.2599)</f>
        <v>0.2599</v>
      </c>
      <c r="P126" s="2"/>
      <c r="Q126" s="17">
        <f>IFERROR(__xludf.DUMMYFUNCTION("""COMPUTED_VALUE"""),8.5)</f>
        <v>8.5</v>
      </c>
      <c r="R126" s="2" t="str">
        <f>IFERROR(__xludf.DUMMYFUNCTION("""COMPUTED_VALUE"""),"High")</f>
        <v>High</v>
      </c>
      <c r="S126" s="17">
        <f>IFERROR(__xludf.DUMMYFUNCTION("""COMPUTED_VALUE"""),5.5)</f>
        <v>5.5</v>
      </c>
      <c r="T126" s="17">
        <f>IFERROR(__xludf.DUMMYFUNCTION("""COMPUTED_VALUE"""),0.0)</f>
        <v>0</v>
      </c>
      <c r="U126" s="14">
        <f>IFERROR(__xludf.DUMMYFUNCTION("""COMPUTED_VALUE"""),2.0)</f>
        <v>2</v>
      </c>
      <c r="V126" s="14">
        <v>2025.0</v>
      </c>
      <c r="W126" s="2" t="s">
        <v>1168</v>
      </c>
      <c r="X126" s="2" t="s">
        <v>1203</v>
      </c>
      <c r="Y126" s="13" t="s">
        <v>532</v>
      </c>
      <c r="Z126" s="14">
        <v>0.0</v>
      </c>
      <c r="AA126" s="14">
        <v>0.0</v>
      </c>
      <c r="AB126" s="14">
        <v>0.0</v>
      </c>
      <c r="AC126" s="14">
        <v>0.0</v>
      </c>
      <c r="AD126" s="2">
        <v>0.0</v>
      </c>
      <c r="AE126" s="2">
        <v>0.0</v>
      </c>
      <c r="AF126" s="2">
        <v>12.0</v>
      </c>
      <c r="AG126" s="2" t="s">
        <v>1208</v>
      </c>
      <c r="AH126" s="2">
        <v>0.0</v>
      </c>
    </row>
    <row r="127" ht="15.75" customHeight="1">
      <c r="A127" s="2" t="str">
        <f>IFERROR(__xludf.DUMMYFUNCTION("""COMPUTED_VALUE"""),"Diario Portal")</f>
        <v>Diario Portal</v>
      </c>
      <c r="B127" s="12" t="str">
        <f>IFERROR(__xludf.DUMMYFUNCTION("""COMPUTED_VALUE"""),"Garantizada la seguridad durante las festividades decembrinas en Toluca: Jorge Ayón")</f>
        <v>Garantizada la seguridad durante las festividades decembrinas en Toluca: Jorge Ayón</v>
      </c>
      <c r="C127" s="13" t="str">
        <f>IFERROR(__xludf.DUMMYFUNCTION("""COMPUTED_VALUE"""),"2025-12-10 14:59:38")</f>
        <v>2025-12-10 14:59:38</v>
      </c>
      <c r="D127" s="14">
        <f>IFERROR(__xludf.DUMMYFUNCTION("""COMPUTED_VALUE"""),1.0)</f>
        <v>1</v>
      </c>
      <c r="E127" s="15">
        <f>IFERROR(__xludf.DUMMYFUNCTION("""COMPUTED_VALUE"""),0.0)</f>
        <v>0</v>
      </c>
      <c r="F127" s="2" t="str">
        <f>IFERROR(__xludf.DUMMYFUNCTION("""COMPUTED_VALUE"""),"Neutral")</f>
        <v>Neutral</v>
      </c>
      <c r="G127" s="15">
        <f>IFERROR(__xludf.DUMMYFUNCTION("""COMPUTED_VALUE"""),0.471)</f>
        <v>0.471</v>
      </c>
      <c r="H127" s="2" t="str">
        <f>IFERROR(__xludf.DUMMYFUNCTION("""COMPUTED_VALUE"""),"Otros temas generales")</f>
        <v>Otros temas generales</v>
      </c>
      <c r="I127" s="2" t="str">
        <f>IFERROR(__xludf.DUMMYFUNCTION("""COMPUTED_VALUE"""),"N/A")</f>
        <v>N/A</v>
      </c>
      <c r="J127" s="2" t="str">
        <f>IFERROR(__xludf.DUMMYFUNCTION("""COMPUTED_VALUE"""),"Descartar / Baja prioridad.")</f>
        <v>Descartar / Baja prioridad.</v>
      </c>
      <c r="K127" s="2" t="str">
        <f>IFERROR(__xludf.DUMMYFUNCTION("""COMPUTED_VALUE"""),"Toluca")</f>
        <v>Toluca</v>
      </c>
      <c r="L127" s="2" t="str">
        <f>IFERROR(__xludf.DUMMYFUNCTION("""COMPUTED_VALUE"""),"Estado de México")</f>
        <v>Estado de México</v>
      </c>
      <c r="M127" s="16" t="str">
        <f>IFERROR(__xludf.DUMMYFUNCTION("""COMPUTED_VALUE"""),"https://diarioportal.com/seguridad-y-justicia/garantizada-la-seguridad-durante-las-festividades-decembrinas-en-toluca-jorge-ayon")</f>
        <v>https://diarioportal.com/seguridad-y-justicia/garantizada-la-seguridad-durante-las-festividades-decembrinas-en-toluca-jorge-ayon</v>
      </c>
      <c r="N127" s="2" t="str">
        <f>IFERROR(__xludf.DUMMYFUNCTION("""COMPUTED_VALUE"""),"Un total de mil 300 elementos de los tres órdenes de gobierno participan en un operativo interinstitucional con motivo de las fiestas navideñas, pago de prestaciones económicas y desplazamiento de visitantes, que cubrirá delegaciones y colonias de las zon"&amp;"as norte, centro y sur de la capital mexiquense. El director general de Seguridad y Protección de Toluca, Jorge Alberto Ayón, dio a conocer que en este operativo participan fuerzas del Ejército Mexicano, Guardia Nacional, Secretaría de Seguridad del Estad"&amp;"o de México (SSEM) y la corporación municipal a su mando. Explicó que además de los recorridos a pie y el contacto directo con vecinos, la operación reforzará la vigilancia en puntos carreteros estratégicos, así como en filtros y zonas de revisión, con el"&amp;" objetivo de inhibir delitos, detectar vehículos irregulares y mejorar el control territorial. Resaltó que lejos de limitarse a una presencia disuasiva, la jornada incluye acciones de diálogo comunitario, visitas a comercios, supervisión de zonas escolare"&amp;"s y recorridos por corredores con alta movilidad. “El mensaje es claro: estar presentes, coordinados y cerca de la gente. Hoy no solo patrullamos: escuchamos, atendemos y construimos confianza. La seguridad se fortalece trabajando directamente con la ciud"&amp;"adanía”, añadió. Alberto Ayón explicó que las células mixtas han sido desplegadas en arterias carreteras clave, accesos a la ciudad y avenidas que conectan con municipios vecinos, mientras que equipos de proximidad social caminan por colonias del norte, c"&amp;"omo San Pablo Autopan y Tlacotepec, barrios del centro histórico y zonas comerciales del sur. Reiteró que el objetivo es romper inercias, reducir factores de riesgo y consolidar la coordinación interinstitucional en zonas donde históricamente han operado "&amp;"de forma fragmentada. Finalmente, informó que este modelo de intervención territorial, que combina proximidad social, control carretero y vigilancia estratégica, continuará de manera periódica y será evaluado mediante informes técnicos para ajustar táctic"&amp;"as y consolidar una estrategia de seguridad más cercana, coordinada e integral. No hay etiquetas asociadas a éste artículo.")</f>
        <v>Un total de mil 300 elementos de los tres órdenes de gobierno participan en un operativo interinstitucional con motivo de las fiestas navideñas, pago de prestaciones económicas y desplazamiento de visitantes, que cubrirá delegaciones y colonias de las zonas norte, centro y sur de la capital mexiquense. El director general de Seguridad y Protección de Toluca, Jorge Alberto Ayón, dio a conocer que en este operativo participan fuerzas del Ejército Mexicano, Guardia Nacional, Secretaría de Seguridad del Estado de México (SSEM) y la corporación municipal a su mando. Explicó que además de los recorridos a pie y el contacto directo con vecinos, la operación reforzará la vigilancia en puntos carreteros estratégicos, así como en filtros y zonas de revisión, con el objetivo de inhibir delitos, detectar vehículos irregulares y mejorar el control territorial. Resaltó que lejos de limitarse a una presencia disuasiva, la jornada incluye acciones de diálogo comunitario, visitas a comercios, supervisión de zonas escolares y recorridos por corredores con alta movilidad. “El mensaje es claro: estar presentes, coordinados y cerca de la gente. Hoy no solo patrullamos: escuchamos, atendemos y construimos confianza. La seguridad se fortalece trabajando directamente con la ciudadanía”, añadió. Alberto Ayón explicó que las células mixtas han sido desplegadas en arterias carreteras clave, accesos a la ciudad y avenidas que conectan con municipios vecinos, mientras que equipos de proximidad social caminan por colonias del norte, como San Pablo Autopan y Tlacotepec, barrios del centro histórico y zonas comerciales del sur. Reiteró que el objetivo es romper inercias, reducir factores de riesgo y consolidar la coordinación interinstitucional en zonas donde históricamente han operado de forma fragmentada. Finalmente, informó que este modelo de intervención territorial, que combina proximidad social, control carretero y vigilancia estratégica, continuará de manera periódica y será evaluado mediante informes técnicos para ajustar tácticas y consolidar una estrategia de seguridad más cercana, coordinada e integral. No hay etiquetas asociadas a éste artículo.</v>
      </c>
      <c r="O127" s="15">
        <f>IFERROR(__xludf.DUMMYFUNCTION("""COMPUTED_VALUE"""),0.2651)</f>
        <v>0.2651</v>
      </c>
      <c r="P127" s="2"/>
      <c r="Q127" s="17">
        <f>IFERROR(__xludf.DUMMYFUNCTION("""COMPUTED_VALUE"""),6.5)</f>
        <v>6.5</v>
      </c>
      <c r="R127" s="2" t="str">
        <f>IFERROR(__xludf.DUMMYFUNCTION("""COMPUTED_VALUE"""),"High")</f>
        <v>High</v>
      </c>
      <c r="S127" s="17">
        <f>IFERROR(__xludf.DUMMYFUNCTION("""COMPUTED_VALUE"""),3.5)</f>
        <v>3.5</v>
      </c>
      <c r="T127" s="17">
        <f>IFERROR(__xludf.DUMMYFUNCTION("""COMPUTED_VALUE"""),0.0)</f>
        <v>0</v>
      </c>
      <c r="U127" s="14">
        <f>IFERROR(__xludf.DUMMYFUNCTION("""COMPUTED_VALUE"""),2.0)</f>
        <v>2</v>
      </c>
      <c r="V127" s="14">
        <v>2025.0</v>
      </c>
      <c r="W127" s="2" t="s">
        <v>1168</v>
      </c>
      <c r="X127" s="2" t="s">
        <v>1203</v>
      </c>
      <c r="Y127" s="13" t="s">
        <v>536</v>
      </c>
      <c r="Z127" s="14">
        <v>0.0</v>
      </c>
      <c r="AA127" s="14">
        <v>0.0</v>
      </c>
      <c r="AB127" s="14">
        <v>0.0</v>
      </c>
      <c r="AC127" s="14">
        <v>0.0</v>
      </c>
      <c r="AD127" s="2">
        <v>0.0</v>
      </c>
      <c r="AE127" s="2">
        <v>0.0</v>
      </c>
      <c r="AF127" s="2">
        <v>12.0</v>
      </c>
      <c r="AG127" s="2" t="s">
        <v>1216</v>
      </c>
      <c r="AH127" s="2">
        <v>0.0</v>
      </c>
    </row>
    <row r="128" ht="15.75" customHeight="1">
      <c r="A128" s="2" t="str">
        <f>IFERROR(__xludf.DUMMYFUNCTION("""COMPUTED_VALUE"""),"Diario Portal")</f>
        <v>Diario Portal</v>
      </c>
      <c r="B128" s="12" t="str">
        <f>IFERROR(__xludf.DUMMYFUNCTION("""COMPUTED_VALUE"""),"Consolida  Edomex  tendencia  a la baja en   delitos de  alto impacto")</f>
        <v>Consolida  Edomex  tendencia  a la baja en   delitos de  alto impacto</v>
      </c>
      <c r="C128" s="13" t="str">
        <f>IFERROR(__xludf.DUMMYFUNCTION("""COMPUTED_VALUE"""),"Sin Fecha")</f>
        <v>Sin Fecha</v>
      </c>
      <c r="D128" s="14">
        <f>IFERROR(__xludf.DUMMYFUNCTION("""COMPUTED_VALUE"""),2.0)</f>
        <v>2</v>
      </c>
      <c r="E128" s="15">
        <f>IFERROR(__xludf.DUMMYFUNCTION("""COMPUTED_VALUE"""),-0.7985)</f>
        <v>-0.7985</v>
      </c>
      <c r="F128" s="2" t="str">
        <f>IFERROR(__xludf.DUMMYFUNCTION("""COMPUTED_VALUE"""),"Negativo")</f>
        <v>Negativo</v>
      </c>
      <c r="G128" s="15">
        <f>IFERROR(__xludf.DUMMYFUNCTION("""COMPUTED_VALUE"""),0.7985)</f>
        <v>0.7985</v>
      </c>
      <c r="H128" s="2" t="str">
        <f>IFERROR(__xludf.DUMMYFUNCTION("""COMPUTED_VALUE"""),"Operativo policial o detención")</f>
        <v>Operativo policial o detención</v>
      </c>
      <c r="I128" s="2" t="str">
        <f>IFERROR(__xludf.DUMMYFUNCTION("""COMPUTED_VALUE"""),"N/A")</f>
        <v>N/A</v>
      </c>
      <c r="J128" s="2" t="str">
        <f>IFERROR(__xludf.DUMMYFUNCTION("""COMPUTED_VALUE"""),"Monitoreo general.")</f>
        <v>Monitoreo general.</v>
      </c>
      <c r="K128" s="2" t="str">
        <f>IFERROR(__xludf.DUMMYFUNCTION("""COMPUTED_VALUE"""),"Estado de México")</f>
        <v>Estado de México</v>
      </c>
      <c r="L128" s="2" t="str">
        <f>IFERROR(__xludf.DUMMYFUNCTION("""COMPUTED_VALUE"""),"Estado de México")</f>
        <v>Estado de México</v>
      </c>
      <c r="M128" s="16" t="str">
        <f>IFERROR(__xludf.DUMMYFUNCTION("""COMPUTED_VALUE"""),"https://diarioportal.com/seguridad-y-justicia/consolida-edomex-tendencia-a-la-baja-en-delitos-de-alto-impacto")</f>
        <v>https://diarioportal.com/seguridad-y-justicia/consolida-edomex-tendencia-a-la-baja-en-delitos-de-alto-impacto</v>
      </c>
      <c r="N128" s="2" t="str">
        <f>IFERROR(__xludf.DUMMYFUNCTION("""COMPUTED_VALUE"""),"Con estrategias focalizadas emanadas de la Mesa de Paz, que encabeza diariamente la Gobernadora Delfina Gómez Álvarez, durante el mes de noviembre en comparación con octubre, el Estado de México registra tendencia a la baja en los delitos de alto impacto."&amp;" De acuerdo con la Secretaría de Seguridad estatal (SSEM), el descenso se reflejó en los ilícitos que afectan directamente la vida cotidiana de la población. El robo a transportista con violencia bajó 11%, asociado a los operativos coordinados en carreter"&amp;"as y vías principales de la entidad mexiquense. Otros que mostraron reducciones fueron el robo a negocio, con una caída del 10%; el robo de vehículo, con una disminución del 6%; y el robo al transporte público, que bajó 5%, con lo que se consolida una ten"&amp;"dencia sostenida a la baja gracias a la coordinación entre fuerzas federales, estatales y municipales. A la sesión de la Mesa de Paz número 230, realizada en el Salón 'Guadalupe Victoria' de Palacio de Gobierno, asistieron Horacio Duarte Olivares, Secreta"&amp;"rio General de Gobierno; Cristóbal Castañeda Camarillo, Secretario de Seguridad; Maricela López Urbina, Secretaria Técnica; así como representantes de la Fiscalía Mexiquense, Defensa, Marina, Guardia Nacional y el Centro Nacional de Inteligencia. No hay e"&amp;"tiquetas asociadas a éste artículo.")</f>
        <v>Con estrategias focalizadas emanadas de la Mesa de Paz, que encabeza diariamente la Gobernadora Delfina Gómez Álvarez, durante el mes de noviembre en comparación con octubre, el Estado de México registra tendencia a la baja en los delitos de alto impacto. De acuerdo con la Secretaría de Seguridad estatal (SSEM), el descenso se reflejó en los ilícitos que afectan directamente la vida cotidiana de la población. El robo a transportista con violencia bajó 11%, asociado a los operativos coordinados en carreteras y vías principales de la entidad mexiquense. Otros que mostraron reducciones fueron el robo a negocio, con una caída del 10%; el robo de vehículo, con una disminución del 6%; y el robo al transporte público, que bajó 5%, con lo que se consolida una tendencia sostenida a la baja gracias a la coordinación entre fuerzas federales, estatales y municipales. A la sesión de la Mesa de Paz número 230, realizada en el Salón 'Guadalupe Victoria' de Palacio de Gobierno, asistieron Horacio Duarte Olivares, Secretario General de Gobierno; Cristóbal Castañeda Camarillo, Secretario de Seguridad; Maricela López Urbina, Secretaria Técnica; así como representantes de la Fiscalía Mexiquense, Defensa, Marina, Guardia Nacional y el Centro Nacional de Inteligencia. No hay etiquetas asociadas a éste artículo.</v>
      </c>
      <c r="O128" s="15">
        <f>IFERROR(__xludf.DUMMYFUNCTION("""COMPUTED_VALUE"""),0.2647)</f>
        <v>0.2647</v>
      </c>
      <c r="P128" s="2"/>
      <c r="Q128" s="17">
        <f>IFERROR(__xludf.DUMMYFUNCTION("""COMPUTED_VALUE"""),8.0)</f>
        <v>8</v>
      </c>
      <c r="R128" s="2" t="str">
        <f>IFERROR(__xludf.DUMMYFUNCTION("""COMPUTED_VALUE"""),"High")</f>
        <v>High</v>
      </c>
      <c r="S128" s="17">
        <f>IFERROR(__xludf.DUMMYFUNCTION("""COMPUTED_VALUE"""),6.0)</f>
        <v>6</v>
      </c>
      <c r="T128" s="17">
        <f>IFERROR(__xludf.DUMMYFUNCTION("""COMPUTED_VALUE"""),0.0)</f>
        <v>0</v>
      </c>
      <c r="U128" s="14">
        <f>IFERROR(__xludf.DUMMYFUNCTION("""COMPUTED_VALUE"""),2.0)</f>
        <v>2</v>
      </c>
      <c r="V128" s="14" t="s">
        <v>1186</v>
      </c>
      <c r="W128" s="2" t="s">
        <v>190</v>
      </c>
      <c r="X128" s="2" t="s">
        <v>190</v>
      </c>
      <c r="Y128" s="13"/>
      <c r="Z128" s="14">
        <v>0.0</v>
      </c>
      <c r="AA128" s="14">
        <v>0.0</v>
      </c>
      <c r="AB128" s="14">
        <v>0.0</v>
      </c>
      <c r="AC128" s="14">
        <v>0.0</v>
      </c>
      <c r="AD128" s="2">
        <v>0.0</v>
      </c>
      <c r="AE128" s="2">
        <v>0.0</v>
      </c>
      <c r="AF128" s="2" t="s">
        <v>1186</v>
      </c>
      <c r="AG128" s="2" t="s">
        <v>1202</v>
      </c>
      <c r="AH128" s="2">
        <v>0.0</v>
      </c>
    </row>
    <row r="129" ht="15.75" customHeight="1">
      <c r="A129" s="2" t="str">
        <f>IFERROR(__xludf.DUMMYFUNCTION("""COMPUTED_VALUE"""),"Diario Portal")</f>
        <v>Diario Portal</v>
      </c>
      <c r="B129" s="12" t="str">
        <f>IFERROR(__xludf.DUMMYFUNCTION("""COMPUTED_VALUE"""),"Localizan vehículo de carga robado en la autopista México-Pachuca")</f>
        <v>Localizan vehículo de carga robado en la autopista México-Pachuca</v>
      </c>
      <c r="C129" s="13" t="str">
        <f>IFERROR(__xludf.DUMMYFUNCTION("""COMPUTED_VALUE"""),"2025-12-08 19:31:49")</f>
        <v>2025-12-08 19:31:49</v>
      </c>
      <c r="D129" s="14">
        <f>IFERROR(__xludf.DUMMYFUNCTION("""COMPUTED_VALUE"""),2.0)</f>
        <v>2</v>
      </c>
      <c r="E129" s="15">
        <f>IFERROR(__xludf.DUMMYFUNCTION("""COMPUTED_VALUE"""),0.0)</f>
        <v>0</v>
      </c>
      <c r="F129" s="2" t="str">
        <f>IFERROR(__xludf.DUMMYFUNCTION("""COMPUTED_VALUE"""),"Neutral")</f>
        <v>Neutral</v>
      </c>
      <c r="G129" s="15">
        <f>IFERROR(__xludf.DUMMYFUNCTION("""COMPUTED_VALUE"""),0.5163)</f>
        <v>0.5163</v>
      </c>
      <c r="H129" s="2" t="str">
        <f>IFERROR(__xludf.DUMMYFUNCTION("""COMPUTED_VALUE"""),"Operativo policial o detención")</f>
        <v>Operativo policial o detención</v>
      </c>
      <c r="I129" s="2" t="str">
        <f>IFERROR(__xludf.DUMMYFUNCTION("""COMPUTED_VALUE"""),"N/A")</f>
        <v>N/A</v>
      </c>
      <c r="J129" s="2" t="str">
        <f>IFERROR(__xludf.DUMMYFUNCTION("""COMPUTED_VALUE"""),"Monitoreo general.")</f>
        <v>Monitoreo general.</v>
      </c>
      <c r="K129" s="2" t="str">
        <f>IFERROR(__xludf.DUMMYFUNCTION("""COMPUTED_VALUE"""),"Estado de México")</f>
        <v>Estado de México</v>
      </c>
      <c r="L129" s="2" t="str">
        <f>IFERROR(__xludf.DUMMYFUNCTION("""COMPUTED_VALUE"""),"Estado de México")</f>
        <v>Estado de México</v>
      </c>
      <c r="M129" s="16" t="str">
        <f>IFERROR(__xludf.DUMMYFUNCTION("""COMPUTED_VALUE"""),"https://diarioportal.com/seguridad-y-justicia/localizan-vehiculo-de-carga-robado-en-la-autopista-mexicopachuca")</f>
        <v>https://diarioportal.com/seguridad-y-justicia/localizan-vehiculo-de-carga-robado-en-la-autopista-mexicopachuca</v>
      </c>
      <c r="N129" s="2" t="str">
        <f>IFERROR(__xludf.DUMMYFUNCTION("""COMPUTED_VALUE"""),"Elementos de la Fiscalía General de Justicia del Estado de México (FGJEM), en coordinación con la Secretaría de Seguridad estatal (SSEM), ejecutaron una técnica de investigación de cateo en un inmueble ubicado en la colonia San Pedro Atzompa en donde recu"&amp;"peraron un auto transporte y mercancía con reporte de robo. Esta diligencia fue practicada derivado de una denuncia por hechos ocurridos el pasado 28 de noviembre, cuando la víctima conducía un automotor de carga en la autopista México-Pachuca, a la altur"&amp;"a de la colonia San Martín Azcatepec, de Tecámac, en el cual transportaba material diverso, propiedad de una empresa particular cuando un automóvil blanco le cerró el paso del cual descendieron dos sujetos, quienes amenazaron a la víctima a la que subiero"&amp;"n al vehículo, privándola de su libertad por espacio de una hora, para después liberarla en un predio baldío en el municipio de Tizayuca, en el Estado de Hidalgo. Una vez que tuvo conocimiento de estos hechos, el Agente del Ministerio Público inició la in"&amp;"vestigación que permitió ubicar el posible paradero de la unidad robada, por lo que solicitó y obtuvo de una Autoridad Judicial la orden de cateo correspondiente. Al contar con la orden obsequiada por el juez, los elementos de la Fiscalía y la Secretaría "&amp;"de Seguridad estatal se constituyeron en el predio ubicado en la colonia San Pedro Atzompa, en Tecámac, en donde fue localizado un vehículo marca Ford, submarca F350, tipo camión, con reporte de robo, objetivo del cateo, unidad que presentaba huellas de d"&amp;"esvalijamiento. Una vez concluida la diligencia, el predio fue asegurado, para preservar el lugar y continuar con las investigaciones correspondientes. No hay etiquetas asociadas a éste artículo.")</f>
        <v>Elementos de la Fiscalía General de Justicia del Estado de México (FGJEM), en coordinación con la Secretaría de Seguridad estatal (SSEM), ejecutaron una técnica de investigación de cateo en un inmueble ubicado en la colonia San Pedro Atzompa en donde recuperaron un auto transporte y mercancía con reporte de robo. Esta diligencia fue practicada derivado de una denuncia por hechos ocurridos el pasado 28 de noviembre, cuando la víctima conducía un automotor de carga en la autopista México-Pachuca, a la altura de la colonia San Martín Azcatepec, de Tecámac, en el cual transportaba material diverso, propiedad de una empresa particular cuando un automóvil blanco le cerró el paso del cual descendieron dos sujetos, quienes amenazaron a la víctima a la que subieron al vehículo, privándola de su libertad por espacio de una hora, para después liberarla en un predio baldío en el municipio de Tizayuca, en el Estado de Hidalgo. Una vez que tuvo conocimiento de estos hechos, el Agente del Ministerio Público inició la investigación que permitió ubicar el posible paradero de la unidad robada, por lo que solicitó y obtuvo de una Autoridad Judicial la orden de cateo correspondiente. Al contar con la orden obsequiada por el juez, los elementos de la Fiscalía y la Secretaría de Seguridad estatal se constituyeron en el predio ubicado en la colonia San Pedro Atzompa, en Tecámac, en donde fue localizado un vehículo marca Ford, submarca F350, tipo camión, con reporte de robo, objetivo del cateo, unidad que presentaba huellas de desvalijamiento. Una vez concluida la diligencia, el predio fue asegurado, para preservar el lugar y continuar con las investigaciones correspondientes. No hay etiquetas asociadas a éste artículo.</v>
      </c>
      <c r="O129" s="15">
        <f>IFERROR(__xludf.DUMMYFUNCTION("""COMPUTED_VALUE"""),0.936)</f>
        <v>0.936</v>
      </c>
      <c r="P129" s="2"/>
      <c r="Q129" s="17">
        <f>IFERROR(__xludf.DUMMYFUNCTION("""COMPUTED_VALUE"""),5.0)</f>
        <v>5</v>
      </c>
      <c r="R129" s="2" t="str">
        <f>IFERROR(__xludf.DUMMYFUNCTION("""COMPUTED_VALUE"""),"Low")</f>
        <v>Low</v>
      </c>
      <c r="S129" s="17">
        <f>IFERROR(__xludf.DUMMYFUNCTION("""COMPUTED_VALUE"""),0.0)</f>
        <v>0</v>
      </c>
      <c r="T129" s="17">
        <f>IFERROR(__xludf.DUMMYFUNCTION("""COMPUTED_VALUE"""),0.0)</f>
        <v>0</v>
      </c>
      <c r="U129" s="14">
        <f>IFERROR(__xludf.DUMMYFUNCTION("""COMPUTED_VALUE"""),2.0)</f>
        <v>2</v>
      </c>
      <c r="V129" s="14">
        <v>2025.0</v>
      </c>
      <c r="W129" s="2" t="s">
        <v>1168</v>
      </c>
      <c r="X129" s="2" t="s">
        <v>1169</v>
      </c>
      <c r="Y129" s="13" t="s">
        <v>543</v>
      </c>
      <c r="Z129" s="14">
        <v>0.0</v>
      </c>
      <c r="AA129" s="14">
        <v>0.0</v>
      </c>
      <c r="AB129" s="14">
        <v>0.0</v>
      </c>
      <c r="AC129" s="14">
        <v>0.0</v>
      </c>
      <c r="AD129" s="2">
        <v>0.0</v>
      </c>
      <c r="AE129" s="2">
        <v>0.0</v>
      </c>
      <c r="AF129" s="2">
        <v>12.0</v>
      </c>
      <c r="AG129" s="2" t="s">
        <v>1202</v>
      </c>
      <c r="AH129" s="2">
        <v>0.0</v>
      </c>
    </row>
    <row r="130" ht="15.75" customHeight="1">
      <c r="A130" s="2" t="str">
        <f>IFERROR(__xludf.DUMMYFUNCTION("""COMPUTED_VALUE"""),"Diario Portal")</f>
        <v>Diario Portal</v>
      </c>
      <c r="B130" s="12" t="str">
        <f>IFERROR(__xludf.DUMMYFUNCTION("""COMPUTED_VALUE"""),"Reconoce el GEM la vocación, valentía y entrega de la Policía mexiquense")</f>
        <v>Reconoce el GEM la vocación, valentía y entrega de la Policía mexiquense</v>
      </c>
      <c r="C130" s="13" t="str">
        <f>IFERROR(__xludf.DUMMYFUNCTION("""COMPUTED_VALUE"""),"2025-12-08 17:37:25")</f>
        <v>2025-12-08 17:37:25</v>
      </c>
      <c r="D130" s="14">
        <f>IFERROR(__xludf.DUMMYFUNCTION("""COMPUTED_VALUE"""),4.0)</f>
        <v>4</v>
      </c>
      <c r="E130" s="15">
        <f>IFERROR(__xludf.DUMMYFUNCTION("""COMPUTED_VALUE"""),0.7143)</f>
        <v>0.7143</v>
      </c>
      <c r="F130" s="2" t="str">
        <f>IFERROR(__xludf.DUMMYFUNCTION("""COMPUTED_VALUE"""),"Positivo")</f>
        <v>Positivo</v>
      </c>
      <c r="G130" s="15">
        <f>IFERROR(__xludf.DUMMYFUNCTION("""COMPUTED_VALUE"""),0.7143)</f>
        <v>0.7143</v>
      </c>
      <c r="H130" s="2" t="str">
        <f>IFERROR(__xludf.DUMMYFUNCTION("""COMPUTED_VALUE"""),"Operativo policial o detención")</f>
        <v>Operativo policial o detención</v>
      </c>
      <c r="I130" s="2" t="str">
        <f>IFERROR(__xludf.DUMMYFUNCTION("""COMPUTED_VALUE"""),"N/A")</f>
        <v>N/A</v>
      </c>
      <c r="J130" s="2" t="str">
        <f>IFERROR(__xludf.DUMMYFUNCTION("""COMPUTED_VALUE"""),"Monitoreo general.")</f>
        <v>Monitoreo general.</v>
      </c>
      <c r="K130" s="2" t="str">
        <f>IFERROR(__xludf.DUMMYFUNCTION("""COMPUTED_VALUE"""),"Estado de México")</f>
        <v>Estado de México</v>
      </c>
      <c r="L130" s="2" t="str">
        <f>IFERROR(__xludf.DUMMYFUNCTION("""COMPUTED_VALUE"""),"Estado de México")</f>
        <v>Estado de México</v>
      </c>
      <c r="M130" s="16" t="str">
        <f>IFERROR(__xludf.DUMMYFUNCTION("""COMPUTED_VALUE"""),"https://diarioportal.com/seguridad-y-justicia/reconoce-el-gem-la-vocacion-valentia-y-entrega-de-la-policia-mexiquense")</f>
        <v>https://diarioportal.com/seguridad-y-justicia/reconoce-el-gem-la-vocacion-valentia-y-entrega-de-la-policia-mexiquense</v>
      </c>
      <c r="N130" s="2" t="str">
        <f>IFERROR(__xludf.DUMMYFUNCTION("""COMPUTED_VALUE"""),"En el marco de la conmemoración del Día del Policía Mexiquense, en representación de la gobernadora del Estado de México, Delfina Gómez Álvarez, el secretario de Seguridad, Cristóbal Castañeda Camarillo, reconoció a las y los policías que diariamente sale"&amp;"n a las calles con la misión de salvaguardar a la población. “Ser policía es sinónimo de vocación, valentía y entrega. Es construir en cada acción justicia, orden y paz social. Es levantarse todos los días con la firme convicción de servir y de renunciar "&amp;"a las necesidades propias para buscar un bien superior: la seguridad de la ciudadanía mexiquense”, destacó el Secretario de Seguridad. El titular de la dependencia señaló que la SSEM está integrada por mujeres y hombres cuyos valores están bien cimentados"&amp;", lo que la convierte en una institución humana, cuya labor trasciende e impacta de manera positiva y profunda en el tejido social. “En cada uno de los 125 municipios que conforman el estado, sepan que la Secretaría de Seguridad mantiene su compromiso de "&amp;"hacer de la institución policial un referente de buenas prácticas a nivel nacional, con policías mejor preparados, capacitados y especializados en sus funciones, actuando siempre en favor de la ciudadanía”, señaló Cristóbal Castañeda. En el Centro de Cont"&amp;"rol, Comando, Comunicación, Cómputo y Calidad (C5) de la entidad, Paola Monserrat García Paz, ganadora del Mérito Deportivo, destacó el apoyo y liderazgo de la Gobernadora y del Secretario de Seguridad, evidentes por el respaldo que actualmente brindan a "&amp;"las fuerzas del orden. “Agradezco el respaldo y compromiso de nuestras autoridades. Gracias a nuestra Gobernadora, maestra Delfina Gómez Álvarez, por el apoyo a esta institución, por dignificar nuestra labor y procurar nuestro bienestar. También agradezco"&amp;" a nuestro Secretario de Seguridad, Maestro Cristóbal Castañeda Camarillo, por su liderazgo al frente de esta institución”, dijo la galardonada. Durante la ceremonia se reconoció a oficiales por su destacada labor en las categorías de Policía del Año; Mér"&amp;"ito Policial Primera y Segunda Clase; Custodio del Año; Mérito Social y Deportivo; así como el Título Post Mortem. Con estas acciones, el gobierno del Estado de México reafirma su compromiso con las y los policías para continuar con el trabajo de reconstr"&amp;"ucción social, así como para fortalecer la proximidad con la ciudadanía, tal como lo establece el Plan de Desarrollo Estatal 2023-2029. En el evento estuvieron presentes el Representante de la 22ª Zona Militar, General de Brigada Armando López Esquivel; e"&amp;"l Subsecretario de la Policía Estatal, Carlos Alberto Hernández Leyva; el Subsecretario de Control Penitenciario, Víctor Manuel Martínez, y el Director General de Información, Víctor Antonio Cisneros Díaz. No hay etiquetas asociadas a éste artículo.")</f>
        <v>En el marco de la conmemoración del Día del Policía Mexiquense, en representación de la gobernadora del Estado de México, Delfina Gómez Álvarez, el secretario de Seguridad, Cristóbal Castañeda Camarillo, reconoció a las y los policías que diariamente salen a las calles con la misión de salvaguardar a la población. “Ser policía es sinónimo de vocación, valentía y entrega. Es construir en cada acción justicia, orden y paz social. Es levantarse todos los días con la firme convicción de servir y de renunciar a las necesidades propias para buscar un bien superior: la seguridad de la ciudadanía mexiquense”, destacó el Secretario de Seguridad. El titular de la dependencia señaló que la SSEM está integrada por mujeres y hombres cuyos valores están bien cimentados, lo que la convierte en una institución humana, cuya labor trasciende e impacta de manera positiva y profunda en el tejido social. “En cada uno de los 125 municipios que conforman el estado, sepan que la Secretaría de Seguridad mantiene su compromiso de hacer de la institución policial un referente de buenas prácticas a nivel nacional, con policías mejor preparados, capacitados y especializados en sus funciones, actuando siempre en favor de la ciudadanía”, señaló Cristóbal Castañeda. En el Centro de Control, Comando, Comunicación, Cómputo y Calidad (C5) de la entidad, Paola Monserrat García Paz, ganadora del Mérito Deportivo, destacó el apoyo y liderazgo de la Gobernadora y del Secretario de Seguridad, evidentes por el respaldo que actualmente brindan a las fuerzas del orden. “Agradezco el respaldo y compromiso de nuestras autoridades. Gracias a nuestra Gobernadora, maestra Delfina Gómez Álvarez, por el apoyo a esta institución, por dignificar nuestra labor y procurar nuestro bienestar. También agradezco a nuestro Secretario de Seguridad, Maestro Cristóbal Castañeda Camarillo, por su liderazgo al frente de esta institución”, dijo la galardonada. Durante la ceremonia se reconoció a oficiales por su destacada labor en las categorías de Policía del Año; Mérito Policial Primera y Segunda Clase; Custodio del Año; Mérito Social y Deportivo; así como el Título Post Mortem. Con estas acciones, el gobierno del Estado de México reafirma su compromiso con las y los policías para continuar con el trabajo de reconstrucción social, así como para fortalecer la proximidad con la ciudadanía, tal como lo establece el Plan de Desarrollo Estatal 2023-2029. En el evento estuvieron presentes el Representante de la 22ª Zona Militar, General de Brigada Armando López Esquivel; el Subsecretario de la Policía Estatal, Carlos Alberto Hernández Leyva; el Subsecretario de Control Penitenciario, Víctor Manuel Martínez, y el Director General de Información, Víctor Antonio Cisneros Díaz. No hay etiquetas asociadas a éste artículo.</v>
      </c>
      <c r="O130" s="15">
        <f>IFERROR(__xludf.DUMMYFUNCTION("""COMPUTED_VALUE"""),0.4246)</f>
        <v>0.4246</v>
      </c>
      <c r="P130" s="2"/>
      <c r="Q130" s="17">
        <f>IFERROR(__xludf.DUMMYFUNCTION("""COMPUTED_VALUE"""),5.0)</f>
        <v>5</v>
      </c>
      <c r="R130" s="2" t="str">
        <f>IFERROR(__xludf.DUMMYFUNCTION("""COMPUTED_VALUE"""),"High")</f>
        <v>High</v>
      </c>
      <c r="S130" s="17">
        <f>IFERROR(__xludf.DUMMYFUNCTION("""COMPUTED_VALUE"""),2.0)</f>
        <v>2</v>
      </c>
      <c r="T130" s="17">
        <f>IFERROR(__xludf.DUMMYFUNCTION("""COMPUTED_VALUE"""),0.0)</f>
        <v>0</v>
      </c>
      <c r="U130" s="14">
        <f>IFERROR(__xludf.DUMMYFUNCTION("""COMPUTED_VALUE"""),2.0)</f>
        <v>2</v>
      </c>
      <c r="V130" s="14">
        <v>2025.0</v>
      </c>
      <c r="W130" s="2" t="s">
        <v>1168</v>
      </c>
      <c r="X130" s="2" t="s">
        <v>1169</v>
      </c>
      <c r="Y130" s="13" t="s">
        <v>547</v>
      </c>
      <c r="Z130" s="14">
        <v>0.0</v>
      </c>
      <c r="AA130" s="14">
        <v>0.0</v>
      </c>
      <c r="AB130" s="14">
        <v>0.0</v>
      </c>
      <c r="AC130" s="14">
        <v>0.0</v>
      </c>
      <c r="AD130" s="2">
        <v>0.0</v>
      </c>
      <c r="AE130" s="2">
        <v>1.0</v>
      </c>
      <c r="AF130" s="2">
        <v>12.0</v>
      </c>
      <c r="AG130" s="2" t="s">
        <v>1202</v>
      </c>
      <c r="AH130" s="2">
        <v>0.0</v>
      </c>
    </row>
    <row r="131" ht="15.75" customHeight="1">
      <c r="A131" s="2" t="str">
        <f>IFERROR(__xludf.DUMMYFUNCTION("""COMPUTED_VALUE"""),"Diario Portal")</f>
        <v>Diario Portal</v>
      </c>
      <c r="B131" s="12" t="str">
        <f>IFERROR(__xludf.DUMMYFUNCTION("""COMPUTED_VALUE"""),"Detiene FGR al priista César Duarte por saquear a Chihuahua cuando fue gobernador")</f>
        <v>Detiene FGR al priista César Duarte por saquear a Chihuahua cuando fue gobernador</v>
      </c>
      <c r="C131" s="13" t="str">
        <f>IFERROR(__xludf.DUMMYFUNCTION("""COMPUTED_VALUE"""),"2025-12-08 17:22:33")</f>
        <v>2025-12-08 17:22:33</v>
      </c>
      <c r="D131" s="14">
        <f>IFERROR(__xludf.DUMMYFUNCTION("""COMPUTED_VALUE"""),2.0)</f>
        <v>2</v>
      </c>
      <c r="E131" s="15">
        <f>IFERROR(__xludf.DUMMYFUNCTION("""COMPUTED_VALUE"""),-0.5575)</f>
        <v>-0.5575</v>
      </c>
      <c r="F131" s="2" t="str">
        <f>IFERROR(__xludf.DUMMYFUNCTION("""COMPUTED_VALUE"""),"Negativo")</f>
        <v>Negativo</v>
      </c>
      <c r="G131" s="15">
        <f>IFERROR(__xludf.DUMMYFUNCTION("""COMPUTED_VALUE"""),0.5575)</f>
        <v>0.5575</v>
      </c>
      <c r="H131" s="2" t="str">
        <f>IFERROR(__xludf.DUMMYFUNCTION("""COMPUTED_VALUE"""),"Operativo policial o detención")</f>
        <v>Operativo policial o detención</v>
      </c>
      <c r="I131" s="2" t="str">
        <f>IFERROR(__xludf.DUMMYFUNCTION("""COMPUTED_VALUE"""),"N/A")</f>
        <v>N/A</v>
      </c>
      <c r="J131" s="2" t="str">
        <f>IFERROR(__xludf.DUMMYFUNCTION("""COMPUTED_VALUE"""),"Monitoreo general.")</f>
        <v>Monitoreo general.</v>
      </c>
      <c r="K131" s="2" t="str">
        <f>IFERROR(__xludf.DUMMYFUNCTION("""COMPUTED_VALUE"""),"Chihuahua")</f>
        <v>Chihuahua</v>
      </c>
      <c r="L131" s="2" t="str">
        <f>IFERROR(__xludf.DUMMYFUNCTION("""COMPUTED_VALUE"""),"Chihuahua")</f>
        <v>Chihuahua</v>
      </c>
      <c r="M131" s="16" t="str">
        <f>IFERROR(__xludf.DUMMYFUNCTION("""COMPUTED_VALUE"""),"https://diarioportal.com/seguridad-y-justicia/detiene-fgr-al-priista-cesar-duarte-por-saquear-a-chihuahua-cuando-fue-gobernador")</f>
        <v>https://diarioportal.com/seguridad-y-justicia/detiene-fgr-al-priista-cesar-duarte-por-saquear-a-chihuahua-cuando-fue-gobernador</v>
      </c>
      <c r="N131" s="2" t="str">
        <f>IFERROR(__xludf.DUMMYFUNCTION("""COMPUTED_VALUE"""),"El exgobernador priista de Chihuahua, César Duarte, fue detenido por agentes de la Fiscalía General de la República, ahora comandada por Ernestina Godoy, quien investiga su presunta responsabilidad en lavado de dinero posiblemente sustraído del erario púb"&amp;"lico del estado cuando estuvo en funciones. Así lo dio a conocer la FGR a través de redes sociales, donde postula que “César ‘N’, había sido detenido previamente el 8 de julio de 2020 en Miami, Florida, y extraditado a México el 2 de junio de 2022, por lo"&amp;"s delitos de peculado y asociación delictuosa, investigado por la Fiscalía del estado de Chihuahua”. La fiscalía acotó en el mensaje que la órden de aprehensión, cumplimentada este lunes, fue emitida el 16 de mayo del año pasado. Asimismo, informa que “El"&amp;" 4 de octubre de 2024, se tramitó ante el Gobierno de los #EUA la autorización para poder procesarlo por un delito distinto a los de peculado y asociación delictuosa, misma que fue concedida el 4 de diciembre de 2025”. De acuerdo con el breve comunicado, "&amp;"el exgobernador “es investigado por su probable intervención como servidor público en Chihuahua, en un esquema de lavado de dinero, en el que pretendió ocultar recursos de procedencia ilícita desviados de las arcas estatales, utilizando para ello el Siste"&amp;"ma Financiero Mexicano”. No hay etiquetas asociadas a éste artículo.")</f>
        <v>El exgobernador priista de Chihuahua, César Duarte, fue detenido por agentes de la Fiscalía General de la República, ahora comandada por Ernestina Godoy, quien investiga su presunta responsabilidad en lavado de dinero posiblemente sustraído del erario público del estado cuando estuvo en funciones. Así lo dio a conocer la FGR a través de redes sociales, donde postula que “César ‘N’, había sido detenido previamente el 8 de julio de 2020 en Miami, Florida, y extraditado a México el 2 de junio de 2022, por los delitos de peculado y asociación delictuosa, investigado por la Fiscalía del estado de Chihuahua”. La fiscalía acotó en el mensaje que la órden de aprehensión, cumplimentada este lunes, fue emitida el 16 de mayo del año pasado. Asimismo, informa que “El 4 de octubre de 2024, se tramitó ante el Gobierno de los #EUA la autorización para poder procesarlo por un delito distinto a los de peculado y asociación delictuosa, misma que fue concedida el 4 de diciembre de 2025”. De acuerdo con el breve comunicado, el exgobernador “es investigado por su probable intervención como servidor público en Chihuahua, en un esquema de lavado de dinero, en el que pretendió ocultar recursos de procedencia ilícita desviados de las arcas estatales, utilizando para ello el Sistema Financiero Mexicano”. No hay etiquetas asociadas a éste artículo.</v>
      </c>
      <c r="O131" s="15">
        <f>IFERROR(__xludf.DUMMYFUNCTION("""COMPUTED_VALUE"""),0.8397)</f>
        <v>0.8397</v>
      </c>
      <c r="P131" s="2"/>
      <c r="Q131" s="17">
        <f>IFERROR(__xludf.DUMMYFUNCTION("""COMPUTED_VALUE"""),8.5)</f>
        <v>8.5</v>
      </c>
      <c r="R131" s="2" t="str">
        <f>IFERROR(__xludf.DUMMYFUNCTION("""COMPUTED_VALUE"""),"Low")</f>
        <v>Low</v>
      </c>
      <c r="S131" s="17">
        <f>IFERROR(__xludf.DUMMYFUNCTION("""COMPUTED_VALUE"""),0.5)</f>
        <v>0.5</v>
      </c>
      <c r="T131" s="17">
        <f>IFERROR(__xludf.DUMMYFUNCTION("""COMPUTED_VALUE"""),0.0)</f>
        <v>0</v>
      </c>
      <c r="U131" s="14">
        <f>IFERROR(__xludf.DUMMYFUNCTION("""COMPUTED_VALUE"""),2.0)</f>
        <v>2</v>
      </c>
      <c r="V131" s="14">
        <v>2025.0</v>
      </c>
      <c r="W131" s="2" t="s">
        <v>1168</v>
      </c>
      <c r="X131" s="2" t="s">
        <v>1169</v>
      </c>
      <c r="Y131" s="13" t="s">
        <v>551</v>
      </c>
      <c r="Z131" s="14">
        <v>0.0</v>
      </c>
      <c r="AA131" s="14">
        <v>0.0</v>
      </c>
      <c r="AB131" s="14">
        <v>0.0</v>
      </c>
      <c r="AC131" s="14">
        <v>0.0</v>
      </c>
      <c r="AD131" s="2">
        <v>0.0</v>
      </c>
      <c r="AE131" s="2">
        <v>0.0</v>
      </c>
      <c r="AF131" s="2">
        <v>12.0</v>
      </c>
      <c r="AG131" s="2" t="s">
        <v>1177</v>
      </c>
      <c r="AH131" s="2">
        <v>0.0</v>
      </c>
    </row>
    <row r="132" ht="15.75" customHeight="1">
      <c r="A132" s="2" t="str">
        <f>IFERROR(__xludf.DUMMYFUNCTION("""COMPUTED_VALUE"""),"Diario Portal")</f>
        <v>Diario Portal</v>
      </c>
      <c r="B132" s="12" t="str">
        <f>IFERROR(__xludf.DUMMYFUNCTION("""COMPUTED_VALUE"""),"Llaga al 50% habilitación de vialidades seguras para mujeres en 3 municipios  con Alerta de Género")</f>
        <v>Llaga al 50% habilitación de vialidades seguras para mujeres en 3 municipios  con Alerta de Género</v>
      </c>
      <c r="C132" s="13" t="str">
        <f>IFERROR(__xludf.DUMMYFUNCTION("""COMPUTED_VALUE"""),"Sin Fecha")</f>
        <v>Sin Fecha</v>
      </c>
      <c r="D132" s="14">
        <f>IFERROR(__xludf.DUMMYFUNCTION("""COMPUTED_VALUE"""),2.0)</f>
        <v>2</v>
      </c>
      <c r="E132" s="15">
        <f>IFERROR(__xludf.DUMMYFUNCTION("""COMPUTED_VALUE"""),0.5749)</f>
        <v>0.5749</v>
      </c>
      <c r="F132" s="2" t="str">
        <f>IFERROR(__xludf.DUMMYFUNCTION("""COMPUTED_VALUE"""),"Positivo")</f>
        <v>Positivo</v>
      </c>
      <c r="G132" s="15">
        <f>IFERROR(__xludf.DUMMYFUNCTION("""COMPUTED_VALUE"""),0.5749)</f>
        <v>0.5749</v>
      </c>
      <c r="H132" s="2" t="str">
        <f>IFERROR(__xludf.DUMMYFUNCTION("""COMPUTED_VALUE"""),"Operativo policial o detención")</f>
        <v>Operativo policial o detención</v>
      </c>
      <c r="I132" s="2" t="str">
        <f>IFERROR(__xludf.DUMMYFUNCTION("""COMPUTED_VALUE"""),"N/A")</f>
        <v>N/A</v>
      </c>
      <c r="J132" s="2" t="str">
        <f>IFERROR(__xludf.DUMMYFUNCTION("""COMPUTED_VALUE"""),"Monitoreo general.")</f>
        <v>Monitoreo general.</v>
      </c>
      <c r="K132" s="2" t="str">
        <f>IFERROR(__xludf.DUMMYFUNCTION("""COMPUTED_VALUE"""),"Estado de México")</f>
        <v>Estado de México</v>
      </c>
      <c r="L132" s="2" t="str">
        <f>IFERROR(__xludf.DUMMYFUNCTION("""COMPUTED_VALUE"""),"Estado de México")</f>
        <v>Estado de México</v>
      </c>
      <c r="M132" s="16" t="str">
        <f>IFERROR(__xludf.DUMMYFUNCTION("""COMPUTED_VALUE"""),"https://diarioportal.com/seguridad-y-justicia/llaga-al-50-habilitacion-de-vialidades-seguras-para-mujeres-en-3-municipios-con-alerta-de-genero")</f>
        <v>https://diarioportal.com/seguridad-y-justicia/llaga-al-50-habilitacion-de-vialidades-seguras-para-mujeres-en-3-municipios-con-alerta-de-genero</v>
      </c>
      <c r="N132" s="2" t="str">
        <f>IFERROR(__xludf.DUMMYFUNCTION("""COMPUTED_VALUE"""),"Como parte del Programa ‘Caminemos Seguras’, el gobierno del Estado de México avanza en el mejoramiento urbano con perspectiva de género en calles de los municipios de Tlalnepantla, Cuautitlán Izcalli y Naucalpan, proyectos que priorizan la iluminación de"&amp;" estos espacios. Durante la supervisión de las obras, Carlos Maza Lara, Secretario de Desarrollo Urbano e Infraestructura (Sedui), destacó que estos proyectos llevan un avance del 50% y se realizan en coordinación con la Secretaría de las Mujeres. Explicó"&amp;" que, en la Avenida Acueducto de Tlalnepantla, las cuadrillas se enfocan en la rehabilitación de banquetas y guarniciones, así como la instalación de tecnología de seguridad como cámaras de videovigilancia y botones de pánico. El funcionario también recor"&amp;"rió la Avenida Primero de Mayo en Cuautitlán Izcalli, donde se mejoran banquetas y guarniciones, además de un importante cruce peatonal para garantizar la movilidad segura. En la Avenida Jardines de San Mateo, en Naucalpan, se mejora la iluminación públic"&amp;"a y se rehabilitan banquetas para que las mujeres y la ciudadanía en general dispongan de entornos más seguros. Los trabajos forman parte de la estrategia estatal para rehabilitar y colocar nueva infraestructura urbana en 13 calles de Chalco, Chimalhuacán"&amp;", Cuautitlán Izcalli, Ecatepec, Ixtapaluca, Naucalpan, Tlalnepantla, Tultitlán, Valle de Chalco, Nezahualcóyotl y Toluca, municipios con Alerta de Violencia de Género. No hay etiquetas asociadas a éste artículo.")</f>
        <v>Como parte del Programa ‘Caminemos Seguras’, el gobierno del Estado de México avanza en el mejoramiento urbano con perspectiva de género en calles de los municipios de Tlalnepantla, Cuautitlán Izcalli y Naucalpan, proyectos que priorizan la iluminación de estos espacios. Durante la supervisión de las obras, Carlos Maza Lara, Secretario de Desarrollo Urbano e Infraestructura (Sedui), destacó que estos proyectos llevan un avance del 50% y se realizan en coordinación con la Secretaría de las Mujeres. Explicó que, en la Avenida Acueducto de Tlalnepantla, las cuadrillas se enfocan en la rehabilitación de banquetas y guarniciones, así como la instalación de tecnología de seguridad como cámaras de videovigilancia y botones de pánico. El funcionario también recorrió la Avenida Primero de Mayo en Cuautitlán Izcalli, donde se mejoran banquetas y guarniciones, además de un importante cruce peatonal para garantizar la movilidad segura. En la Avenida Jardines de San Mateo, en Naucalpan, se mejora la iluminación pública y se rehabilitan banquetas para que las mujeres y la ciudadanía en general dispongan de entornos más seguros. Los trabajos forman parte de la estrategia estatal para rehabilitar y colocar nueva infraestructura urbana en 13 calles de Chalco, Chimalhuacán, Cuautitlán Izcalli, Ecatepec, Ixtapaluca, Naucalpan, Tlalnepantla, Tultitlán, Valle de Chalco, Nezahualcóyotl y Toluca, municipios con Alerta de Violencia de Género. No hay etiquetas asociadas a éste artículo.</v>
      </c>
      <c r="O132" s="15">
        <f>IFERROR(__xludf.DUMMYFUNCTION("""COMPUTED_VALUE"""),0.3391)</f>
        <v>0.3391</v>
      </c>
      <c r="P132" s="2"/>
      <c r="Q132" s="17">
        <f>IFERROR(__xludf.DUMMYFUNCTION("""COMPUTED_VALUE"""),5.0)</f>
        <v>5</v>
      </c>
      <c r="R132" s="2" t="str">
        <f>IFERROR(__xludf.DUMMYFUNCTION("""COMPUTED_VALUE"""),"Low")</f>
        <v>Low</v>
      </c>
      <c r="S132" s="17">
        <f>IFERROR(__xludf.DUMMYFUNCTION("""COMPUTED_VALUE"""),0.0)</f>
        <v>0</v>
      </c>
      <c r="T132" s="17">
        <f>IFERROR(__xludf.DUMMYFUNCTION("""COMPUTED_VALUE"""),0.0)</f>
        <v>0</v>
      </c>
      <c r="U132" s="14">
        <f>IFERROR(__xludf.DUMMYFUNCTION("""COMPUTED_VALUE"""),2.0)</f>
        <v>2</v>
      </c>
      <c r="V132" s="14" t="s">
        <v>1186</v>
      </c>
      <c r="W132" s="2" t="s">
        <v>190</v>
      </c>
      <c r="X132" s="2" t="s">
        <v>190</v>
      </c>
      <c r="Y132" s="13"/>
      <c r="Z132" s="14">
        <v>0.0</v>
      </c>
      <c r="AA132" s="14">
        <v>0.0</v>
      </c>
      <c r="AB132" s="14">
        <v>0.0</v>
      </c>
      <c r="AC132" s="14">
        <v>0.0</v>
      </c>
      <c r="AD132" s="2">
        <v>0.0</v>
      </c>
      <c r="AE132" s="2">
        <v>0.0</v>
      </c>
      <c r="AF132" s="2" t="s">
        <v>1186</v>
      </c>
      <c r="AG132" s="2" t="s">
        <v>1202</v>
      </c>
      <c r="AH132" s="2">
        <v>0.0</v>
      </c>
    </row>
    <row r="133" ht="15.75" customHeight="1">
      <c r="A133" s="2" t="str">
        <f>IFERROR(__xludf.DUMMYFUNCTION("""COMPUTED_VALUE"""),"Diario Portal")</f>
        <v>Diario Portal</v>
      </c>
      <c r="B133" s="12" t="str">
        <f>IFERROR(__xludf.DUMMYFUNCTION("""COMPUTED_VALUE"""),"Continúa la restitución de predios que habían despojados a legítimos propietarios")</f>
        <v>Continúa la restitución de predios que habían despojados a legítimos propietarios</v>
      </c>
      <c r="C133" s="13" t="str">
        <f>IFERROR(__xludf.DUMMYFUNCTION("""COMPUTED_VALUE"""),"2025-12-07 16:47:11")</f>
        <v>2025-12-07 16:47:11</v>
      </c>
      <c r="D133" s="14">
        <f>IFERROR(__xludf.DUMMYFUNCTION("""COMPUTED_VALUE"""),2.0)</f>
        <v>2</v>
      </c>
      <c r="E133" s="15">
        <f>IFERROR(__xludf.DUMMYFUNCTION("""COMPUTED_VALUE"""),0.0)</f>
        <v>0</v>
      </c>
      <c r="F133" s="2" t="str">
        <f>IFERROR(__xludf.DUMMYFUNCTION("""COMPUTED_VALUE"""),"Neutral")</f>
        <v>Neutral</v>
      </c>
      <c r="G133" s="15">
        <f>IFERROR(__xludf.DUMMYFUNCTION("""COMPUTED_VALUE"""),0.6154)</f>
        <v>0.6154</v>
      </c>
      <c r="H133" s="2" t="str">
        <f>IFERROR(__xludf.DUMMYFUNCTION("""COMPUTED_VALUE"""),"Operativo policial o detención")</f>
        <v>Operativo policial o detención</v>
      </c>
      <c r="I133" s="2" t="str">
        <f>IFERROR(__xludf.DUMMYFUNCTION("""COMPUTED_VALUE"""),"N/A")</f>
        <v>N/A</v>
      </c>
      <c r="J133" s="2" t="str">
        <f>IFERROR(__xludf.DUMMYFUNCTION("""COMPUTED_VALUE"""),"Monitoreo general.")</f>
        <v>Monitoreo general.</v>
      </c>
      <c r="K133" s="2" t="str">
        <f>IFERROR(__xludf.DUMMYFUNCTION("""COMPUTED_VALUE"""),"Estado de México")</f>
        <v>Estado de México</v>
      </c>
      <c r="L133" s="2" t="str">
        <f>IFERROR(__xludf.DUMMYFUNCTION("""COMPUTED_VALUE"""),"Estado de México")</f>
        <v>Estado de México</v>
      </c>
      <c r="M133" s="16" t="str">
        <f>IFERROR(__xludf.DUMMYFUNCTION("""COMPUTED_VALUE"""),"https://diarioportal.com/seguridad-y-justicia/continua-la-restitucion-de-predios-que-habian-despojados-a-legitimos-propietarios")</f>
        <v>https://diarioportal.com/seguridad-y-justicia/continua-la-restitucion-de-predios-que-habian-despojados-a-legitimos-propietarios</v>
      </c>
      <c r="N133" s="2" t="str">
        <f>IFERROR(__xludf.DUMMYFUNCTION("""COMPUTED_VALUE"""),"Desde que fue implementada la Operación Restitución en el pasado mes de abril, las autoridades de seguridad han asegurado 1 mil 266 inmuebles relacionados con el delito de despojo y contra la propiedad en 63 municipios del Estado de México, de los que 747"&amp;"çv De acuerdo con la Fiscalía General de Justicia del Estado de México (FGJEM), del periodo que comprende del 29 de noviembre al 6 de diciembre, autoridades de los tres órdenes de gobierno realizaron acciones operativas en 16 municipios consistentes en té"&amp;"cnicas de investigación de cateo e inspecciones en donde fueron aseguradas 38 propiedades. Estas acciones permanentes han permitido que, del mes de abril, cuando inició la Operación Restitución, como parte de la Estrategia para la Restitución de la Propie"&amp;"dad, a la fecha, del total de los inmuebles asegurados, 747 hayan sido restituidos a quienes han acreditado legítimamente su propiedad. Lo anterior, con base en las determinaciones de los Agentes del Ministerio Público de la Fiscalía del Estado de México,"&amp;" lo que ha permitido agilizar los procesos para que las víctimas recuperen sus propiedades sin requerir esperar el fallo de la Autoridad Judicial. De los 747 inmuebles devueltos hasta el momento, 682 de ellos son casas habitación, 63 predios y dos inmuebl"&amp;"es dedicados a locales comerciales. Además, el representante social continúa recibiendo documentación con la que los legítimos dueños acrediten la propiedad con el fin de concretar su restitución. Cabe señalar que desde el comienzo de las acciones de dich"&amp;"o operativo, se han registrado diversas denuncias por la comisión de hechos constitutivos de delito relacionados con despojos que fueron realizados en el 2024 y años previos. Además, la Operación Restitución forma parte de la estrategia para la restitució"&amp;"n de la propiedad, impulsada desde la Mesa de Coordinación para la Construcción de la Paz, que en la entidad encabeza la gobernadora Delfina Gómez Álvarez, misma en la que participan la Secretaría de la Defensa, la Secretaría de Marina, la Guardia Naciona"&amp;"l, así como la Secretaría de Seguridad del Estado de México. No hay etiquetas asociadas a éste artículo.")</f>
        <v>Desde que fue implementada la Operación Restitución en el pasado mes de abril, las autoridades de seguridad han asegurado 1 mil 266 inmuebles relacionados con el delito de despojo y contra la propiedad en 63 municipios del Estado de México, de los que 747çv De acuerdo con la Fiscalía General de Justicia del Estado de México (FGJEM), del periodo que comprende del 29 de noviembre al 6 de diciembre, autoridades de los tres órdenes de gobierno realizaron acciones operativas en 16 municipios consistentes en técnicas de investigación de cateo e inspecciones en donde fueron aseguradas 38 propiedades. Estas acciones permanentes han permitido que, del mes de abril, cuando inició la Operación Restitución, como parte de la Estrategia para la Restitución de la Propiedad, a la fecha, del total de los inmuebles asegurados, 747 hayan sido restituidos a quienes han acreditado legítimamente su propiedad. Lo anterior, con base en las determinaciones de los Agentes del Ministerio Público de la Fiscalía del Estado de México, lo que ha permitido agilizar los procesos para que las víctimas recuperen sus propiedades sin requerir esperar el fallo de la Autoridad Judicial. De los 747 inmuebles devueltos hasta el momento, 682 de ellos son casas habitación, 63 predios y dos inmuebles dedicados a locales comerciales. Además, el representante social continúa recibiendo documentación con la que los legítimos dueños acrediten la propiedad con el fin de concretar su restitución. Cabe señalar que desde el comienzo de las acciones de dicho operativo, se han registrado diversas denuncias por la comisión de hechos constitutivos de delito relacionados con despojos que fueron realizados en el 2024 y años previos. Además, la Operación Restitución forma parte de la estrategia para la restitución de la propiedad, impulsada desde la Mesa de Coordinación para la Construcción de la Paz, que en la entidad encabeza la gobernadora Delfina Gómez Álvarez, misma en la que participan la Secretaría de la Defensa, la Secretaría de Marina, la Guardia Nacional, así como la Secretaría de Seguridad del Estado de México. No hay etiquetas asociadas a éste artículo.</v>
      </c>
      <c r="O133" s="15">
        <f>IFERROR(__xludf.DUMMYFUNCTION("""COMPUTED_VALUE"""),0.6082)</f>
        <v>0.6082</v>
      </c>
      <c r="P133" s="2"/>
      <c r="Q133" s="17">
        <f>IFERROR(__xludf.DUMMYFUNCTION("""COMPUTED_VALUE"""),5.0)</f>
        <v>5</v>
      </c>
      <c r="R133" s="2" t="str">
        <f>IFERROR(__xludf.DUMMYFUNCTION("""COMPUTED_VALUE"""),"Low")</f>
        <v>Low</v>
      </c>
      <c r="S133" s="17">
        <f>IFERROR(__xludf.DUMMYFUNCTION("""COMPUTED_VALUE"""),0.0)</f>
        <v>0</v>
      </c>
      <c r="T133" s="17">
        <f>IFERROR(__xludf.DUMMYFUNCTION("""COMPUTED_VALUE"""),0.0)</f>
        <v>0</v>
      </c>
      <c r="U133" s="14">
        <f>IFERROR(__xludf.DUMMYFUNCTION("""COMPUTED_VALUE"""),2.0)</f>
        <v>2</v>
      </c>
      <c r="V133" s="14">
        <v>2025.0</v>
      </c>
      <c r="W133" s="2" t="s">
        <v>1168</v>
      </c>
      <c r="X133" s="2" t="s">
        <v>1188</v>
      </c>
      <c r="Y133" s="13" t="s">
        <v>558</v>
      </c>
      <c r="Z133" s="14">
        <v>0.0</v>
      </c>
      <c r="AA133" s="14">
        <v>0.0</v>
      </c>
      <c r="AB133" s="14">
        <v>0.0</v>
      </c>
      <c r="AC133" s="14">
        <v>0.0</v>
      </c>
      <c r="AD133" s="2">
        <v>0.0</v>
      </c>
      <c r="AE133" s="2">
        <v>0.0</v>
      </c>
      <c r="AF133" s="2">
        <v>12.0</v>
      </c>
      <c r="AG133" s="2" t="s">
        <v>1202</v>
      </c>
      <c r="AH133" s="2">
        <v>0.0</v>
      </c>
    </row>
    <row r="134" ht="15.75" customHeight="1">
      <c r="A134" s="2" t="str">
        <f>IFERROR(__xludf.DUMMYFUNCTION("""COMPUTED_VALUE"""),"Diario Portal")</f>
        <v>Diario Portal</v>
      </c>
      <c r="B134" s="12" t="str">
        <f>IFERROR(__xludf.DUMMYFUNCTION("""COMPUTED_VALUE"""),"Mujer es sentenciada a 40 años de prisión por el delito de homicidio en agravio de un hombre")</f>
        <v>Mujer es sentenciada a 40 años de prisión por el delito de homicidio en agravio de un hombre</v>
      </c>
      <c r="C134" s="13" t="str">
        <f>IFERROR(__xludf.DUMMYFUNCTION("""COMPUTED_VALUE"""),"2025-12-06 14:13:49")</f>
        <v>2025-12-06 14:13:49</v>
      </c>
      <c r="D134" s="14">
        <f>IFERROR(__xludf.DUMMYFUNCTION("""COMPUTED_VALUE"""),4.0)</f>
        <v>4</v>
      </c>
      <c r="E134" s="15">
        <f>IFERROR(__xludf.DUMMYFUNCTION("""COMPUTED_VALUE"""),0.0)</f>
        <v>0</v>
      </c>
      <c r="F134" s="2" t="str">
        <f>IFERROR(__xludf.DUMMYFUNCTION("""COMPUTED_VALUE"""),"Neutral")</f>
        <v>Neutral</v>
      </c>
      <c r="G134" s="15">
        <f>IFERROR(__xludf.DUMMYFUNCTION("""COMPUTED_VALUE"""),0.5269)</f>
        <v>0.5269</v>
      </c>
      <c r="H134" s="2" t="str">
        <f>IFERROR(__xludf.DUMMYFUNCTION("""COMPUTED_VALUE"""),"Delito violento, robo o asalto")</f>
        <v>Delito violento, robo o asalto</v>
      </c>
      <c r="I134" s="2" t="str">
        <f>IFERROR(__xludf.DUMMYFUNCTION("""COMPUTED_VALUE"""),"homicidio")</f>
        <v>homicidio</v>
      </c>
      <c r="J134" s="2" t="str">
        <f>IFERROR(__xludf.DUMMYFUNCTION("""COMPUTED_VALUE"""),"Prevención PAX: Contactos de confianza.")</f>
        <v>Prevención PAX: Contactos de confianza.</v>
      </c>
      <c r="K134" s="2" t="str">
        <f>IFERROR(__xludf.DUMMYFUNCTION("""COMPUTED_VALUE"""),"Estado de México")</f>
        <v>Estado de México</v>
      </c>
      <c r="L134" s="2" t="str">
        <f>IFERROR(__xludf.DUMMYFUNCTION("""COMPUTED_VALUE"""),"Estado de México")</f>
        <v>Estado de México</v>
      </c>
      <c r="M134" s="16" t="str">
        <f>IFERROR(__xludf.DUMMYFUNCTION("""COMPUTED_VALUE"""),"https://diarioportal.com/seguridad-y-justicia/mujer-es-sentenciada-a-40-anos-de-prision-por-el-delito-de-homicidio-en-agravio-de-un-hombre")</f>
        <v>https://diarioportal.com/seguridad-y-justicia/mujer-es-sentenciada-a-40-anos-de-prision-por-el-delito-de-homicidio-en-agravio-de-un-hombre</v>
      </c>
      <c r="N134" s="2" t="str">
        <f>IFERROR(__xludf.DUMMYFUNCTION("""COMPUTED_VALUE"""),"Una mujer identificada como Olivia Gálvez Vázquez fue condenada a 40 años de prisión, luego de que la Fiscalía General de Justicia del Estado de México (FGJEM), acreditó su participación en el delito de homicidio en agravio de un masculino, hechos ocurrid"&amp;"os en este municipio. Con el avance en la investigación ministerial, fue posible determinar que alrededor de la medianoche del 8 y 9 de diciembre del 2023, la víctima se encontraba dentro de su domicilio ubicado en la colonia La Cañada, en Tultepec, cuand"&amp;"o la hoy sentenciada y un masculino ingresaron a dicho inmueble en donde la sometieron para después agredirla con un objeto metálico, provocándole la muerte, para posteriormente huir en un vehículo propiedad de la víctima. Al recabar información, la Fisca"&amp;"lía pudo conocer la identidad de los posibles responsables, solicitando ante el Juez una orden de aprehensión, con la cual, pudieron detener e ingresar al Centro Penitenciario y de Reinserción Social de la zona a Olivia Gálvez Vázquez, para quedar a dispo"&amp;"sición de la autoridad. Con las pruebas presentadas por el Ministerio Público, el Órgano Jurisdiccional pudo determinar la culpabilidad de la detenida, a quien sentenció a 40 años de prisión, imponiéndole una multa por 72 mil 268 pesos y el pago de 172 mi"&amp;"l 870 pesos por concepto de reparación del daño. La Fiscalía General de Justicia del Estado de México pone a disposición de la ciudadanía el correo electrónico cerotolerancia@fiscaliaedomex.gob.mx, el número telefónico 800 7028770, o bien, la aplicación F"&amp;"GJEdomex, la cual está disponible de manera gratuita para los teléfonos inteligentes de los sistemas iOS y Android, para que denuncie cualquier hecho delictivo. No hay etiquetas asociadas a éste artículo.")</f>
        <v>Una mujer identificada como Olivia Gálvez Vázquez fue condenada a 40 años de prisión, luego de que la Fiscalía General de Justicia del Estado de México (FGJEM), acreditó su participación en el delito de homicidio en agravio de un masculino, hechos ocurridos en este municipio. Con el avance en la investigación ministerial, fue posible determinar que alrededor de la medianoche del 8 y 9 de diciembre del 2023, la víctima se encontraba dentro de su domicilio ubicado en la colonia La Cañada, en Tultepec, cuando la hoy sentenciada y un masculino ingresaron a dicho inmueble en donde la sometieron para después agredirla con un objeto metálico, provocándole la muerte, para posteriormente huir en un vehículo propiedad de la víctima. Al recabar información, la Fiscalía pudo conocer la identidad de los posibles responsables, solicitando ante el Juez una orden de aprehensión, con la cual, pudieron detener e ingresar al Centro Penitenciario y de Reinserción Social de la zona a Olivia Gálvez Vázquez, para quedar a disposición de la autoridad. Con las pruebas presentadas por el Ministerio Público, el Órgano Jurisdiccional pudo determinar la culpabilidad de la detenida, a quien sentenció a 40 años de prisión, imponiéndole una multa por 72 mil 268 pesos y el pago de 172 mil 870 pesos por concepto de reparación del daño.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34" s="15">
        <f>IFERROR(__xludf.DUMMYFUNCTION("""COMPUTED_VALUE"""),1.0)</f>
        <v>1</v>
      </c>
      <c r="P134" s="2"/>
      <c r="Q134" s="17">
        <f>IFERROR(__xludf.DUMMYFUNCTION("""COMPUTED_VALUE"""),5.0)</f>
        <v>5</v>
      </c>
      <c r="R134" s="2" t="str">
        <f>IFERROR(__xludf.DUMMYFUNCTION("""COMPUTED_VALUE"""),"High")</f>
        <v>High</v>
      </c>
      <c r="S134" s="17">
        <f>IFERROR(__xludf.DUMMYFUNCTION("""COMPUTED_VALUE"""),2.0)</f>
        <v>2</v>
      </c>
      <c r="T134" s="17">
        <f>IFERROR(__xludf.DUMMYFUNCTION("""COMPUTED_VALUE"""),0.0)</f>
        <v>0</v>
      </c>
      <c r="U134" s="14">
        <f>IFERROR(__xludf.DUMMYFUNCTION("""COMPUTED_VALUE"""),2.0)</f>
        <v>2</v>
      </c>
      <c r="V134" s="14">
        <v>2025.0</v>
      </c>
      <c r="W134" s="2" t="s">
        <v>1168</v>
      </c>
      <c r="X134" s="2" t="s">
        <v>1194</v>
      </c>
      <c r="Y134" s="13" t="s">
        <v>562</v>
      </c>
      <c r="Z134" s="14">
        <v>0.0</v>
      </c>
      <c r="AA134" s="14">
        <v>0.0</v>
      </c>
      <c r="AB134" s="14">
        <v>0.0</v>
      </c>
      <c r="AC134" s="14">
        <v>0.0</v>
      </c>
      <c r="AD134" s="2">
        <v>0.0</v>
      </c>
      <c r="AE134" s="2">
        <v>1.0</v>
      </c>
      <c r="AF134" s="2">
        <v>12.0</v>
      </c>
      <c r="AG134" s="2" t="s">
        <v>1202</v>
      </c>
      <c r="AH134" s="2">
        <v>0.0</v>
      </c>
    </row>
    <row r="135" ht="15.75" customHeight="1">
      <c r="A135" s="2" t="str">
        <f>IFERROR(__xludf.DUMMYFUNCTION("""COMPUTED_VALUE"""),"Diario Portal")</f>
        <v>Diario Portal</v>
      </c>
      <c r="B135" s="12" t="str">
        <f>IFERROR(__xludf.DUMMYFUNCTION("""COMPUTED_VALUE"""),"Fiscalía Edoméx y Secretaría de Seguridad estatal recuperan transporte de carga con reporte de robo en un inmueble de Tecámac")</f>
        <v>Fiscalía Edoméx y Secretaría de Seguridad estatal recuperan transporte de carga con reporte de robo en un inmueble de Tecámac</v>
      </c>
      <c r="C135" s="13" t="str">
        <f>IFERROR(__xludf.DUMMYFUNCTION("""COMPUTED_VALUE"""),"2025-12-06 14:12:26")</f>
        <v>2025-12-06 14:12:26</v>
      </c>
      <c r="D135" s="14">
        <f>IFERROR(__xludf.DUMMYFUNCTION("""COMPUTED_VALUE"""),2.0)</f>
        <v>2</v>
      </c>
      <c r="E135" s="15">
        <f>IFERROR(__xludf.DUMMYFUNCTION("""COMPUTED_VALUE"""),0.0)</f>
        <v>0</v>
      </c>
      <c r="F135" s="2" t="str">
        <f>IFERROR(__xludf.DUMMYFUNCTION("""COMPUTED_VALUE"""),"Neutral")</f>
        <v>Neutral</v>
      </c>
      <c r="G135" s="15">
        <f>IFERROR(__xludf.DUMMYFUNCTION("""COMPUTED_VALUE"""),0.5307)</f>
        <v>0.5307</v>
      </c>
      <c r="H135" s="2" t="str">
        <f>IFERROR(__xludf.DUMMYFUNCTION("""COMPUTED_VALUE"""),"Operativo policial o detención")</f>
        <v>Operativo policial o detención</v>
      </c>
      <c r="I135" s="2" t="str">
        <f>IFERROR(__xludf.DUMMYFUNCTION("""COMPUTED_VALUE"""),"N/A")</f>
        <v>N/A</v>
      </c>
      <c r="J135" s="2" t="str">
        <f>IFERROR(__xludf.DUMMYFUNCTION("""COMPUTED_VALUE"""),"Monitoreo general.")</f>
        <v>Monitoreo general.</v>
      </c>
      <c r="K135" s="2" t="str">
        <f>IFERROR(__xludf.DUMMYFUNCTION("""COMPUTED_VALUE"""),"Estado de México")</f>
        <v>Estado de México</v>
      </c>
      <c r="L135" s="2" t="str">
        <f>IFERROR(__xludf.DUMMYFUNCTION("""COMPUTED_VALUE"""),"Estado de México")</f>
        <v>Estado de México</v>
      </c>
      <c r="M135" s="16" t="str">
        <f>IFERROR(__xludf.DUMMYFUNCTION("""COMPUTED_VALUE"""),"https://diarioportal.com/seguridad-y-justicia/fiscalia-edomex-y-secretaria-de-seguridad-estatal-recuperan-transporte-de-carga-con-reporte-de-robo-en-un-inmueble-de-tecamac")</f>
        <v>https://diarioportal.com/seguridad-y-justicia/fiscalia-edomex-y-secretaria-de-seguridad-estatal-recuperan-transporte-de-carga-con-reporte-de-robo-en-un-inmueble-de-tecamac</v>
      </c>
      <c r="N135" s="2" t="str">
        <f>IFERROR(__xludf.DUMMYFUNCTION("""COMPUTED_VALUE"""),"- Elementos de la Fiscalía General de Justicia del Estado de México (FGJEM), en coordinación con la Secretaría de Seguridad estatal (SSEM), ejecutaron una técnica de investigación de cateo en un inmueble ubicado en la colonia San Pedro Atzompa en donde re"&amp;"cuperaron un auto transporte y mercancía con reporte de robo. Esta diligencia fue practicada derivado de una denuncia por hechos ocurridos el pasado 28 de noviembre, cuando la víctima conducía un automotor de carga en la autopista México-Pachuca, a la alt"&amp;"ura de la colonia San Martín Azcatepec, de Tecámac, en el cual transportaba material diverso, propiedad de una empresa particular cuando un automóvil blanco le cerró el paso del cual descendieron dos sujetos, quienes amenazaron a la víctima a la que subie"&amp;"ron al vehículo, privándola de su libertad por espacio de una hora, para después liberarla en un predio baldío en el municipio de Tizayuca, en el Estado de Hidalgo. Una vez que tuvo conocimiento de estos hechos, el Agente del Ministerio Público inició la "&amp;"investigación que permitió ubicar el posible paradero de la unidad robada, por lo que solicitó y obtuvo de una Autoridad Judicial la orden de cateo correspondiente. Al contar con la orden obsequiada por el Juez, los elementos de la Fiscalía y la Secretarí"&amp;"a de Seguridad estatal se constituyeron en el predio ubicado en la colonia San Pedro Atzompa, en Tecámac, en donde fue localizado un vehículo marca Ford, submarca F350, tipo camión, con reporte de robo, objetivo del cateo, unidad que presentaba huellas de"&amp;" desvalijamiento. Una vez concluida la diligencia, el predio fue asegurado, para preservar el lugar y continuar con las investigaciones correspondientes. La Fiscalía General de Justicia del Estado de México pone a disposición de la ciudadanía el correo el"&amp;"ectrónico cerotolerancia@fiscaliaedomex.gob.mx, el número telefónico 800 7028770, o bien, la aplicación FGJEdomex, la cual está disponible de manera gratuita para los teléfonos inteligentes de los sistemas iOS y Android, para que denuncie cualquier hecho "&amp;"delictivo. No hay etiquetas asociadas a éste artículo.")</f>
        <v>- Elementos de la Fiscalía General de Justicia del Estado de México (FGJEM), en coordinación con la Secretaría de Seguridad estatal (SSEM), ejecutaron una técnica de investigación de cateo en un inmueble ubicado en la colonia San Pedro Atzompa en donde recuperaron un auto transporte y mercancía con reporte de robo. Esta diligencia fue practicada derivado de una denuncia por hechos ocurridos el pasado 28 de noviembre, cuando la víctima conducía un automotor de carga en la autopista México-Pachuca, a la altura de la colonia San Martín Azcatepec, de Tecámac, en el cual transportaba material diverso, propiedad de una empresa particular cuando un automóvil blanco le cerró el paso del cual descendieron dos sujetos, quienes amenazaron a la víctima a la que subieron al vehículo, privándola de su libertad por espacio de una hora, para después liberarla en un predio baldío en el municipio de Tizayuca, en el Estado de Hidalgo. Una vez que tuvo conocimiento de estos hechos, el Agente del Ministerio Público inició la investigación que permitió ubicar el posible paradero de la unidad robada, por lo que solicitó y obtuvo de una Autoridad Judicial la orden de cateo correspondiente. Al contar con la orden obsequiada por el Juez, los elementos de la Fiscalía y la Secretaría de Seguridad estatal se constituyeron en el predio ubicado en la colonia San Pedro Atzompa, en Tecámac, en donde fue localizado un vehículo marca Ford, submarca F350, tipo camión, con reporte de robo, objetivo del cateo, unidad que presentaba huellas de desvalijamiento. Una vez concluida la diligencia, el predio fue asegurado, para preservar el lugar y continuar con las investigaciones correspondientes.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35" s="15">
        <f>IFERROR(__xludf.DUMMYFUNCTION("""COMPUTED_VALUE"""),0.9602)</f>
        <v>0.9602</v>
      </c>
      <c r="P135" s="2"/>
      <c r="Q135" s="17">
        <f>IFERROR(__xludf.DUMMYFUNCTION("""COMPUTED_VALUE"""),8.0)</f>
        <v>8</v>
      </c>
      <c r="R135" s="2" t="str">
        <f>IFERROR(__xludf.DUMMYFUNCTION("""COMPUTED_VALUE"""),"High")</f>
        <v>High</v>
      </c>
      <c r="S135" s="17">
        <f>IFERROR(__xludf.DUMMYFUNCTION("""COMPUTED_VALUE"""),5.0)</f>
        <v>5</v>
      </c>
      <c r="T135" s="17">
        <f>IFERROR(__xludf.DUMMYFUNCTION("""COMPUTED_VALUE"""),0.0)</f>
        <v>0</v>
      </c>
      <c r="U135" s="14">
        <f>IFERROR(__xludf.DUMMYFUNCTION("""COMPUTED_VALUE"""),2.0)</f>
        <v>2</v>
      </c>
      <c r="V135" s="14">
        <v>2025.0</v>
      </c>
      <c r="W135" s="2" t="s">
        <v>1168</v>
      </c>
      <c r="X135" s="2" t="s">
        <v>1194</v>
      </c>
      <c r="Y135" s="13" t="s">
        <v>566</v>
      </c>
      <c r="Z135" s="14">
        <v>0.0</v>
      </c>
      <c r="AA135" s="14">
        <v>0.0</v>
      </c>
      <c r="AB135" s="14">
        <v>0.0</v>
      </c>
      <c r="AC135" s="14">
        <v>0.0</v>
      </c>
      <c r="AD135" s="2">
        <v>0.0</v>
      </c>
      <c r="AE135" s="2">
        <v>0.0</v>
      </c>
      <c r="AF135" s="2">
        <v>12.0</v>
      </c>
      <c r="AG135" s="2" t="s">
        <v>1202</v>
      </c>
      <c r="AH135" s="2">
        <v>0.0</v>
      </c>
    </row>
    <row r="136" ht="15.75" customHeight="1">
      <c r="A136" s="2" t="str">
        <f>IFERROR(__xludf.DUMMYFUNCTION("""COMPUTED_VALUE"""),"Diario Portal")</f>
        <v>Diario Portal</v>
      </c>
      <c r="B136" s="12" t="str">
        <f>IFERROR(__xludf.DUMMYFUNCTION("""COMPUTED_VALUE"""),"Fiscalía del Edoméx obtiene vinculación a proceso contra dos sujetos por su probable participación en robo a casa habitación con violencia")</f>
        <v>Fiscalía del Edoméx obtiene vinculación a proceso contra dos sujetos por su probable participación en robo a casa habitación con violencia</v>
      </c>
      <c r="C136" s="13" t="str">
        <f>IFERROR(__xludf.DUMMYFUNCTION("""COMPUTED_VALUE"""),"2025-12-06 14:08:03")</f>
        <v>2025-12-06 14:08:03</v>
      </c>
      <c r="D136" s="14">
        <f>IFERROR(__xludf.DUMMYFUNCTION("""COMPUTED_VALUE"""),4.0)</f>
        <v>4</v>
      </c>
      <c r="E136" s="15">
        <f>IFERROR(__xludf.DUMMYFUNCTION("""COMPUTED_VALUE"""),0.0)</f>
        <v>0</v>
      </c>
      <c r="F136" s="2" t="str">
        <f>IFERROR(__xludf.DUMMYFUNCTION("""COMPUTED_VALUE"""),"Neutral")</f>
        <v>Neutral</v>
      </c>
      <c r="G136" s="15">
        <f>IFERROR(__xludf.DUMMYFUNCTION("""COMPUTED_VALUE"""),0.4826)</f>
        <v>0.4826</v>
      </c>
      <c r="H136" s="2" t="str">
        <f>IFERROR(__xludf.DUMMYFUNCTION("""COMPUTED_VALUE"""),"Delito violento, robo o asalto")</f>
        <v>Delito violento, robo o asalto</v>
      </c>
      <c r="I136" s="2" t="str">
        <f>IFERROR(__xludf.DUMMYFUNCTION("""COMPUTED_VALUE"""),"N/A")</f>
        <v>N/A</v>
      </c>
      <c r="J136" s="2" t="str">
        <f>IFERROR(__xludf.DUMMYFUNCTION("""COMPUTED_VALUE"""),"Prevención PAX: Contactos de confianza.")</f>
        <v>Prevención PAX: Contactos de confianza.</v>
      </c>
      <c r="K136" s="2" t="str">
        <f>IFERROR(__xludf.DUMMYFUNCTION("""COMPUTED_VALUE"""),"Estado de México")</f>
        <v>Estado de México</v>
      </c>
      <c r="L136" s="2" t="str">
        <f>IFERROR(__xludf.DUMMYFUNCTION("""COMPUTED_VALUE"""),"Estado de México")</f>
        <v>Estado de México</v>
      </c>
      <c r="M136" s="16" t="str">
        <f>IFERROR(__xludf.DUMMYFUNCTION("""COMPUTED_VALUE"""),"https://diarioportal.com/seguridad-y-justicia/fiscalia-del-edomex-obtiene-vinculacion-a-proceso-contra-dos-sujetos-por-su-probable-participacion-en-robo-a-casa-habitacion-con-violencia")</f>
        <v>https://diarioportal.com/seguridad-y-justicia/fiscalia-del-edomex-obtiene-vinculacion-a-proceso-contra-dos-sujetos-por-su-probable-participacion-en-robo-a-casa-habitacion-con-violencia</v>
      </c>
      <c r="N136" s="2" t="str">
        <f>IFERROR(__xludf.DUMMYFUNCTION("""COMPUTED_VALUE"""),"- Brayan Isaí “N” y Manuel “N” fueron vinculados a proceso por su probable intervención en el delito de robo a casa habitación, una vez que la Fiscalía General de Justicia del Estado de México (FGJEM) aportó ante la Autoridad Judicial los datos necesarios"&amp;" para acreditar su participación en este ilícito. De acuerdo con la investigación iniciada por esta Representación Social, el pasado 20 de septiembre de 2024, la víctima se encontraba en su domicilio ubicado en la colonia San Juan, perteneciente al munici"&amp;"pio de Chiautla, lugar al que ingresaron ambos imputados, en compañía de otros masculinos, y le apuntaron a la cara con un arma de fuego. Luego de amenazarla, registraron la vivienda para hurtar dinero y objetos de valor para después huir del lugar con ru"&amp;"mbo desconocido. Al tener conocimiento del ilícito, el Agente del Ministerio Público inició la investigación que permitió ubicar a Brayan Isaí “N” y Manuel “N” como posibles partícipes de estos hechos, por lo que una vez que consiguió de una Autoridad Jud"&amp;"icial la orden de aprehensión en su contra, los detuvo e ingresó al Centro Penitenciario y de Reinserción Social de la zona. Luego de analizar los datos aportados por esta Representación Social, la Autoridad Judicial estableció como medida cautelar la pri"&amp;"sión preventiva y se fijó un plazo de dos meses de investigación complementaria. A los dos investigados se les debe considerar inocentes en tanto no se les dicte una sentencia de condena en su contra. La Fiscalía General de Justicia del Estado de México p"&amp;"one a disposición de la ciudadanía el correo electrónico cerotolerancia@fiscaliaedomex.gob.mx, el número telefónico 800 7028770, o bien, la aplicación FGJEdomex, la cual está disponible de manera gratuita para los teléfonos inteligentes de los sistemas iO"&amp;"S y Android, para que denuncie cualquier hecho delictivo. No hay etiquetas asociadas a éste artículo.")</f>
        <v>- Brayan Isaí “N” y Manuel “N” fueron vinculados a proceso por su probable intervención en el delito de robo a casa habitación, una vez que la Fiscalía General de Justicia del Estado de México (FGJEM) aportó ante la Autoridad Judicial los datos necesarios para acreditar su participación en este ilícito. De acuerdo con la investigación iniciada por esta Representación Social, el pasado 20 de septiembre de 2024, la víctima se encontraba en su domicilio ubicado en la colonia San Juan, perteneciente al municipio de Chiautla, lugar al que ingresaron ambos imputados, en compañía de otros masculinos, y le apuntaron a la cara con un arma de fuego. Luego de amenazarla, registraron la vivienda para hurtar dinero y objetos de valor para después huir del lugar con rumbo desconocido. Al tener conocimiento del ilícito, el Agente del Ministerio Público inició la investigación que permitió ubicar a Brayan Isaí “N” y Manuel “N” como posibles partícipes de estos hechos, por lo que una vez que consiguió de una Autoridad Judicial la orden de aprehensión en su contra, los detuvo e ingresó al Centro Penitenciario y de Reinserción Social de la zona. Luego de analizar los datos aportados por esta Representación Social, la Autoridad Judicial estableció como medida cautelar la prisión preventiva y se fijó un plazo de dos meses de investigación complementaria. A los dos investigados se les debe considerar inocentes en tanto no se les dicte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36" s="15">
        <f>IFERROR(__xludf.DUMMYFUNCTION("""COMPUTED_VALUE"""),0.5173)</f>
        <v>0.5173</v>
      </c>
      <c r="P136" s="2"/>
      <c r="Q136" s="17">
        <f>IFERROR(__xludf.DUMMYFUNCTION("""COMPUTED_VALUE"""),8.0)</f>
        <v>8</v>
      </c>
      <c r="R136" s="2" t="str">
        <f>IFERROR(__xludf.DUMMYFUNCTION("""COMPUTED_VALUE"""),"High")</f>
        <v>High</v>
      </c>
      <c r="S136" s="17">
        <f>IFERROR(__xludf.DUMMYFUNCTION("""COMPUTED_VALUE"""),5.0)</f>
        <v>5</v>
      </c>
      <c r="T136" s="17">
        <f>IFERROR(__xludf.DUMMYFUNCTION("""COMPUTED_VALUE"""),0.0)</f>
        <v>0</v>
      </c>
      <c r="U136" s="14">
        <f>IFERROR(__xludf.DUMMYFUNCTION("""COMPUTED_VALUE"""),2.0)</f>
        <v>2</v>
      </c>
      <c r="V136" s="14">
        <v>2025.0</v>
      </c>
      <c r="W136" s="2" t="s">
        <v>1168</v>
      </c>
      <c r="X136" s="2" t="s">
        <v>1194</v>
      </c>
      <c r="Y136" s="13" t="s">
        <v>570</v>
      </c>
      <c r="Z136" s="14">
        <v>0.0</v>
      </c>
      <c r="AA136" s="14">
        <v>0.0</v>
      </c>
      <c r="AB136" s="14">
        <v>0.0</v>
      </c>
      <c r="AC136" s="14">
        <v>0.0</v>
      </c>
      <c r="AD136" s="2">
        <v>0.0</v>
      </c>
      <c r="AE136" s="2">
        <v>1.0</v>
      </c>
      <c r="AF136" s="2">
        <v>12.0</v>
      </c>
      <c r="AG136" s="2" t="s">
        <v>1202</v>
      </c>
      <c r="AH136" s="2">
        <v>0.0</v>
      </c>
    </row>
    <row r="137" ht="15.75" customHeight="1">
      <c r="A137" s="2" t="str">
        <f>IFERROR(__xludf.DUMMYFUNCTION("""COMPUTED_VALUE"""),"Diario Portal")</f>
        <v>Diario Portal</v>
      </c>
      <c r="B137" s="12" t="str">
        <f>IFERROR(__xludf.DUMMYFUNCTION("""COMPUTED_VALUE"""),"Presunto responsable de secuestro exprés con fines de robo en la carretera México–Querétaro es vinculado a proceso")</f>
        <v>Presunto responsable de secuestro exprés con fines de robo en la carretera México–Querétaro es vinculado a proceso</v>
      </c>
      <c r="C137" s="13" t="str">
        <f>IFERROR(__xludf.DUMMYFUNCTION("""COMPUTED_VALUE"""),"2025-12-06 14:04:50")</f>
        <v>2025-12-06 14:04:50</v>
      </c>
      <c r="D137" s="14">
        <f>IFERROR(__xludf.DUMMYFUNCTION("""COMPUTED_VALUE"""),5.0)</f>
        <v>5</v>
      </c>
      <c r="E137" s="15">
        <f>IFERROR(__xludf.DUMMYFUNCTION("""COMPUTED_VALUE"""),0.0)</f>
        <v>0</v>
      </c>
      <c r="F137" s="2" t="str">
        <f>IFERROR(__xludf.DUMMYFUNCTION("""COMPUTED_VALUE"""),"Neutral")</f>
        <v>Neutral</v>
      </c>
      <c r="G137" s="15">
        <f>IFERROR(__xludf.DUMMYFUNCTION("""COMPUTED_VALUE"""),0.4645)</f>
        <v>0.4645</v>
      </c>
      <c r="H137" s="2" t="str">
        <f>IFERROR(__xludf.DUMMYFUNCTION("""COMPUTED_VALUE"""),"Delito violento, robo o asalto")</f>
        <v>Delito violento, robo o asalto</v>
      </c>
      <c r="I137" s="2" t="str">
        <f>IFERROR(__xludf.DUMMYFUNCTION("""COMPUTED_VALUE"""),"N/A")</f>
        <v>N/A</v>
      </c>
      <c r="J137" s="2" t="str">
        <f>IFERROR(__xludf.DUMMYFUNCTION("""COMPUTED_VALUE"""),"Prevención Nocturna: Alerta de zona de riesgo.")</f>
        <v>Prevención Nocturna: Alerta de zona de riesgo.</v>
      </c>
      <c r="K137" s="2" t="str">
        <f>IFERROR(__xludf.DUMMYFUNCTION("""COMPUTED_VALUE"""),"Estado de México")</f>
        <v>Estado de México</v>
      </c>
      <c r="L137" s="2" t="str">
        <f>IFERROR(__xludf.DUMMYFUNCTION("""COMPUTED_VALUE"""),"Estado de México")</f>
        <v>Estado de México</v>
      </c>
      <c r="M137" s="16" t="str">
        <f>IFERROR(__xludf.DUMMYFUNCTION("""COMPUTED_VALUE"""),"https://diarioportal.com/seguridad-y-justicia/presunto-responsable-de-secuestro-expres-con-fines-de-robo-en-la-carretera-mexicoqueretaro-es-vinculado-a-proceso")</f>
        <v>https://diarioportal.com/seguridad-y-justicia/presunto-responsable-de-secuestro-expres-con-fines-de-robo-en-la-carretera-mexicoqueretaro-es-vinculado-a-proceso</v>
      </c>
      <c r="N137" s="2" t="str">
        <f>IFERROR(__xludf.DUMMYFUNCTION("""COMPUTED_VALUE"""),"La Fiscalía General de Justicia del Estado de México (FGJEM) obtuvo vinculación a proceso en contra de Heriberto “N” por su probable intervención en el delito de secuestro exprés con fines de robo, en agravio de tres personas. De acuerdo con los hechos, e"&amp;"l 26 de noviembre del 2025, las víctimas circulaban sobre la autopista México-Querétaro a bordo de un camión de la marca Freightliner, modelo 2017, color blanco, cargado con mercancía consistente en telefonía celular, con un valor estimado en 54 millones "&amp;"910 mil 987 pesos propiedad de una empresa privada. Al llegar a la colonia Generalísimo José María Morelos y Pavón, en el municipio de Cuautitlán Izcalli, dos vehículos, uno de color gris y otro blanco con luces que simulaban ser de un vehículo oficial lo"&amp;"s interceptaron y les marcaron el alto. Del automóvil sedán, color gris, descendió Heriberto “N” en compañía de otro sujeto, con el propósito de privar de la libertad a las víctimas, en el área del camarote del vehículo Freightliner, llevándolos a otro lu"&amp;"gar. Debido a que el camión desvió su ruta, elementos de la Fiscalía mexiquense y de la Policía Municipal de Cuautitlán Izcalli, quienes realizaban recorridos de seguridad, fueron alertados por lo que implementaron una acción operativa en el lugar donde m"&amp;"arcaba el GPS de la unidad. Al llegar a la calle Lirio, colonia las Conchitas, municipio de Cuautitlán Izcalli, ubicaron el vehículo, del cual bajó corriendo Heriberto “N”, quien se encontraba cuidando a las víctimas, y al intentar huir se aventó a un can"&amp;"al de aguas negras, pero es perseguido y detenido en flagrancia en calle Girasol, esquina calle Clavel por elementos de la Policía de Investigación. Una vez detenido, los elementos de la Policía Municipal de Cuautitlán Izcalli liberaron a las víctimas. El"&amp;" Juez del Distrito Judicial de Cuautitlán le dictó auto de vinculación a proceso, y fijó como medida cautelar la prisión preventiva justificada, además, concedió dos meses de investigación complementaria. La Fiscalía General de Justicia del Estado de Méxi"&amp;"co pone a disposición de la ciudadanía el correo electrónico cerotolerancia@fiscaliaedomex.gob.mx, el número telefónico 800 7028770, o bien, la aplicación FGJEdomex, la cual está disponible de manera gratuita para los teléfonos inteligentes de los sistema"&amp;"s iOS y Android, para que denuncie cualquier hecho delictivo. No hay etiquetas asociadas a éste artículo.")</f>
        <v>La Fiscalía General de Justicia del Estado de México (FGJEM) obtuvo vinculación a proceso en contra de Heriberto “N” por su probable intervención en el delito de secuestro exprés con fines de robo, en agravio de tres personas. De acuerdo con los hechos, el 26 de noviembre del 2025, las víctimas circulaban sobre la autopista México-Querétaro a bordo de un camión de la marca Freightliner, modelo 2017, color blanco, cargado con mercancía consistente en telefonía celular, con un valor estimado en 54 millones 910 mil 987 pesos propiedad de una empresa privada. Al llegar a la colonia Generalísimo José María Morelos y Pavón, en el municipio de Cuautitlán Izcalli, dos vehículos, uno de color gris y otro blanco con luces que simulaban ser de un vehículo oficial los interceptaron y les marcaron el alto. Del automóvil sedán, color gris, descendió Heriberto “N” en compañía de otro sujeto, con el propósito de privar de la libertad a las víctimas, en el área del camarote del vehículo Freightliner, llevándolos a otro lugar. Debido a que el camión desvió su ruta, elementos de la Fiscalía mexiquense y de la Policía Municipal de Cuautitlán Izcalli, quienes realizaban recorridos de seguridad, fueron alertados por lo que implementaron una acción operativa en el lugar donde marcaba el GPS de la unidad. Al llegar a la calle Lirio, colonia las Conchitas, municipio de Cuautitlán Izcalli, ubicaron el vehículo, del cual bajó corriendo Heriberto “N”, quien se encontraba cuidando a las víctimas, y al intentar huir se aventó a un canal de aguas negras, pero es perseguido y detenido en flagrancia en calle Girasol, esquina calle Clavel por elementos de la Policía de Investigación. Una vez detenido, los elementos de la Policía Municipal de Cuautitlán Izcalli liberaron a las víctimas. El Juez del Distrito Judicial de Cuautitlán le dictó auto de vinculación a proceso, y fijó como medida cautelar la prisión preventiva justificada, además, concedió dos meses de investigación complementaria.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37" s="15">
        <f>IFERROR(__xludf.DUMMYFUNCTION("""COMPUTED_VALUE"""),0.4327)</f>
        <v>0.4327</v>
      </c>
      <c r="P137" s="2"/>
      <c r="Q137" s="17">
        <f>IFERROR(__xludf.DUMMYFUNCTION("""COMPUTED_VALUE"""),5.0)</f>
        <v>5</v>
      </c>
      <c r="R137" s="2" t="str">
        <f>IFERROR(__xludf.DUMMYFUNCTION("""COMPUTED_VALUE"""),"Medium")</f>
        <v>Medium</v>
      </c>
      <c r="S137" s="17">
        <f>IFERROR(__xludf.DUMMYFUNCTION("""COMPUTED_VALUE"""),1.5)</f>
        <v>1.5</v>
      </c>
      <c r="T137" s="17">
        <f>IFERROR(__xludf.DUMMYFUNCTION("""COMPUTED_VALUE"""),0.0)</f>
        <v>0</v>
      </c>
      <c r="U137" s="14">
        <f>IFERROR(__xludf.DUMMYFUNCTION("""COMPUTED_VALUE"""),2.0)</f>
        <v>2</v>
      </c>
      <c r="V137" s="14">
        <v>2025.0</v>
      </c>
      <c r="W137" s="2" t="s">
        <v>1168</v>
      </c>
      <c r="X137" s="2" t="s">
        <v>1194</v>
      </c>
      <c r="Y137" s="13" t="s">
        <v>574</v>
      </c>
      <c r="Z137" s="14">
        <v>0.0</v>
      </c>
      <c r="AA137" s="14">
        <v>0.0</v>
      </c>
      <c r="AB137" s="14">
        <v>0.0</v>
      </c>
      <c r="AC137" s="14">
        <v>0.0</v>
      </c>
      <c r="AD137" s="2">
        <v>0.0</v>
      </c>
      <c r="AE137" s="2">
        <v>1.0</v>
      </c>
      <c r="AF137" s="2">
        <v>12.0</v>
      </c>
      <c r="AG137" s="2" t="s">
        <v>1202</v>
      </c>
      <c r="AH137" s="2">
        <v>0.0</v>
      </c>
    </row>
    <row r="138" ht="15.75" customHeight="1">
      <c r="A138" s="2" t="str">
        <f>IFERROR(__xludf.DUMMYFUNCTION("""COMPUTED_VALUE"""),"Diario Portal")</f>
        <v>Diario Portal</v>
      </c>
      <c r="B138" s="12" t="str">
        <f>IFERROR(__xludf.DUMMYFUNCTION("""COMPUTED_VALUE"""),"Joel González  será encargado  de despacho  en la Junta de   Caminos tras  renuncia de  Ariel Juárez")</f>
        <v>Joel González  será encargado  de despacho  en la Junta de   Caminos tras  renuncia de  Ariel Juárez</v>
      </c>
      <c r="C138" s="13" t="str">
        <f>IFERROR(__xludf.DUMMYFUNCTION("""COMPUTED_VALUE"""),"Sin Fecha")</f>
        <v>Sin Fecha</v>
      </c>
      <c r="D138" s="14">
        <f>IFERROR(__xludf.DUMMYFUNCTION("""COMPUTED_VALUE"""),1.0)</f>
        <v>1</v>
      </c>
      <c r="E138" s="15">
        <f>IFERROR(__xludf.DUMMYFUNCTION("""COMPUTED_VALUE"""),0.0)</f>
        <v>0</v>
      </c>
      <c r="F138" s="2" t="str">
        <f>IFERROR(__xludf.DUMMYFUNCTION("""COMPUTED_VALUE"""),"Neutral")</f>
        <v>Neutral</v>
      </c>
      <c r="G138" s="15">
        <f>IFERROR(__xludf.DUMMYFUNCTION("""COMPUTED_VALUE"""),0.5497)</f>
        <v>0.5497</v>
      </c>
      <c r="H138" s="2" t="str">
        <f>IFERROR(__xludf.DUMMYFUNCTION("""COMPUTED_VALUE"""),"Noticia corporativa o regulación de transporte")</f>
        <v>Noticia corporativa o regulación de transporte</v>
      </c>
      <c r="I138" s="2" t="str">
        <f>IFERROR(__xludf.DUMMYFUNCTION("""COMPUTED_VALUE"""),"N/A")</f>
        <v>N/A</v>
      </c>
      <c r="J138" s="2" t="str">
        <f>IFERROR(__xludf.DUMMYFUNCTION("""COMPUTED_VALUE"""),"Monitoreo general.")</f>
        <v>Monitoreo general.</v>
      </c>
      <c r="K138" s="2" t="str">
        <f>IFERROR(__xludf.DUMMYFUNCTION("""COMPUTED_VALUE"""),"Ciudad Juárez")</f>
        <v>Ciudad Juárez</v>
      </c>
      <c r="L138" s="2" t="str">
        <f>IFERROR(__xludf.DUMMYFUNCTION("""COMPUTED_VALUE"""),"Chihuahua")</f>
        <v>Chihuahua</v>
      </c>
      <c r="M138" s="16" t="str">
        <f>IFERROR(__xludf.DUMMYFUNCTION("""COMPUTED_VALUE"""),"https://diarioportal.com/seguridad-y-justicia/joel-gonzalez-sera-encargado-de-despacho-en-la-junta-de-caminos-tras-renuncia-de-ariel-juarez")</f>
        <v>https://diarioportal.com/seguridad-y-justicia/joel-gonzalez-sera-encargado-de-despacho-en-la-junta-de-caminos-tras-renuncia-de-ariel-juarez</v>
      </c>
      <c r="N138" s="2" t="str">
        <f>IFERROR(__xludf.DUMMYFUNCTION("""COMPUTED_VALUE"""),"La gobernadora Delfina Gómez Álvarez formalizó el nombramiento de Joel González Toral como encargado de despacho de la Junta de Caminos del Estado de México, tras la renuncia de Mario Ariel Juárez Rodríguez el pasado miércoles. El ahora encargado de despa"&amp;"cho es ingeniero civil egresado del Instituto Politécnico Nacional (IPN), cuenta con estudios de posgrado en Alta Dirección, Inteligencia Estratégica y Administración Pública, formación que respalda una trayectoria vinculada al desarrollo de infraestructu"&amp;"ra vial. Su experiencia laboral  abarca tanto la iniciativa pública como la privada, con participación destacada en proyectos orientados a la modernización de puentes y carreteras. En el servicio público se ha desempeñado como director de Obras Públicas e"&amp;"n el municipio de Nezahualcóyotl y recientemente como director de Vialidad en la Secretaría de Movilidad del Estado de México, desde donde impulsó mejoras operativas en la red estatal. De acuerdo con lo anunciado por la gobernadora, González Toral asumirá"&amp;" la responsabilidad de uno de los proyectos más relevantes para el 2026 que es la rehabilitación de 55 kilómetros del Periférico Norte y que iniciará a principios del próximo año. Con esta obra se busca mejorar la movilidad de más de siete millones de hab"&amp;"itantes de los municipios de Naucalpan, Tlalnepantla, Cuautitlán Izcalli, Cuautitlán y Tepotzotlán, zona cuya congestión vial ha sido señalada como una de las más críticas del Valle de México. Cabe señalar que el relevo en la Junta de Caminos ocurre luego"&amp;" de que Mario Ariel Juárez Rodríguez presentara su renuncia después de verse involucrado en un incidente público junto al diputado federal Wblester Santiago Pineda, tras una discusión al interior de un centro comercial en Metepec, hecho que generó cuestio"&amp;"namientos sobre su continuidad en el cargo. No hay etiquetas asociadas a éste artículo.")</f>
        <v>La gobernadora Delfina Gómez Álvarez formalizó el nombramiento de Joel González Toral como encargado de despacho de la Junta de Caminos del Estado de México, tras la renuncia de Mario Ariel Juárez Rodríguez el pasado miércoles. El ahora encargado de despacho es ingeniero civil egresado del Instituto Politécnico Nacional (IPN), cuenta con estudios de posgrado en Alta Dirección, Inteligencia Estratégica y Administración Pública, formación que respalda una trayectoria vinculada al desarrollo de infraestructura vial. Su experiencia laboral  abarca tanto la iniciativa pública como la privada, con participación destacada en proyectos orientados a la modernización de puentes y carreteras. En el servicio público se ha desempeñado como director de Obras Públicas en el municipio de Nezahualcóyotl y recientemente como director de Vialidad en la Secretaría de Movilidad del Estado de México, desde donde impulsó mejoras operativas en la red estatal. De acuerdo con lo anunciado por la gobernadora, González Toral asumirá la responsabilidad de uno de los proyectos más relevantes para el 2026 que es la rehabilitación de 55 kilómetros del Periférico Norte y que iniciará a principios del próximo año. Con esta obra se busca mejorar la movilidad de más de siete millones de habitantes de los municipios de Naucalpan, Tlalnepantla, Cuautitlán Izcalli, Cuautitlán y Tepotzotlán, zona cuya congestión vial ha sido señalada como una de las más críticas del Valle de México. Cabe señalar que el relevo en la Junta de Caminos ocurre luego de que Mario Ariel Juárez Rodríguez presentara su renuncia después de verse involucrado en un incidente público junto al diputado federal Wblester Santiago Pineda, tras una discusión al interior de un centro comercial en Metepec, hecho que generó cuestionamientos sobre su continuidad en el cargo. No hay etiquetas asociadas a éste artículo.</v>
      </c>
      <c r="O138" s="15">
        <f>IFERROR(__xludf.DUMMYFUNCTION("""COMPUTED_VALUE"""),0.2933)</f>
        <v>0.2933</v>
      </c>
      <c r="P138" s="2"/>
      <c r="Q138" s="17">
        <f>IFERROR(__xludf.DUMMYFUNCTION("""COMPUTED_VALUE"""),8.0)</f>
        <v>8</v>
      </c>
      <c r="R138" s="2" t="str">
        <f>IFERROR(__xludf.DUMMYFUNCTION("""COMPUTED_VALUE"""),"High")</f>
        <v>High</v>
      </c>
      <c r="S138" s="17">
        <f>IFERROR(__xludf.DUMMYFUNCTION("""COMPUTED_VALUE"""),3.0)</f>
        <v>3</v>
      </c>
      <c r="T138" s="17">
        <f>IFERROR(__xludf.DUMMYFUNCTION("""COMPUTED_VALUE"""),0.0)</f>
        <v>0</v>
      </c>
      <c r="U138" s="14">
        <f>IFERROR(__xludf.DUMMYFUNCTION("""COMPUTED_VALUE"""),2.0)</f>
        <v>2</v>
      </c>
      <c r="V138" s="14" t="s">
        <v>1186</v>
      </c>
      <c r="W138" s="2" t="s">
        <v>190</v>
      </c>
      <c r="X138" s="2" t="s">
        <v>190</v>
      </c>
      <c r="Y138" s="13"/>
      <c r="Z138" s="14">
        <v>0.0</v>
      </c>
      <c r="AA138" s="14">
        <v>0.0</v>
      </c>
      <c r="AB138" s="14">
        <v>0.0</v>
      </c>
      <c r="AC138" s="14">
        <v>0.0</v>
      </c>
      <c r="AD138" s="2">
        <v>0.0</v>
      </c>
      <c r="AE138" s="2">
        <v>0.0</v>
      </c>
      <c r="AF138" s="2" t="s">
        <v>1186</v>
      </c>
      <c r="AG138" s="2" t="s">
        <v>1187</v>
      </c>
      <c r="AH138" s="2">
        <v>0.0</v>
      </c>
    </row>
    <row r="139" ht="15.75" customHeight="1">
      <c r="A139" s="2" t="str">
        <f>IFERROR(__xludf.DUMMYFUNCTION("""COMPUTED_VALUE"""),"Diario Portal")</f>
        <v>Diario Portal</v>
      </c>
      <c r="B139" s="12" t="str">
        <f>IFERROR(__xludf.DUMMYFUNCTION("""COMPUTED_VALUE"""),"Detienen a sujeto por presunto huachicoleo en Tepetlaoxtoc")</f>
        <v>Detienen a sujeto por presunto huachicoleo en Tepetlaoxtoc</v>
      </c>
      <c r="C139" s="13" t="str">
        <f>IFERROR(__xludf.DUMMYFUNCTION("""COMPUTED_VALUE"""),"2025-12-04 16:19:21")</f>
        <v>2025-12-04 16:19:21</v>
      </c>
      <c r="D139" s="14">
        <f>IFERROR(__xludf.DUMMYFUNCTION("""COMPUTED_VALUE"""),2.0)</f>
        <v>2</v>
      </c>
      <c r="E139" s="15">
        <f>IFERROR(__xludf.DUMMYFUNCTION("""COMPUTED_VALUE"""),-0.5698)</f>
        <v>-0.5698</v>
      </c>
      <c r="F139" s="2" t="str">
        <f>IFERROR(__xludf.DUMMYFUNCTION("""COMPUTED_VALUE"""),"Negativo")</f>
        <v>Negativo</v>
      </c>
      <c r="G139" s="15">
        <f>IFERROR(__xludf.DUMMYFUNCTION("""COMPUTED_VALUE"""),0.5698)</f>
        <v>0.5698</v>
      </c>
      <c r="H139" s="2" t="str">
        <f>IFERROR(__xludf.DUMMYFUNCTION("""COMPUTED_VALUE"""),"Operativo policial o detención")</f>
        <v>Operativo policial o detención</v>
      </c>
      <c r="I139" s="2" t="str">
        <f>IFERROR(__xludf.DUMMYFUNCTION("""COMPUTED_VALUE"""),"N/A")</f>
        <v>N/A</v>
      </c>
      <c r="J139" s="2" t="str">
        <f>IFERROR(__xludf.DUMMYFUNCTION("""COMPUTED_VALUE"""),"Monitoreo general.")</f>
        <v>Monitoreo general.</v>
      </c>
      <c r="K139" s="2" t="str">
        <f>IFERROR(__xludf.DUMMYFUNCTION("""COMPUTED_VALUE"""),"Sinaloa")</f>
        <v>Sinaloa</v>
      </c>
      <c r="L139" s="2" t="str">
        <f>IFERROR(__xludf.DUMMYFUNCTION("""COMPUTED_VALUE"""),"Sinaloa")</f>
        <v>Sinaloa</v>
      </c>
      <c r="M139" s="16" t="str">
        <f>IFERROR(__xludf.DUMMYFUNCTION("""COMPUTED_VALUE"""),"https://diarioportal.com/seguridad-y-justicia/detienen-a-sujeto-por-presunto-huachicoleo-en-tepetlaoxtoc")</f>
        <v>https://diarioportal.com/seguridad-y-justicia/detienen-a-sujeto-por-presunto-huachicoleo-en-tepetlaoxtoc</v>
      </c>
      <c r="N139" s="2" t="str">
        <f>IFERROR(__xludf.DUMMYFUNCTION("""COMPUTED_VALUE"""),"Elementos de la Guardia Nacional (GN) detuvieron a un sujeto por presunto robo de hidrocarburo y lograron el aseguramiento de dos camionetas acondicionadas con tanques ""hechizos"" para el transporte ilegal de Gas L.P. en el municipio de Tepetlaoxtoc. El "&amp;"hecho ocurrió cuando elementos de la Guardia Nacional detectaron a los tripulantes de dos camionetas manejando de manera sospechosa cuando circulaban por calles del municipio de Tepetlaoxtoc, por lo que le indicaron que se detuvieran. Sin embargo ignoraro"&amp;"n el señalamiento y aceleraron a toda velocidad, lo que generó una persecución pero al llegar a las calles de Santo Tomás Apipilhuasco, en el municipio de Tepetlaoxtoc, fueron interceptados. En ese momento varias personas descendieron de las camionetas co"&amp;"rrieron en diferentes direcciones, inmediatamente los oficiales intentaron detenerlos, pero sólo lograron capturar de uno e ellos, identificado como David “N”, de 34 años. Tras la inspección en las camionetas Ford las autoridades descubrieron en su interi"&amp;"or se hallaron tanques estacionarios adaptados de forma artesanal. Cada tanque tenía una capacidad aproximada de 2 mil 200 litros, sumando un total estimado de 4 mil 400 litros de capacidad para el trasiego de combustible ilícito. El sujeto junto con los "&amp;"vehículos fueron trasladados y puestos a disposición del Ministerio Público para deslindar su responsabilidad. No hay etiquetas asociadas a éste artículo.")</f>
        <v>Elementos de la Guardia Nacional (GN) detuvieron a un sujeto por presunto robo de hidrocarburo y lograron el aseguramiento de dos camionetas acondicionadas con tanques "hechizos" para el transporte ilegal de Gas L.P. en el municipio de Tepetlaoxtoc. El hecho ocurrió cuando elementos de la Guardia Nacional detectaron a los tripulantes de dos camionetas manejando de manera sospechosa cuando circulaban por calles del municipio de Tepetlaoxtoc, por lo que le indicaron que se detuvieran. Sin embargo ignoraron el señalamiento y aceleraron a toda velocidad, lo que generó una persecución pero al llegar a las calles de Santo Tomás Apipilhuasco, en el municipio de Tepetlaoxtoc, fueron interceptados. En ese momento varias personas descendieron de las camionetas corrieron en diferentes direcciones, inmediatamente los oficiales intentaron detenerlos, pero sólo lograron capturar de uno e ellos, identificado como David “N”, de 34 años. Tras la inspección en las camionetas Ford las autoridades descubrieron en su interior se hallaron tanques estacionarios adaptados de forma artesanal. Cada tanque tenía una capacidad aproximada de 2 mil 200 litros, sumando un total estimado de 4 mil 400 litros de capacidad para el trasiego de combustible ilícito. El sujeto junto con los vehículos fueron trasladados y puestos a disposición del Ministerio Público para deslindar su responsabilidad. No hay etiquetas asociadas a éste artículo.</v>
      </c>
      <c r="O139" s="15">
        <f>IFERROR(__xludf.DUMMYFUNCTION("""COMPUTED_VALUE"""),0.8793)</f>
        <v>0.8793</v>
      </c>
      <c r="P139" s="2"/>
      <c r="Q139" s="17">
        <f>IFERROR(__xludf.DUMMYFUNCTION("""COMPUTED_VALUE"""),0.0)</f>
        <v>0</v>
      </c>
      <c r="R139" s="2" t="str">
        <f>IFERROR(__xludf.DUMMYFUNCTION("""COMPUTED_VALUE"""),"Low")</f>
        <v>Low</v>
      </c>
      <c r="S139" s="17">
        <f>IFERROR(__xludf.DUMMYFUNCTION("""COMPUTED_VALUE"""),0.0)</f>
        <v>0</v>
      </c>
      <c r="T139" s="17">
        <f>IFERROR(__xludf.DUMMYFUNCTION("""COMPUTED_VALUE"""),0.0)</f>
        <v>0</v>
      </c>
      <c r="U139" s="14">
        <f>IFERROR(__xludf.DUMMYFUNCTION("""COMPUTED_VALUE"""),2.0)</f>
        <v>2</v>
      </c>
      <c r="V139" s="14">
        <v>2025.0</v>
      </c>
      <c r="W139" s="2" t="s">
        <v>1168</v>
      </c>
      <c r="X139" s="2" t="s">
        <v>1201</v>
      </c>
      <c r="Y139" s="13" t="s">
        <v>581</v>
      </c>
      <c r="Z139" s="14">
        <v>0.0</v>
      </c>
      <c r="AA139" s="14">
        <v>0.0</v>
      </c>
      <c r="AB139" s="14">
        <v>0.0</v>
      </c>
      <c r="AC139" s="14">
        <v>0.0</v>
      </c>
      <c r="AD139" s="2">
        <v>0.0</v>
      </c>
      <c r="AE139" s="2">
        <v>0.0</v>
      </c>
      <c r="AF139" s="2">
        <v>12.0</v>
      </c>
      <c r="AG139" s="2" t="s">
        <v>1172</v>
      </c>
      <c r="AH139" s="2">
        <v>0.0</v>
      </c>
    </row>
    <row r="140" ht="15.75" customHeight="1">
      <c r="A140" s="2" t="str">
        <f>IFERROR(__xludf.DUMMYFUNCTION("""COMPUTED_VALUE"""),"Diario Portal")</f>
        <v>Diario Portal</v>
      </c>
      <c r="B140" s="12" t="str">
        <f>IFERROR(__xludf.DUMMYFUNCTION("""COMPUTED_VALUE"""),"Asegura la GN  2 camionetas  con combustible  robado, arresta   a un presunto  ""huachicolero""  en Tepetlaoxtoc")</f>
        <v>Asegura la GN  2 camionetas  con combustible  robado, arresta   a un presunto  "huachicolero"  en Tepetlaoxtoc</v>
      </c>
      <c r="C140" s="13" t="str">
        <f>IFERROR(__xludf.DUMMYFUNCTION("""COMPUTED_VALUE"""),"Sin Fecha")</f>
        <v>Sin Fecha</v>
      </c>
      <c r="D140" s="14">
        <f>IFERROR(__xludf.DUMMYFUNCTION("""COMPUTED_VALUE"""),2.0)</f>
        <v>2</v>
      </c>
      <c r="E140" s="15">
        <f>IFERROR(__xludf.DUMMYFUNCTION("""COMPUTED_VALUE"""),-0.5569)</f>
        <v>-0.5569</v>
      </c>
      <c r="F140" s="2" t="str">
        <f>IFERROR(__xludf.DUMMYFUNCTION("""COMPUTED_VALUE"""),"Negativo")</f>
        <v>Negativo</v>
      </c>
      <c r="G140" s="15">
        <f>IFERROR(__xludf.DUMMYFUNCTION("""COMPUTED_VALUE"""),0.5569)</f>
        <v>0.5569</v>
      </c>
      <c r="H140" s="2" t="str">
        <f>IFERROR(__xludf.DUMMYFUNCTION("""COMPUTED_VALUE"""),"Operativo policial o detención")</f>
        <v>Operativo policial o detención</v>
      </c>
      <c r="I140" s="2" t="str">
        <f>IFERROR(__xludf.DUMMYFUNCTION("""COMPUTED_VALUE"""),"N/A")</f>
        <v>N/A</v>
      </c>
      <c r="J140" s="2" t="str">
        <f>IFERROR(__xludf.DUMMYFUNCTION("""COMPUTED_VALUE"""),"Monitoreo general.")</f>
        <v>Monitoreo general.</v>
      </c>
      <c r="K140" s="2" t="str">
        <f>IFERROR(__xludf.DUMMYFUNCTION("""COMPUTED_VALUE"""),"Sinaloa")</f>
        <v>Sinaloa</v>
      </c>
      <c r="L140" s="2" t="str">
        <f>IFERROR(__xludf.DUMMYFUNCTION("""COMPUTED_VALUE"""),"Sinaloa")</f>
        <v>Sinaloa</v>
      </c>
      <c r="M140" s="16" t="str">
        <f>IFERROR(__xludf.DUMMYFUNCTION("""COMPUTED_VALUE"""),"https://diarioportal.com/seguridad-y-justicia/asegura-la-gn-2-camionetas-con-combustible-robado-arresta-a-un-presunto-huachicolero-en-tepetlaoxtoc")</f>
        <v>https://diarioportal.com/seguridad-y-justicia/asegura-la-gn-2-camionetas-con-combustible-robado-arresta-a-un-presunto-huachicolero-en-tepetlaoxtoc</v>
      </c>
      <c r="N140" s="2" t="str">
        <f>IFERROR(__xludf.DUMMYFUNCTION("""COMPUTED_VALUE"""),"Elementos de la Guardia Nacional (GN) detuvieron a un sujeto por presunto robo de hidrocarburo y lograron el aseguramiento de dos camionetas acondicionadas con tanques 'hechizos' para el transporte ilegal de Gas L.P. en el municipio de Tepetlaoxtoc. El he"&amp;"cho ocurrió cuando elementos de la Guardia Nacional detectaron a los tripulantes de dos camionetas manejando de manera sospechosa cuando circulaban por calles del municipio de Tepetlaoxtoc, por lo que le indicaron que se detuvieran. Sin embargo ignoraron "&amp;"el señalamiento y aceleraron a toda velocidad, lo que generó una persecución pero al llegar a las calles de Santo Tomás Apipilhuasco, en el municipio de Tepetlaoxtoc, fueron interceptados. En ese momento, varias personas descendieron de las camionetas y c"&amp;"orrieron en diferentes direcciones, inmediatamente los oficiales intentaron detenerlos, pero sólo lograron capturar a uno de ellos, identificado como David 'N', de 34 años. Tras la inspección en las camionetas Ford, las autoridades descubrieron en su inte"&amp;"rior tanques estacionarios adaptados de forma artesanal. Cada tanque tenía una capacidad aproximada de 2 mil 200 litros, sumando un total estimado de 4 mil 400 litros de capacidad para el trasiego de combustible ilícito. El sujeto junto con los vehículos "&amp;"fueron trasladados y puestos a disposición del Ministerio Público para deslindar su responsabilidad. No hay etiquetas asociadas a éste artículo.")</f>
        <v>Elementos de la Guardia Nacional (GN) detuvieron a un sujeto por presunto robo de hidrocarburo y lograron el aseguramiento de dos camionetas acondicionadas con tanques 'hechizos' para el transporte ilegal de Gas L.P. en el municipio de Tepetlaoxtoc. El hecho ocurrió cuando elementos de la Guardia Nacional detectaron a los tripulantes de dos camionetas manejando de manera sospechosa cuando circulaban por calles del municipio de Tepetlaoxtoc, por lo que le indicaron que se detuvieran. Sin embargo ignoraron el señalamiento y aceleraron a toda velocidad, lo que generó una persecución pero al llegar a las calles de Santo Tomás Apipilhuasco, en el municipio de Tepetlaoxtoc, fueron interceptados. En ese momento, varias personas descendieron de las camionetas y corrieron en diferentes direcciones, inmediatamente los oficiales intentaron detenerlos, pero sólo lograron capturar a uno de ellos, identificado como David 'N', de 34 años. Tras la inspección en las camionetas Ford, las autoridades descubrieron en su interior tanques estacionarios adaptados de forma artesanal. Cada tanque tenía una capacidad aproximada de 2 mil 200 litros, sumando un total estimado de 4 mil 400 litros de capacidad para el trasiego de combustible ilícito. El sujeto junto con los vehículos fueron trasladados y puestos a disposición del Ministerio Público para deslindar su responsabilidad. No hay etiquetas asociadas a éste artículo.</v>
      </c>
      <c r="O140" s="15">
        <f>IFERROR(__xludf.DUMMYFUNCTION("""COMPUTED_VALUE"""),0.8789)</f>
        <v>0.8789</v>
      </c>
      <c r="P140" s="2"/>
      <c r="Q140" s="17">
        <f>IFERROR(__xludf.DUMMYFUNCTION("""COMPUTED_VALUE"""),0.0)</f>
        <v>0</v>
      </c>
      <c r="R140" s="2" t="str">
        <f>IFERROR(__xludf.DUMMYFUNCTION("""COMPUTED_VALUE"""),"Low")</f>
        <v>Low</v>
      </c>
      <c r="S140" s="17">
        <f>IFERROR(__xludf.DUMMYFUNCTION("""COMPUTED_VALUE"""),0.0)</f>
        <v>0</v>
      </c>
      <c r="T140" s="17">
        <f>IFERROR(__xludf.DUMMYFUNCTION("""COMPUTED_VALUE"""),0.0)</f>
        <v>0</v>
      </c>
      <c r="U140" s="14">
        <f>IFERROR(__xludf.DUMMYFUNCTION("""COMPUTED_VALUE"""),2.0)</f>
        <v>2</v>
      </c>
      <c r="V140" s="14" t="s">
        <v>1186</v>
      </c>
      <c r="W140" s="2" t="s">
        <v>190</v>
      </c>
      <c r="X140" s="2" t="s">
        <v>190</v>
      </c>
      <c r="Y140" s="13"/>
      <c r="Z140" s="14">
        <v>0.0</v>
      </c>
      <c r="AA140" s="14">
        <v>0.0</v>
      </c>
      <c r="AB140" s="14">
        <v>0.0</v>
      </c>
      <c r="AC140" s="14">
        <v>0.0</v>
      </c>
      <c r="AD140" s="2">
        <v>0.0</v>
      </c>
      <c r="AE140" s="2">
        <v>0.0</v>
      </c>
      <c r="AF140" s="2" t="s">
        <v>1186</v>
      </c>
      <c r="AG140" s="2" t="s">
        <v>1172</v>
      </c>
      <c r="AH140" s="2">
        <v>0.0</v>
      </c>
    </row>
    <row r="141" ht="15.75" customHeight="1">
      <c r="A141" s="2" t="str">
        <f>IFERROR(__xludf.DUMMYFUNCTION("""COMPUTED_VALUE"""),"Diario Portal")</f>
        <v>Diario Portal</v>
      </c>
      <c r="B141" s="12" t="str">
        <f>IFERROR(__xludf.DUMMYFUNCTION("""COMPUTED_VALUE"""),"Vinculados a proceso penal por robo de agua funcionarios y supuestos líderes de sindicatos")</f>
        <v>Vinculados a proceso penal por robo de agua funcionarios y supuestos líderes de sindicatos</v>
      </c>
      <c r="C141" s="13" t="str">
        <f>IFERROR(__xludf.DUMMYFUNCTION("""COMPUTED_VALUE"""),"2025-12-01 18:57:35")</f>
        <v>2025-12-01 18:57:35</v>
      </c>
      <c r="D141" s="14">
        <f>IFERROR(__xludf.DUMMYFUNCTION("""COMPUTED_VALUE"""),5.0)</f>
        <v>5</v>
      </c>
      <c r="E141" s="15">
        <f>IFERROR(__xludf.DUMMYFUNCTION("""COMPUTED_VALUE"""),-0.5773)</f>
        <v>-0.5773</v>
      </c>
      <c r="F141" s="2" t="str">
        <f>IFERROR(__xludf.DUMMYFUNCTION("""COMPUTED_VALUE"""),"Negativo")</f>
        <v>Negativo</v>
      </c>
      <c r="G141" s="15">
        <f>IFERROR(__xludf.DUMMYFUNCTION("""COMPUTED_VALUE"""),0.5773)</f>
        <v>0.5773</v>
      </c>
      <c r="H141" s="2" t="str">
        <f>IFERROR(__xludf.DUMMYFUNCTION("""COMPUTED_VALUE"""),"Delito violento, robo o asalto")</f>
        <v>Delito violento, robo o asalto</v>
      </c>
      <c r="I141" s="2" t="str">
        <f>IFERROR(__xludf.DUMMYFUNCTION("""COMPUTED_VALUE"""),"homicidio")</f>
        <v>homicidio</v>
      </c>
      <c r="J141" s="2" t="str">
        <f>IFERROR(__xludf.DUMMYFUNCTION("""COMPUTED_VALUE"""),"Prevención Nocturna: Alerta de zona de riesgo.")</f>
        <v>Prevención Nocturna: Alerta de zona de riesgo.</v>
      </c>
      <c r="K141" s="2" t="str">
        <f>IFERROR(__xludf.DUMMYFUNCTION("""COMPUTED_VALUE"""),"Estado de México")</f>
        <v>Estado de México</v>
      </c>
      <c r="L141" s="2" t="str">
        <f>IFERROR(__xludf.DUMMYFUNCTION("""COMPUTED_VALUE"""),"Estado de México")</f>
        <v>Estado de México</v>
      </c>
      <c r="M141" s="16" t="str">
        <f>IFERROR(__xludf.DUMMYFUNCTION("""COMPUTED_VALUE"""),"https://diarioportal.com/seguridad-y-justicia/vinculados-a-proceso-penal-por-robo-de-agua-funcionarios-y-supuestos-lideres-de-sindicatos")</f>
        <v>https://diarioportal.com/seguridad-y-justicia/vinculados-a-proceso-penal-por-robo-de-agua-funcionarios-y-supuestos-lideres-de-sindicatos</v>
      </c>
      <c r="N141" s="2" t="str">
        <f>IFERROR(__xludf.DUMMYFUNCTION("""COMPUTED_VALUE"""),"La Fiscalía General de Justicia del Estado de México (FGJEM) obtuvo seis vinculaciones a proceso contra servidores públicos y líderes de sindicatos detenidos por el robo de agua en la entidad en el marco de la Operación Caudal. Los detenidos son identific"&amp;"ados como objetivos prioritarios por su probable participación como ordenadores de actividades delictivas en la cadena ilícita de extracción, distribución y venta de agua en la entidad, por lo que son investigados por delitos contra el servicio público y "&amp;"distribución del agua, homicidio, secuestro, extorsión, robo con violencia, despojo de propiedades, disparo de arma de fuego y contra la salud, entre otros. Los vinculados a proceso eran líderes o integrantes relevantes de las organizaciones sociales con "&amp;"fachada de sindicatos autodenominadas Sindicato 22 de Octubre, Federación Internacional de Trabajadoras y Trabajadores Asalariados de México (FITTAM), Sindicatos Unidos por la Transformación de México (SUTMEX), La Chokiza y Somos Mayas, Somos Fuertes y/o "&amp;"Los Mayas. Estos grupos están relacionados con hechos delictivos de homicidio, secuestro, extorsión, robo con violencia, despojo de propiedades, disparo de arma de fuego, contra la salud, así como contra el servicio público y distribución del agua en los "&amp;"municipios de Acolman, Chalco, Chicoloapan, Chimalhuacán, Coacalco, Ecatepec, Ixtapaluca, La Paz, Nezahualcóyotl, Tecámac, Teotihuacán, Texcoco y Valle de Chalco, principalmente. Christian Jesús ‘N’ alias “Gimy” y/o ‘Jimmy’, sexto Regidor en el municipio "&amp;"de Chalco, es identificado como líder del Sindicato 22 de Octubre y utilizaba su grupo delictivo para acaparar la distribución y venta ilegal de agua a través pipas irregulares, propiedad de sus integrantes. Juan ‘N’, identificado como secretario general "&amp;"de la FITTAM y vocero del SUTMEX acaparaba la distribución y el cobro ilícito del agua, ordenaba agresiones y robos con violencia en agravio de propietarios de purificadoras, así como conductores o dueños de pipas ajenas a sus grupos. Guillermo ‘N’ recibí"&amp;"a instrucciones directas de alias ‘Gimy’ y/o ‘Jimmy’ para instalar tomas clandestinas de agua potable en las redes oficiales y administrar la venta y distribución de la ordeña” con el uso de pipas irregulares operadas por sus agremiados. Ricardo ‘N’, pres"&amp;"unto integrante de La Chokiza, fungía como propietario de pipas del referido grupo criminal y era el encargado de administrar tomas de agua clandestinas. Juan Manuel ‘N’ alias ‘El Maya’, presunto líder de la organización Somos Mayas, Somos Fuertes y/o Los"&amp;" Mayas, hasta antes de su captura era identificado como generador de violencia en el municipio de Ecatepec. Finalmente, a María del Carmen ‘N’ se le relaciona con actividades delictivas de despojo porque facilitaba predios invadidos para que funcionaran c"&amp;"omo pensiones de pipas de agua y otros vehículos, además de ocupar viviendas de manera ilegal. Cabe señalar que los detenidos fueron vinculados a proceso y permanecerán en prisión preventiva hasta que situación jurídica sea resuelta. No hay etiquetas asoc"&amp;"iadas a éste artículo.")</f>
        <v>La Fiscalía General de Justicia del Estado de México (FGJEM) obtuvo seis vinculaciones a proceso contra servidores públicos y líderes de sindicatos detenidos por el robo de agua en la entidad en el marco de la Operación Caudal. Los detenidos son identificados como objetivos prioritarios por su probable participación como ordenadores de actividades delictivas en la cadena ilícita de extracción, distribución y venta de agua en la entidad, por lo que son investigados por delitos contra el servicio público y distribución del agua, homicidio, secuestro, extorsión, robo con violencia, despojo de propiedades, disparo de arma de fuego y contra la salud, entre otros. Los vinculados a proceso eran líderes o integrantes relevantes de las organizaciones sociales con fachada de sindicatos autodenominadas Sindicato 22 de Octubre, Federación Internacional de Trabajadoras y Trabajadores Asalariados de México (FITTAM), Sindicatos Unidos por la Transformación de México (SUTMEX), La Chokiza y Somos Mayas, Somos Fuertes y/o Los Mayas. Estos grupos están relacionados con hechos delictivos de homicidio, secuestro, extorsión, robo con violencia, despojo de propiedades, disparo de arma de fuego, contra la salud, así como contra el servicio público y distribución del agua en los municipios de Acolman, Chalco, Chicoloapan, Chimalhuacán, Coacalco, Ecatepec, Ixtapaluca, La Paz, Nezahualcóyotl, Tecámac, Teotihuacán, Texcoco y Valle de Chalco, principalmente. Christian Jesús ‘N’ alias “Gimy” y/o ‘Jimmy’, sexto Regidor en el municipio de Chalco, es identificado como líder del Sindicato 22 de Octubre y utilizaba su grupo delictivo para acaparar la distribución y venta ilegal de agua a través pipas irregulares, propiedad de sus integrantes. Juan ‘N’, identificado como secretario general de la FITTAM y vocero del SUTMEX acaparaba la distribución y el cobro ilícito del agua, ordenaba agresiones y robos con violencia en agravio de propietarios de purificadoras, así como conductores o dueños de pipas ajenas a sus grupos. Guillermo ‘N’ recibía instrucciones directas de alias ‘Gimy’ y/o ‘Jimmy’ para instalar tomas clandestinas de agua potable en las redes oficiales y administrar la venta y distribución de la ordeña” con el uso de pipas irregulares operadas por sus agremiados. Ricardo ‘N’, presunto integrante de La Chokiza, fungía como propietario de pipas del referido grupo criminal y era el encargado de administrar tomas de agua clandestinas. Juan Manuel ‘N’ alias ‘El Maya’, presunto líder de la organización Somos Mayas, Somos Fuertes y/o Los Mayas, hasta antes de su captura era identificado como generador de violencia en el municipio de Ecatepec. Finalmente, a María del Carmen ‘N’ se le relaciona con actividades delictivas de despojo porque facilitaba predios invadidos para que funcionaran como pensiones de pipas de agua y otros vehículos, además de ocupar viviendas de manera ilegal. Cabe señalar que los detenidos fueron vinculados a proceso y permanecerán en prisión preventiva hasta que situación jurídica sea resuelta. No hay etiquetas asociadas a éste artículo.</v>
      </c>
      <c r="O141" s="15">
        <f>IFERROR(__xludf.DUMMYFUNCTION("""COMPUTED_VALUE"""),1.0)</f>
        <v>1</v>
      </c>
      <c r="P141" s="2"/>
      <c r="Q141" s="17">
        <f>IFERROR(__xludf.DUMMYFUNCTION("""COMPUTED_VALUE"""),5.0)</f>
        <v>5</v>
      </c>
      <c r="R141" s="2" t="str">
        <f>IFERROR(__xludf.DUMMYFUNCTION("""COMPUTED_VALUE"""),"Low")</f>
        <v>Low</v>
      </c>
      <c r="S141" s="17">
        <f>IFERROR(__xludf.DUMMYFUNCTION("""COMPUTED_VALUE"""),0.0)</f>
        <v>0</v>
      </c>
      <c r="T141" s="17">
        <f>IFERROR(__xludf.DUMMYFUNCTION("""COMPUTED_VALUE"""),0.0)</f>
        <v>0</v>
      </c>
      <c r="U141" s="14">
        <f>IFERROR(__xludf.DUMMYFUNCTION("""COMPUTED_VALUE"""),2.0)</f>
        <v>2</v>
      </c>
      <c r="V141" s="14">
        <v>2025.0</v>
      </c>
      <c r="W141" s="2" t="s">
        <v>1168</v>
      </c>
      <c r="X141" s="2" t="s">
        <v>1169</v>
      </c>
      <c r="Y141" s="13" t="s">
        <v>588</v>
      </c>
      <c r="Z141" s="14">
        <v>0.0</v>
      </c>
      <c r="AA141" s="14">
        <v>0.0</v>
      </c>
      <c r="AB141" s="14">
        <v>0.0</v>
      </c>
      <c r="AC141" s="14">
        <v>0.0</v>
      </c>
      <c r="AD141" s="2">
        <v>0.0</v>
      </c>
      <c r="AE141" s="2">
        <v>1.0</v>
      </c>
      <c r="AF141" s="2">
        <v>12.0</v>
      </c>
      <c r="AG141" s="2" t="s">
        <v>1202</v>
      </c>
      <c r="AH141" s="2">
        <v>0.0</v>
      </c>
    </row>
    <row r="142" ht="15.75" customHeight="1">
      <c r="A142" s="2" t="str">
        <f>IFERROR(__xludf.DUMMYFUNCTION("""COMPUTED_VALUE"""),"Diario Portal")</f>
        <v>Diario Portal</v>
      </c>
      <c r="B142" s="12" t="str">
        <f>IFERROR(__xludf.DUMMYFUNCTION("""COMPUTED_VALUE"""),"2025, el año con menor índice de homicidios desde 2017 en Edomex")</f>
        <v>2025, el año con menor índice de homicidios desde 2017 en Edomex</v>
      </c>
      <c r="C142" s="13" t="str">
        <f>IFERROR(__xludf.DUMMYFUNCTION("""COMPUTED_VALUE"""),"2025-12-01 16:16:27")</f>
        <v>2025-12-01 16:16:27</v>
      </c>
      <c r="D142" s="14">
        <f>IFERROR(__xludf.DUMMYFUNCTION("""COMPUTED_VALUE"""),4.0)</f>
        <v>4</v>
      </c>
      <c r="E142" s="15">
        <f>IFERROR(__xludf.DUMMYFUNCTION("""COMPUTED_VALUE"""),-0.691)</f>
        <v>-0.691</v>
      </c>
      <c r="F142" s="2" t="str">
        <f>IFERROR(__xludf.DUMMYFUNCTION("""COMPUTED_VALUE"""),"Negativo")</f>
        <v>Negativo</v>
      </c>
      <c r="G142" s="15">
        <f>IFERROR(__xludf.DUMMYFUNCTION("""COMPUTED_VALUE"""),0.691)</f>
        <v>0.691</v>
      </c>
      <c r="H142" s="2" t="str">
        <f>IFERROR(__xludf.DUMMYFUNCTION("""COMPUTED_VALUE"""),"Delito violento, robo o asalto")</f>
        <v>Delito violento, robo o asalto</v>
      </c>
      <c r="I142" s="2" t="str">
        <f>IFERROR(__xludf.DUMMYFUNCTION("""COMPUTED_VALUE"""),"homicidio")</f>
        <v>homicidio</v>
      </c>
      <c r="J142" s="2" t="str">
        <f>IFERROR(__xludf.DUMMYFUNCTION("""COMPUTED_VALUE"""),"Prevención PAX: Contactos de confianza.")</f>
        <v>Prevención PAX: Contactos de confianza.</v>
      </c>
      <c r="K142" s="2" t="str">
        <f>IFERROR(__xludf.DUMMYFUNCTION("""COMPUTED_VALUE"""),"Estado de México")</f>
        <v>Estado de México</v>
      </c>
      <c r="L142" s="2" t="str">
        <f>IFERROR(__xludf.DUMMYFUNCTION("""COMPUTED_VALUE"""),"Estado de México")</f>
        <v>Estado de México</v>
      </c>
      <c r="M142" s="16" t="str">
        <f>IFERROR(__xludf.DUMMYFUNCTION("""COMPUTED_VALUE"""),"https://diarioportal.com/seguridad-y-justicia/2025-el-ano-con-menor-indice-de-homicidios-desde-2017-en-edomex")</f>
        <v>https://diarioportal.com/seguridad-y-justicia/2025-el-ano-con-menor-indice-de-homicidios-desde-2017-en-edomex</v>
      </c>
      <c r="N142" s="2" t="str">
        <f>IFERROR(__xludf.DUMMYFUNCTION("""COMPUTED_VALUE"""),"Resultado de las estrategias de seguridad que se trabajan a diario en la Mesa de Paz encabezada por la gobernadora Delfina Gómez Álvarez, noviembre de 2025 se convierte en el mes con menos víctimas de homicidios dolosos desde 2017, de acuerdo con la Fisca"&amp;"lía General de Justicia del Estado de México (FGJEM), el punto más bajo de una caída sostenida en este delito de alto impacto en los once meses del año. “En #Nezahualcóyotl encabecé la Mesa de Paz en la cual la Fiscalía General de Justicia del Estado de M"&amp;"éxico reportó que este noviembre fue el mes con menor incidencia de homicidio doloso que se tiene registrado. Seguimos sumando esfuerzos por la paz y tranquilidad de las y los mexiquenses. #ElPoderDeServir”, dijo la gobernadora Delfina Gómez Álvarez en su"&amp;"s redes sociales. De enero a noviembre de 2025, hubo reducciones mensuales de entre 25% y 45% respecto al mismo periodo del 2024, confirmando que la labor coordinada de los tres niveles de gobierno en el tema de seguridad ha logrado cambios estructurales,"&amp;" evitando repuntes significativos en dicho delito con un promedio diario aproximado de menos 50%. Cabe destacar que el acumulado anual de homicidios dolosos de 2025 es el menor desde el 2017, resultado de las acciones implementadas como operativos, progra"&amp;"mas, equipamiento y capacitación a policías, mayor tecnología, la denuncia ciudadana, la atención a víctimas y seguimiento de casos. A la sesión 225 de la Mesa de Paz, asistieron Horacio Duarte Olivares, Secretario General de Gobierno; Cristóbal Castañeda"&amp;" Camarillo, Secretario de Seguridad; Maricela López Urbina, Secretaria Técnica; José Luis Cervantes Martínez, Fiscal General de Justicia del Estado de México; Adolfo Cerqueda Rebollo, Presidente Municipal de Nezahualcóyotl, así como representantes de Defe"&amp;"nsa, Marina, Guardia Nacional y el Centro Nacional de Inteligencia. No hay etiquetas asociadas a éste artículo.")</f>
        <v>Resultado de las estrategias de seguridad que se trabajan a diario en la Mesa de Paz encabezada por la gobernadora Delfina Gómez Álvarez, noviembre de 2025 se convierte en el mes con menos víctimas de homicidios dolosos desde 2017, de acuerdo con la Fiscalía General de Justicia del Estado de México (FGJEM), el punto más bajo de una caída sostenida en este delito de alto impacto en los once meses del año. “En #Nezahualcóyotl encabecé la Mesa de Paz en la cual la Fiscalía General de Justicia del Estado de México reportó que este noviembre fue el mes con menor incidencia de homicidio doloso que se tiene registrado. Seguimos sumando esfuerzos por la paz y tranquilidad de las y los mexiquenses. #ElPoderDeServir”, dijo la gobernadora Delfina Gómez Álvarez en sus redes sociales. De enero a noviembre de 2025, hubo reducciones mensuales de entre 25% y 45% respecto al mismo periodo del 2024, confirmando que la labor coordinada de los tres niveles de gobierno en el tema de seguridad ha logrado cambios estructurales, evitando repuntes significativos en dicho delito con un promedio diario aproximado de menos 50%. Cabe destacar que el acumulado anual de homicidios dolosos de 2025 es el menor desde el 2017, resultado de las acciones implementadas como operativos, programas, equipamiento y capacitación a policías, mayor tecnología, la denuncia ciudadana, la atención a víctimas y seguimiento de casos. A la sesión 225 de la Mesa de Paz, asistieron Horacio Duarte Olivares, Secretario General de Gobierno; Cristóbal Castañeda Camarillo, Secretario de Seguridad; Maricela López Urbina, Secretaria Técnica; José Luis Cervantes Martínez, Fiscal General de Justicia del Estado de México; Adolfo Cerqueda Rebollo, Presidente Municipal de Nezahualcóyotl, así como representantes de Defensa, Marina, Guardia Nacional y el Centro Nacional de Inteligencia. No hay etiquetas asociadas a éste artículo.</v>
      </c>
      <c r="O142" s="15">
        <f>IFERROR(__xludf.DUMMYFUNCTION("""COMPUTED_VALUE"""),1.0)</f>
        <v>1</v>
      </c>
      <c r="P142" s="2"/>
      <c r="Q142" s="17">
        <f>IFERROR(__xludf.DUMMYFUNCTION("""COMPUTED_VALUE"""),8.0)</f>
        <v>8</v>
      </c>
      <c r="R142" s="2" t="str">
        <f>IFERROR(__xludf.DUMMYFUNCTION("""COMPUTED_VALUE"""),"High")</f>
        <v>High</v>
      </c>
      <c r="S142" s="17">
        <f>IFERROR(__xludf.DUMMYFUNCTION("""COMPUTED_VALUE"""),3.0)</f>
        <v>3</v>
      </c>
      <c r="T142" s="17">
        <f>IFERROR(__xludf.DUMMYFUNCTION("""COMPUTED_VALUE"""),0.0)</f>
        <v>0</v>
      </c>
      <c r="U142" s="14">
        <f>IFERROR(__xludf.DUMMYFUNCTION("""COMPUTED_VALUE"""),2.0)</f>
        <v>2</v>
      </c>
      <c r="V142" s="14">
        <v>2025.0</v>
      </c>
      <c r="W142" s="2" t="s">
        <v>1168</v>
      </c>
      <c r="X142" s="2" t="s">
        <v>1169</v>
      </c>
      <c r="Y142" s="13" t="s">
        <v>592</v>
      </c>
      <c r="Z142" s="14">
        <v>0.0</v>
      </c>
      <c r="AA142" s="14">
        <v>0.0</v>
      </c>
      <c r="AB142" s="14">
        <v>0.0</v>
      </c>
      <c r="AC142" s="14">
        <v>0.0</v>
      </c>
      <c r="AD142" s="2">
        <v>0.0</v>
      </c>
      <c r="AE142" s="2">
        <v>1.0</v>
      </c>
      <c r="AF142" s="2">
        <v>12.0</v>
      </c>
      <c r="AG142" s="2" t="s">
        <v>1202</v>
      </c>
      <c r="AH142" s="2">
        <v>0.0</v>
      </c>
    </row>
    <row r="143" ht="15.75" customHeight="1">
      <c r="A143" s="2" t="str">
        <f>IFERROR(__xludf.DUMMYFUNCTION("""COMPUTED_VALUE"""),"Diario Portal")</f>
        <v>Diario Portal</v>
      </c>
      <c r="B143" s="12" t="str">
        <f>IFERROR(__xludf.DUMMYFUNCTION("""COMPUTED_VALUE"""),"Bajan en 30% crímenes de alto impacto tras limpia en la policía de Tlalnepantla")</f>
        <v>Bajan en 30% crímenes de alto impacto tras limpia en la policía de Tlalnepantla</v>
      </c>
      <c r="C143" s="13" t="str">
        <f>IFERROR(__xludf.DUMMYFUNCTION("""COMPUTED_VALUE"""),"2025-11-30 17:40:53")</f>
        <v>2025-11-30 17:40:53</v>
      </c>
      <c r="D143" s="14">
        <f>IFERROR(__xludf.DUMMYFUNCTION("""COMPUTED_VALUE"""),5.0)</f>
        <v>5</v>
      </c>
      <c r="E143" s="15">
        <f>IFERROR(__xludf.DUMMYFUNCTION("""COMPUTED_VALUE"""),-0.9584)</f>
        <v>-0.9584</v>
      </c>
      <c r="F143" s="2" t="str">
        <f>IFERROR(__xludf.DUMMYFUNCTION("""COMPUTED_VALUE"""),"Negativo")</f>
        <v>Negativo</v>
      </c>
      <c r="G143" s="15">
        <f>IFERROR(__xludf.DUMMYFUNCTION("""COMPUTED_VALUE"""),0.9584)</f>
        <v>0.9584</v>
      </c>
      <c r="H143" s="2" t="str">
        <f>IFERROR(__xludf.DUMMYFUNCTION("""COMPUTED_VALUE"""),"Operativo policial o detención")</f>
        <v>Operativo policial o detención</v>
      </c>
      <c r="I143" s="2" t="str">
        <f>IFERROR(__xludf.DUMMYFUNCTION("""COMPUTED_VALUE"""),"N/A")</f>
        <v>N/A</v>
      </c>
      <c r="J143" s="2" t="str">
        <f>IFERROR(__xludf.DUMMYFUNCTION("""COMPUTED_VALUE"""),"Monitoreo general.")</f>
        <v>Monitoreo general.</v>
      </c>
      <c r="K143" s="2" t="str">
        <f>IFERROR(__xludf.DUMMYFUNCTION("""COMPUTED_VALUE"""),"Tlalnepantla de Baz")</f>
        <v>Tlalnepantla de Baz</v>
      </c>
      <c r="L143" s="2" t="str">
        <f>IFERROR(__xludf.DUMMYFUNCTION("""COMPUTED_VALUE"""),"Estado de México")</f>
        <v>Estado de México</v>
      </c>
      <c r="M143" s="16" t="str">
        <f>IFERROR(__xludf.DUMMYFUNCTION("""COMPUTED_VALUE"""),"https://diarioportal.com/seguridad-y-justicia/bajan-en-30-crimenes-de-alto-impacto-tras-limpia-en-la-policia-de-tlalnepantla")</f>
        <v>https://diarioportal.com/seguridad-y-justicia/bajan-en-30-crimenes-de-alto-impacto-tras-limpia-en-la-policia-de-tlalnepantla</v>
      </c>
      <c r="N143" s="2" t="str">
        <f>IFERROR(__xludf.DUMMYFUNCTION("""COMPUTED_VALUE"""),"Durante su primer año de gobierno, el presidente municipal de Tlalnepantla, Raciel Pérez Cruz, reportó una reducción del 30% en los delitos de alto impacto, resultado de una estrategia integral enfocada en la proximidad social, la inteligencia operativa, "&amp;"la prevención de violencias y la depuración de los cuerpos policiacos. El alcalde recordó que recibió una corporación policiaca deteriorada y con poca confianza ciudadana; por ello, se impulsó un proceso de reestructuración que incluyó la aplicación de mi"&amp;"l 215 exámenes psicológicos y toxicológicos, la baja de 100 elementos por conductas indebidas y la profesionalización de la fuerza municipal. En este periodo, se abrieron 610 expedientes y se solicitaron procedimientos administrativos ante la Comisión de "&amp;"Honor y Justicia, de los cuales 81 fueron formalizados y 35 avanzan en revisión, con 12 resoluciones emitidas. En cuanto a resultados operativos, Pérez Cruz informó avances relevantes en comparación con 2024: los feminicidios disminuyeron 33%, los homicid"&amp;"ios dolosos 29%, las lesiones dolosas 15%, el robo a casa habitación 58%, el robo a transeúnte 26%, el robo a transporte de carga 28% y el robo de vehículos 40%. Asimismo, fueron puestos a disposición del Ministerio Público 778 presuntos responsables de d"&amp;"elitos de alto impacto, mientras que 1,780 infractores fueron remitidos al juez cívico. El edil destacó que la estrategia se diseñó “desde el territorio y para el territorio”, analizando factores como densidad poblacional, nivel de riesgo, dinámicas comun"&amp;"itarias y patrones delictivos, lo que permitió focalizar recursos y fortalecer la presencia policial en las zonas prioritarias. Como parte de la profesionalización, 200 policías fueron capacitados en Competencias Básicas de la Función Policial y 300 parti"&amp;"ciparon en los cursos de Informe Policial Homologado y Registro Nacional de Detenciones. Informó que se adquirieron 160 unidades, 20 motocicletas y se entregaron 2,500 uniformes a 1,241 elementos, con una inversión superior a 220 millones de pesos. Pérez "&amp;"Cruz subrayó que estos resultados sientan las bases para consolidar la Construcción de Paz en Tlalnepantla y recuperar la confianza de la ciudadanía en sus cuerpos de seguridad. No hay etiquetas asociadas a éste artículo.")</f>
        <v>Durante su primer año de gobierno, el presidente municipal de Tlalnepantla, Raciel Pérez Cruz, reportó una reducción del 30% en los delitos de alto impacto, resultado de una estrategia integral enfocada en la proximidad social, la inteligencia operativa, la prevención de violencias y la depuración de los cuerpos policiacos. El alcalde recordó que recibió una corporación policiaca deteriorada y con poca confianza ciudadana; por ello, se impulsó un proceso de reestructuración que incluyó la aplicación de mil 215 exámenes psicológicos y toxicológicos, la baja de 100 elementos por conductas indebidas y la profesionalización de la fuerza municipal. En este periodo, se abrieron 610 expedientes y se solicitaron procedimientos administrativos ante la Comisión de Honor y Justicia, de los cuales 81 fueron formalizados y 35 avanzan en revisión, con 12 resoluciones emitidas. En cuanto a resultados operativos, Pérez Cruz informó avances relevantes en comparación con 2024: los feminicidios disminuyeron 33%, los homicidios dolosos 29%, las lesiones dolosas 15%, el robo a casa habitación 58%, el robo a transeúnte 26%, el robo a transporte de carga 28% y el robo de vehículos 40%. Asimismo, fueron puestos a disposición del Ministerio Público 778 presuntos responsables de delitos de alto impacto, mientras que 1,780 infractores fueron remitidos al juez cívico. El edil destacó que la estrategia se diseñó “desde el territorio y para el territorio”, analizando factores como densidad poblacional, nivel de riesgo, dinámicas comunitarias y patrones delictivos, lo que permitió focalizar recursos y fortalecer la presencia policial en las zonas prioritarias. Como parte de la profesionalización, 200 policías fueron capacitados en Competencias Básicas de la Función Policial y 300 participaron en los cursos de Informe Policial Homologado y Registro Nacional de Detenciones. Informó que se adquirieron 160 unidades, 20 motocicletas y se entregaron 2,500 uniformes a 1,241 elementos, con una inversión superior a 220 millones de pesos. Pérez Cruz subrayó que estos resultados sientan las bases para consolidar la Construcción de Paz en Tlalnepantla y recuperar la confianza de la ciudadanía en sus cuerpos de seguridad. No hay etiquetas asociadas a éste artículo.</v>
      </c>
      <c r="O143" s="15">
        <f>IFERROR(__xludf.DUMMYFUNCTION("""COMPUTED_VALUE"""),0.4766)</f>
        <v>0.4766</v>
      </c>
      <c r="P143" s="2"/>
      <c r="Q143" s="17">
        <f>IFERROR(__xludf.DUMMYFUNCTION("""COMPUTED_VALUE"""),7.0)</f>
        <v>7</v>
      </c>
      <c r="R143" s="2" t="str">
        <f>IFERROR(__xludf.DUMMYFUNCTION("""COMPUTED_VALUE"""),"Low")</f>
        <v>Low</v>
      </c>
      <c r="S143" s="17">
        <f>IFERROR(__xludf.DUMMYFUNCTION("""COMPUTED_VALUE"""),0.0)</f>
        <v>0</v>
      </c>
      <c r="T143" s="17">
        <f>IFERROR(__xludf.DUMMYFUNCTION("""COMPUTED_VALUE"""),0.0)</f>
        <v>0</v>
      </c>
      <c r="U143" s="14">
        <f>IFERROR(__xludf.DUMMYFUNCTION("""COMPUTED_VALUE"""),2.0)</f>
        <v>2</v>
      </c>
      <c r="V143" s="14">
        <v>2025.0</v>
      </c>
      <c r="W143" s="2" t="s">
        <v>1206</v>
      </c>
      <c r="X143" s="2" t="s">
        <v>1188</v>
      </c>
      <c r="Y143" s="13" t="s">
        <v>596</v>
      </c>
      <c r="Z143" s="14">
        <v>0.0</v>
      </c>
      <c r="AA143" s="14">
        <v>0.0</v>
      </c>
      <c r="AB143" s="14">
        <v>0.0</v>
      </c>
      <c r="AC143" s="14">
        <v>0.0</v>
      </c>
      <c r="AD143" s="2">
        <v>0.0</v>
      </c>
      <c r="AE143" s="2">
        <v>1.0</v>
      </c>
      <c r="AF143" s="2">
        <v>11.0</v>
      </c>
      <c r="AG143" s="2" t="s">
        <v>1219</v>
      </c>
      <c r="AH143" s="2">
        <v>0.0</v>
      </c>
    </row>
    <row r="144" ht="15.75" customHeight="1">
      <c r="A144" s="2" t="str">
        <f>IFERROR(__xludf.DUMMYFUNCTION("""COMPUTED_VALUE"""),"Diario Portal")</f>
        <v>Diario Portal</v>
      </c>
      <c r="B144" s="12" t="str">
        <f>IFERROR(__xludf.DUMMYFUNCTION("""COMPUTED_VALUE"""),"Ya son 725 los predios restituidos a legítimos propietarios en Edomex tras despojo")</f>
        <v>Ya son 725 los predios restituidos a legítimos propietarios en Edomex tras despojo</v>
      </c>
      <c r="C144" s="13" t="str">
        <f>IFERROR(__xludf.DUMMYFUNCTION("""COMPUTED_VALUE"""),"2025-11-30 17:37:09")</f>
        <v>2025-11-30 17:37:09</v>
      </c>
      <c r="D144" s="14">
        <f>IFERROR(__xludf.DUMMYFUNCTION("""COMPUTED_VALUE"""),2.0)</f>
        <v>2</v>
      </c>
      <c r="E144" s="15">
        <f>IFERROR(__xludf.DUMMYFUNCTION("""COMPUTED_VALUE"""),0.0)</f>
        <v>0</v>
      </c>
      <c r="F144" s="2" t="str">
        <f>IFERROR(__xludf.DUMMYFUNCTION("""COMPUTED_VALUE"""),"Neutral")</f>
        <v>Neutral</v>
      </c>
      <c r="G144" s="15">
        <f>IFERROR(__xludf.DUMMYFUNCTION("""COMPUTED_VALUE"""),0.5725)</f>
        <v>0.5725</v>
      </c>
      <c r="H144" s="2" t="str">
        <f>IFERROR(__xludf.DUMMYFUNCTION("""COMPUTED_VALUE"""),"Operativo policial o detención")</f>
        <v>Operativo policial o detención</v>
      </c>
      <c r="I144" s="2" t="str">
        <f>IFERROR(__xludf.DUMMYFUNCTION("""COMPUTED_VALUE"""),"N/A")</f>
        <v>N/A</v>
      </c>
      <c r="J144" s="2" t="str">
        <f>IFERROR(__xludf.DUMMYFUNCTION("""COMPUTED_VALUE"""),"Monitoreo general.")</f>
        <v>Monitoreo general.</v>
      </c>
      <c r="K144" s="2" t="str">
        <f>IFERROR(__xludf.DUMMYFUNCTION("""COMPUTED_VALUE"""),"Estado de México")</f>
        <v>Estado de México</v>
      </c>
      <c r="L144" s="2" t="str">
        <f>IFERROR(__xludf.DUMMYFUNCTION("""COMPUTED_VALUE"""),"Estado de México")</f>
        <v>Estado de México</v>
      </c>
      <c r="M144" s="16" t="str">
        <f>IFERROR(__xludf.DUMMYFUNCTION("""COMPUTED_VALUE"""),"https://diarioportal.com/seguridad-y-justicia/ya-son-725-los-predios-restituidos-a-legitimos-propietarios-en-edomex-tras-despojo")</f>
        <v>https://diarioportal.com/seguridad-y-justicia/ya-son-725-los-predios-restituidos-a-legitimos-propietarios-en-edomex-tras-despojo</v>
      </c>
      <c r="N144" s="2" t="str">
        <f>IFERROR(__xludf.DUMMYFUNCTION("""COMPUTED_VALUE"""),"Desde el mes de abril, cuando se implementó la Operación Restitución, a la fecha, han sido asegurados 1 mil 228 inmuebles relacionados con el delito de despojo y contra la propiedad en 63 municipios mexiquenses, de los que 725 han sido restituidos a sus l"&amp;"egítimos dueños. De acuerdo con la Fiscalía General de Justicia del Estado de México (FGJEM) las determinaciones de los agentes del Ministerio Público han permitido agilizar los procesos para que las víctimas recuperen sus propiedades sin tener que espera"&amp;"r el fallo de la autoridad judicial. De los 725 inmuebles devueltos hasta el momento, 664 de ellos son casas habitación, 59 predios y dos inmuebles dedicados a locales comerciales, sin embargo, el representante social continúa recibiendo documentación con"&amp;" la que los legítimos dueños están acreditando la propiedad con el fin de concretar su restitución. Además, en el periodo que comprende del 22 al 29 de noviembre, autoridades de los tres órdenes de gobierno realizaron acciones operativas en 13 municipios "&amp;"consistentes en técnicas de investigación de cateo e inspecciones en donde fueron aseguradas 38 propiedades. De acuerdo con la dependencia, con estas acciones permanentes que forman parte de la Estrategia para la Restitución de la Propiedad, además de que"&amp;" el representante social continúa recibiendo documentación con la que los legítimos dueños acrediten la propiedad con el fin de concretar su restitución. Las denuncias por la comisión de hechos constitutivos de delito relacionados con despojos fueron real"&amp;"izadas desde el año 2024 y años previos. En la Operación Restitución participan, además de la FGJEM, la Secretaría de la Defensa Nacional (DEFENSA), la Secretaría de Marina (MARINA), la Guardia Nacional (GN), la Secretaría de Seguridad estatal (SSEM) y po"&amp;"licías municipales. No hay etiquetas asociadas a éste artículo.")</f>
        <v>Desde el mes de abril, cuando se implementó la Operación Restitución, a la fecha, han sido asegurados 1 mil 228 inmuebles relacionados con el delito de despojo y contra la propiedad en 63 municipios mexiquenses, de los que 725 han sido restituidos a sus legítimos dueños. De acuerdo con la Fiscalía General de Justicia del Estado de México (FGJEM) las determinaciones de los agentes del Ministerio Público han permitido agilizar los procesos para que las víctimas recuperen sus propiedades sin tener que esperar el fallo de la autoridad judicial. De los 725 inmuebles devueltos hasta el momento, 664 de ellos son casas habitación, 59 predios y dos inmuebles dedicados a locales comerciales, sin embargo, el representante social continúa recibiendo documentación con la que los legítimos dueños están acreditando la propiedad con el fin de concretar su restitución. Además, en el periodo que comprende del 22 al 29 de noviembre, autoridades de los tres órdenes de gobierno realizaron acciones operativas en 13 municipios consistentes en técnicas de investigación de cateo e inspecciones en donde fueron aseguradas 38 propiedades. De acuerdo con la dependencia, con estas acciones permanentes que forman parte de la Estrategia para la Restitución de la Propiedad, además de que el representante social continúa recibiendo documentación con la que los legítimos dueños acrediten la propiedad con el fin de concretar su restitución. Las denuncias por la comisión de hechos constitutivos de delito relacionados con despojos fueron realizadas desde el año 2024 y años previos. En la Operación Restitución participan, además de la FGJEM, la Secretaría de la Defensa Nacional (DEFENSA), la Secretaría de Marina (MARINA), la Guardia Nacional (GN), la Secretaría de Seguridad estatal (SSEM) y policías municipales. No hay etiquetas asociadas a éste artículo.</v>
      </c>
      <c r="O144" s="15">
        <f>IFERROR(__xludf.DUMMYFUNCTION("""COMPUTED_VALUE"""),0.5484)</f>
        <v>0.5484</v>
      </c>
      <c r="P144" s="2"/>
      <c r="Q144" s="17">
        <f>IFERROR(__xludf.DUMMYFUNCTION("""COMPUTED_VALUE"""),6.0)</f>
        <v>6</v>
      </c>
      <c r="R144" s="2" t="str">
        <f>IFERROR(__xludf.DUMMYFUNCTION("""COMPUTED_VALUE"""),"High")</f>
        <v>High</v>
      </c>
      <c r="S144" s="17">
        <f>IFERROR(__xludf.DUMMYFUNCTION("""COMPUTED_VALUE"""),2.0)</f>
        <v>2</v>
      </c>
      <c r="T144" s="17">
        <f>IFERROR(__xludf.DUMMYFUNCTION("""COMPUTED_VALUE"""),0.0)</f>
        <v>0</v>
      </c>
      <c r="U144" s="14">
        <f>IFERROR(__xludf.DUMMYFUNCTION("""COMPUTED_VALUE"""),2.0)</f>
        <v>2</v>
      </c>
      <c r="V144" s="14">
        <v>2025.0</v>
      </c>
      <c r="W144" s="2" t="s">
        <v>1206</v>
      </c>
      <c r="X144" s="2" t="s">
        <v>1188</v>
      </c>
      <c r="Y144" s="13" t="s">
        <v>601</v>
      </c>
      <c r="Z144" s="14">
        <v>0.0</v>
      </c>
      <c r="AA144" s="14">
        <v>0.0</v>
      </c>
      <c r="AB144" s="14">
        <v>0.0</v>
      </c>
      <c r="AC144" s="14">
        <v>0.0</v>
      </c>
      <c r="AD144" s="2">
        <v>0.0</v>
      </c>
      <c r="AE144" s="2">
        <v>0.0</v>
      </c>
      <c r="AF144" s="2">
        <v>11.0</v>
      </c>
      <c r="AG144" s="2" t="s">
        <v>1202</v>
      </c>
      <c r="AH144" s="2">
        <v>0.0</v>
      </c>
    </row>
    <row r="145" ht="15.75" customHeight="1">
      <c r="A145" s="2" t="str">
        <f>IFERROR(__xludf.DUMMYFUNCTION("""COMPUTED_VALUE"""),"Diario Portal")</f>
        <v>Diario Portal</v>
      </c>
      <c r="B145" s="12" t="str">
        <f>IFERROR(__xludf.DUMMYFUNCTION("""COMPUTED_VALUE"""),"Abren línea de asesoría telefónica a conductores infraccionados por faltas al  reglamento de tránsito")</f>
        <v>Abren línea de asesoría telefónica a conductores infraccionados por faltas al  reglamento de tránsito</v>
      </c>
      <c r="C145" s="13" t="str">
        <f>IFERROR(__xludf.DUMMYFUNCTION("""COMPUTED_VALUE"""),"Sin Fecha")</f>
        <v>Sin Fecha</v>
      </c>
      <c r="D145" s="14">
        <f>IFERROR(__xludf.DUMMYFUNCTION("""COMPUTED_VALUE"""),2.0)</f>
        <v>2</v>
      </c>
      <c r="E145" s="15">
        <f>IFERROR(__xludf.DUMMYFUNCTION("""COMPUTED_VALUE"""),0.0)</f>
        <v>0</v>
      </c>
      <c r="F145" s="2" t="str">
        <f>IFERROR(__xludf.DUMMYFUNCTION("""COMPUTED_VALUE"""),"Neutral")</f>
        <v>Neutral</v>
      </c>
      <c r="G145" s="15">
        <f>IFERROR(__xludf.DUMMYFUNCTION("""COMPUTED_VALUE"""),0.7695)</f>
        <v>0.7695</v>
      </c>
      <c r="H145" s="2" t="str">
        <f>IFERROR(__xludf.DUMMYFUNCTION("""COMPUTED_VALUE"""),"Operativo policial o detención")</f>
        <v>Operativo policial o detención</v>
      </c>
      <c r="I145" s="2" t="str">
        <f>IFERROR(__xludf.DUMMYFUNCTION("""COMPUTED_VALUE"""),"N/A")</f>
        <v>N/A</v>
      </c>
      <c r="J145" s="2" t="str">
        <f>IFERROR(__xludf.DUMMYFUNCTION("""COMPUTED_VALUE"""),"Monitoreo general.")</f>
        <v>Monitoreo general.</v>
      </c>
      <c r="K145" s="2" t="str">
        <f>IFERROR(__xludf.DUMMYFUNCTION("""COMPUTED_VALUE"""),"Estado de México")</f>
        <v>Estado de México</v>
      </c>
      <c r="L145" s="2" t="str">
        <f>IFERROR(__xludf.DUMMYFUNCTION("""COMPUTED_VALUE"""),"Estado de México")</f>
        <v>Estado de México</v>
      </c>
      <c r="M145" s="16" t="str">
        <f>IFERROR(__xludf.DUMMYFUNCTION("""COMPUTED_VALUE"""),"https://diarioportal.com/seguridad-y-justicia/abren-linea-de-asesoria-telefonica-a-conductores-infraccionados-por-faltas-al-reglamento-de-transito")</f>
        <v>https://diarioportal.com/seguridad-y-justicia/abren-linea-de-asesoria-telefonica-a-conductores-infraccionados-por-faltas-al-reglamento-de-transito</v>
      </c>
      <c r="N145" s="2" t="str">
        <f>IFERROR(__xludf.DUMMYFUNCTION("""COMPUTED_VALUE"""),"La Secretaría de Seguridad del Estado de México (SSEM) habilitó asesoría telefónica y módulos de atención para consultar infracciones de tránsito, el fin es contar con canales de comunicación en los cuales se puedan externar dudas técnicas y jurídicas rel"&amp;"acionadas con el Reglamento de Tránsito de la entidad que ya entró en vigor, así como realizar algún reporte ante actos de corrupción. La ‘Línea de Infracción Transparente’ 800 900 3300, está disponible los 365 días del año, las 24 horas del día. De igual"&amp;" manera, se instalaron seis módulos de atención que tienen un horario de 9:00 a 18:00 horas, de lunes a viernes, en estos últimos se podrá verificar si su vehículo cuenta con una infracción en la entidad, imprimir recibo de pago, reportar cualquier hecho "&amp;"de corrupción, y obtener asesoría, las direcciones son: 1.- Toluca, calle Urawa Núm. 100, puerta A-1 Col. Izcalli IPIEM, C.P. 50150. 2.- Valle de Bravo, boulevard Juan Herrera y Piña Núm. 101, Col. El Calvario, C.P. 51200. 3.- Atlacomulco, avenida Ing. Lu"&amp;"is Galindo Ruíz Núm. 312, Edif. B puerta B-102 Col. Isidro Fabela, C.P. 50454. 4.-Cuautitlán Izcalli, avenida Primero de Mayo sin núm. Col. Centro Urbano, C.P. 54700. 5.- Naucalpan, Paseo de los Mexicas Núm. 63, Col. Santa Cruz Acatlán, C.P. 53150. 6.- Ne"&amp;"zahualcóyotl, avenida Sor Juana Inés de la Cruz Núm. 100, Col. Metropolitana Segunda Sec., C.P. 57740. Es importante mencionar que en completo apego a la norma, la persona que cuente con una multa obtiene el 50% de descuento dentro de los quince días hábi"&amp;"les siguientes a la emisión o notificación en domicilio de la infracción. No hay etiquetas asociadas a éste artículo.")</f>
        <v>La Secretaría de Seguridad del Estado de México (SSEM) habilitó asesoría telefónica y módulos de atención para consultar infracciones de tránsito, el fin es contar con canales de comunicación en los cuales se puedan externar dudas técnicas y jurídicas relacionadas con el Reglamento de Tránsito de la entidad que ya entró en vigor, así como realizar algún reporte ante actos de corrupción. La ‘Línea de Infracción Transparente’ 800 900 3300, está disponible los 365 días del año, las 24 horas del día. De igual manera, se instalaron seis módulos de atención que tienen un horario de 9:00 a 18:00 horas, de lunes a viernes, en estos últimos se podrá verificar si su vehículo cuenta con una infracción en la entidad, imprimir recibo de pago, reportar cualquier hecho de corrupción, y obtener asesoría, las direcciones son: 1.- Toluca, calle Urawa Núm. 100, puerta A-1 Col. Izcalli IPIEM, C.P. 50150. 2.- Valle de Bravo, boulevard Juan Herrera y Piña Núm. 101, Col. El Calvario, C.P. 51200. 3.- Atlacomulco, avenida Ing. Luis Galindo Ruíz Núm. 312, Edif. B puerta B-102 Col. Isidro Fabela, C.P. 50454. 4.-Cuautitlán Izcalli, avenida Primero de Mayo sin núm. Col. Centro Urbano, C.P. 54700. 5.- Naucalpan, Paseo de los Mexicas Núm. 63, Col. Santa Cruz Acatlán, C.P. 53150. 6.- Nezahualcóyotl, avenida Sor Juana Inés de la Cruz Núm. 100, Col. Metropolitana Segunda Sec., C.P. 57740. Es importante mencionar que en completo apego a la norma, la persona que cuente con una multa obtiene el 50% de descuento dentro de los quince días hábiles siguientes a la emisión o notificación en domicilio de la infracción. No hay etiquetas asociadas a éste artículo.</v>
      </c>
      <c r="O145" s="15">
        <f>IFERROR(__xludf.DUMMYFUNCTION("""COMPUTED_VALUE"""),0.3062)</f>
        <v>0.3062</v>
      </c>
      <c r="P145" s="2"/>
      <c r="Q145" s="17">
        <f>IFERROR(__xludf.DUMMYFUNCTION("""COMPUTED_VALUE"""),5.0)</f>
        <v>5</v>
      </c>
      <c r="R145" s="2" t="str">
        <f>IFERROR(__xludf.DUMMYFUNCTION("""COMPUTED_VALUE"""),"Low")</f>
        <v>Low</v>
      </c>
      <c r="S145" s="17">
        <f>IFERROR(__xludf.DUMMYFUNCTION("""COMPUTED_VALUE"""),0.0)</f>
        <v>0</v>
      </c>
      <c r="T145" s="17">
        <f>IFERROR(__xludf.DUMMYFUNCTION("""COMPUTED_VALUE"""),0.0)</f>
        <v>0</v>
      </c>
      <c r="U145" s="14">
        <f>IFERROR(__xludf.DUMMYFUNCTION("""COMPUTED_VALUE"""),2.0)</f>
        <v>2</v>
      </c>
      <c r="V145" s="14" t="s">
        <v>1186</v>
      </c>
      <c r="W145" s="2" t="s">
        <v>190</v>
      </c>
      <c r="X145" s="2" t="s">
        <v>190</v>
      </c>
      <c r="Y145" s="13"/>
      <c r="Z145" s="14">
        <v>0.0</v>
      </c>
      <c r="AA145" s="14">
        <v>0.0</v>
      </c>
      <c r="AB145" s="14">
        <v>0.0</v>
      </c>
      <c r="AC145" s="14">
        <v>0.0</v>
      </c>
      <c r="AD145" s="2">
        <v>0.0</v>
      </c>
      <c r="AE145" s="2">
        <v>0.0</v>
      </c>
      <c r="AF145" s="2" t="s">
        <v>1186</v>
      </c>
      <c r="AG145" s="2" t="s">
        <v>1202</v>
      </c>
      <c r="AH145" s="2">
        <v>0.0</v>
      </c>
    </row>
    <row r="146" ht="15.75" customHeight="1">
      <c r="A146" s="2" t="str">
        <f>IFERROR(__xludf.DUMMYFUNCTION("""COMPUTED_VALUE"""),"Diario Portal")</f>
        <v>Diario Portal</v>
      </c>
      <c r="B146" s="12" t="str">
        <f>IFERROR(__xludf.DUMMYFUNCTION("""COMPUTED_VALUE"""),"POR DESAPARICIÓN FORZADA DE PERSONAS Y HOMICIDIO DE UN CIUDADANO DE ORIGEN CHINO, FISCALÍA EDOMÉX OBTIENE VINCULACIÓN A PROCESO CONTRA UN SUJETO")</f>
        <v>POR DESAPARICIÓN FORZADA DE PERSONAS Y HOMICIDIO DE UN CIUDADANO DE ORIGEN CHINO, FISCALÍA EDOMÉX OBTIENE VINCULACIÓN A PROCESO CONTRA UN SUJETO</v>
      </c>
      <c r="C146" s="13" t="str">
        <f>IFERROR(__xludf.DUMMYFUNCTION("""COMPUTED_VALUE"""),"2025-11-29 15:59:14")</f>
        <v>2025-11-29 15:59:14</v>
      </c>
      <c r="D146" s="14">
        <f>IFERROR(__xludf.DUMMYFUNCTION("""COMPUTED_VALUE"""),4.0)</f>
        <v>4</v>
      </c>
      <c r="E146" s="15">
        <f>IFERROR(__xludf.DUMMYFUNCTION("""COMPUTED_VALUE"""),-0.711)</f>
        <v>-0.711</v>
      </c>
      <c r="F146" s="2" t="str">
        <f>IFERROR(__xludf.DUMMYFUNCTION("""COMPUTED_VALUE"""),"Negativo")</f>
        <v>Negativo</v>
      </c>
      <c r="G146" s="15">
        <f>IFERROR(__xludf.DUMMYFUNCTION("""COMPUTED_VALUE"""),0.711)</f>
        <v>0.711</v>
      </c>
      <c r="H146" s="2" t="str">
        <f>IFERROR(__xludf.DUMMYFUNCTION("""COMPUTED_VALUE"""),"Delito violento, robo o asalto")</f>
        <v>Delito violento, robo o asalto</v>
      </c>
      <c r="I146" s="2" t="str">
        <f>IFERROR(__xludf.DUMMYFUNCTION("""COMPUTED_VALUE"""),"homicidio")</f>
        <v>homicidio</v>
      </c>
      <c r="J146" s="2" t="str">
        <f>IFERROR(__xludf.DUMMYFUNCTION("""COMPUTED_VALUE"""),"Prevención PAX: Contactos de confianza.")</f>
        <v>Prevención PAX: Contactos de confianza.</v>
      </c>
      <c r="K146" s="2" t="str">
        <f>IFERROR(__xludf.DUMMYFUNCTION("""COMPUTED_VALUE"""),"Estado de México")</f>
        <v>Estado de México</v>
      </c>
      <c r="L146" s="2" t="str">
        <f>IFERROR(__xludf.DUMMYFUNCTION("""COMPUTED_VALUE"""),"Estado de México")</f>
        <v>Estado de México</v>
      </c>
      <c r="M146" s="16" t="str">
        <f>IFERROR(__xludf.DUMMYFUNCTION("""COMPUTED_VALUE"""),"https://diarioportal.com/seguridad-y-justicia/por-desaparicion-forzada-de-personas-y-homicidio-de-un-ciudadano-de-origen-chino-fiscalia-edomex-obtiene-vinculacion-a-proceso-contra-un-sujeto")</f>
        <v>https://diarioportal.com/seguridad-y-justicia/por-desaparicion-forzada-de-personas-y-homicidio-de-un-ciudadano-de-origen-chino-fiscalia-edomex-obtiene-vinculacion-a-proceso-contra-un-sujeto</v>
      </c>
      <c r="N146" s="2" t="str">
        <f>IFERROR(__xludf.DUMMYFUNCTION("""COMPUTED_VALUE"""),"Un Juez con sede en Tlalnepantla, dictó auto de vinculación a proceso en contra de Eduardo “N”, luego de que la Fiscalía General de Justicia del Estado de México (FGJEM) aportara los elementos suficientes que demuestran su presunta responsabilidad en los "&amp;"delitos de robo de vehículo con violencia; desaparición cometida por particulares con la agravante de que la persona falleció a consecuencia de la desaparición y de que mantenía una relación laboral con la víctima. Según se ha podido establecer mediante l"&amp;"as investigaciones efectuadas por esta Institución, el 31 de octubre de 2020, las víctimas, un hombre y una mujer, ambos de nacionalidad china, circulaban a bordo de un vehículo en la vialidad Sendero Escolar, Rancho Blanco, Espíritu Santo perteneciente a"&amp;"l municipio de Jilotzingo, en compañía de uno de sus empleados y otros sujetos más, entre ellos el hoy detenido, quienes en algún momento amenazaron con armas de fuego y luego agredieron las víctimas. Después, privaron de la libertad a la víctima de sexo "&amp;"masculino, en tanto que a la mujer la golpearon, amordazaron y la abandonaron en un lugar boscoso. La mujer logró pedir ayuda y alertar a las autoridades quienes iniciaron la investigación correspondiente, en tanto que el cuerpo del masculino fue encontra"&amp;"do días después. Con el avance en las investigaciones ministeriales, fue posible determinar la identidad de los posibles partícipes en estos hechos, entre ellos Eduardo “N”, quien fue detenido e ingresado al Centro Penitenciario y de Reinserción Social de"&amp;" la zona, a disposición de la Autoridad Judicial, quien, tras valorar las pruebas ofrecidas por la Fiscalía de Justicia del Estado, determinó vincularlo a proceso. Por tal motivo estableció un plazo de tres meses para el cierre de la investigación complem"&amp;"entaria y le fijó como medida cautelar al imputado, prisión preventiva. A esta persona se le deberá considerar inocente hasta en tanto una autoridad determine lo contrario. La Fiscalía General de Justicia del Estado de México pone a disposición de la ciud"&amp;"adanía el correo electrónico cerotolerancia@fiscaliaedomex.gob.mx, el número telefónico 800 7028770, o bien, la aplicación FGJEdomex, la cual está disponible de manera gratuita para los teléfonos inteligentes de los sistemas iOS y Android, para que denunc"&amp;"ie cualquier hecho delictivo. No hay etiquetas asociadas a éste artículo.")</f>
        <v>Un Juez con sede en Tlalnepantla, dictó auto de vinculación a proceso en contra de Eduardo “N”, luego de que la Fiscalía General de Justicia del Estado de México (FGJEM) aportara los elementos suficientes que demuestran su presunta responsabilidad en los delitos de robo de vehículo con violencia; desaparición cometida por particulares con la agravante de que la persona falleció a consecuencia de la desaparición y de que mantenía una relación laboral con la víctima. Según se ha podido establecer mediante las investigaciones efectuadas por esta Institución, el 31 de octubre de 2020, las víctimas, un hombre y una mujer, ambos de nacionalidad china, circulaban a bordo de un vehículo en la vialidad Sendero Escolar, Rancho Blanco, Espíritu Santo perteneciente al municipio de Jilotzingo, en compañía de uno de sus empleados y otros sujetos más, entre ellos el hoy detenido, quienes en algún momento amenazaron con armas de fuego y luego agredieron las víctimas. Después, privaron de la libertad a la víctima de sexo masculino, en tanto que a la mujer la golpearon, amordazaron y la abandonaron en un lugar boscoso. La mujer logró pedir ayuda y alertar a las autoridades quienes iniciaron la investigación correspondiente, en tanto que el cuerpo del masculino fue encontrado días después. Con el avance en las investigaciones ministeriales, fue posible determinar la identidad de los posibles partícipes en estos hechos, entre ellos Eduardo “N”, quien fue detenido e ingresado al Centro Penitenciario y de Reinserción Social de la zona, a disposición de la Autoridad Judicial, quien, tras valorar las pruebas ofrecidas por la Fiscalía de Justicia del Estado, determinó vincularlo a proceso. Por tal motivo estableció un plazo de tres meses para el cierre de la investigación complementaria y le fijó como medida cautelar al imputado, prisión preventiva. A esta persona se le deberá considerar inocente hasta en tanto una autoridad determine lo contrario.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46" s="15">
        <f>IFERROR(__xludf.DUMMYFUNCTION("""COMPUTED_VALUE"""),1.0)</f>
        <v>1</v>
      </c>
      <c r="P146" s="2"/>
      <c r="Q146" s="17">
        <f>IFERROR(__xludf.DUMMYFUNCTION("""COMPUTED_VALUE"""),8.0)</f>
        <v>8</v>
      </c>
      <c r="R146" s="2" t="str">
        <f>IFERROR(__xludf.DUMMYFUNCTION("""COMPUTED_VALUE"""),"High")</f>
        <v>High</v>
      </c>
      <c r="S146" s="17">
        <f>IFERROR(__xludf.DUMMYFUNCTION("""COMPUTED_VALUE"""),4.0)</f>
        <v>4</v>
      </c>
      <c r="T146" s="17">
        <f>IFERROR(__xludf.DUMMYFUNCTION("""COMPUTED_VALUE"""),0.0)</f>
        <v>0</v>
      </c>
      <c r="U146" s="14">
        <f>IFERROR(__xludf.DUMMYFUNCTION("""COMPUTED_VALUE"""),2.0)</f>
        <v>2</v>
      </c>
      <c r="V146" s="14">
        <v>2025.0</v>
      </c>
      <c r="W146" s="2" t="s">
        <v>1206</v>
      </c>
      <c r="X146" s="2" t="s">
        <v>1194</v>
      </c>
      <c r="Y146" s="13" t="s">
        <v>608</v>
      </c>
      <c r="Z146" s="14">
        <v>0.0</v>
      </c>
      <c r="AA146" s="14">
        <v>0.0</v>
      </c>
      <c r="AB146" s="14">
        <v>0.0</v>
      </c>
      <c r="AC146" s="14">
        <v>0.0</v>
      </c>
      <c r="AD146" s="2">
        <v>0.0</v>
      </c>
      <c r="AE146" s="2">
        <v>1.0</v>
      </c>
      <c r="AF146" s="2">
        <v>11.0</v>
      </c>
      <c r="AG146" s="2" t="s">
        <v>1202</v>
      </c>
      <c r="AH146" s="2">
        <v>0.0</v>
      </c>
    </row>
    <row r="147" ht="15.75" customHeight="1">
      <c r="A147" s="2" t="str">
        <f>IFERROR(__xludf.DUMMYFUNCTION("""COMPUTED_VALUE"""),"Diario Portal")</f>
        <v>Diario Portal</v>
      </c>
      <c r="B147" s="12" t="str">
        <f>IFERROR(__xludf.DUMMYFUNCTION("""COMPUTED_VALUE"""),"OBTIENE FISCALÍA EDOMÉX VINCULACIÓN A PROCESO EN CONTRA DE GUILLERMO “N”, OBJETIVO PRIORITARIO DE LA OPERACIÓN ""CAUDAL""")</f>
        <v>OBTIENE FISCALÍA EDOMÉX VINCULACIÓN A PROCESO EN CONTRA DE GUILLERMO “N”, OBJETIVO PRIORITARIO DE LA OPERACIÓN "CAUDAL"</v>
      </c>
      <c r="C147" s="13" t="str">
        <f>IFERROR(__xludf.DUMMYFUNCTION("""COMPUTED_VALUE"""),"2025-11-29 15:53:02")</f>
        <v>2025-11-29 15:53:02</v>
      </c>
      <c r="D147" s="14">
        <f>IFERROR(__xludf.DUMMYFUNCTION("""COMPUTED_VALUE"""),2.0)</f>
        <v>2</v>
      </c>
      <c r="E147" s="15">
        <f>IFERROR(__xludf.DUMMYFUNCTION("""COMPUTED_VALUE"""),-0.6026)</f>
        <v>-0.6026</v>
      </c>
      <c r="F147" s="2" t="str">
        <f>IFERROR(__xludf.DUMMYFUNCTION("""COMPUTED_VALUE"""),"Negativo")</f>
        <v>Negativo</v>
      </c>
      <c r="G147" s="15">
        <f>IFERROR(__xludf.DUMMYFUNCTION("""COMPUTED_VALUE"""),0.6026)</f>
        <v>0.6026</v>
      </c>
      <c r="H147" s="2" t="str">
        <f>IFERROR(__xludf.DUMMYFUNCTION("""COMPUTED_VALUE"""),"Operativo policial o detención")</f>
        <v>Operativo policial o detención</v>
      </c>
      <c r="I147" s="2" t="str">
        <f>IFERROR(__xludf.DUMMYFUNCTION("""COMPUTED_VALUE"""),"N/A")</f>
        <v>N/A</v>
      </c>
      <c r="J147" s="2" t="str">
        <f>IFERROR(__xludf.DUMMYFUNCTION("""COMPUTED_VALUE"""),"Monitoreo general.")</f>
        <v>Monitoreo general.</v>
      </c>
      <c r="K147" s="2" t="str">
        <f>IFERROR(__xludf.DUMMYFUNCTION("""COMPUTED_VALUE"""),"Estado de México")</f>
        <v>Estado de México</v>
      </c>
      <c r="L147" s="2" t="str">
        <f>IFERROR(__xludf.DUMMYFUNCTION("""COMPUTED_VALUE"""),"Estado de México")</f>
        <v>Estado de México</v>
      </c>
      <c r="M147" s="16" t="str">
        <f>IFERROR(__xludf.DUMMYFUNCTION("""COMPUTED_VALUE"""),"https://diarioportal.com/seguridad-y-justicia/obtiene-fiscalia-edomex-vinculacion-a-proceso-en-contra-de-guillermo-n-objetivo-prioritario-de-la-operacion-caudal")</f>
        <v>https://diarioportal.com/seguridad-y-justicia/obtiene-fiscalia-edomex-vinculacion-a-proceso-en-contra-de-guillermo-n-objetivo-prioritario-de-la-operacion-caudal</v>
      </c>
      <c r="N147" s="2" t="str">
        <f>IFERROR(__xludf.DUMMYFUNCTION("""COMPUTED_VALUE"""),".La Fiscalía General de Justicia del Estado de México (FGJEM), obtuvo vinculación a proceso en contra de Guillermo “N”, por su presunta participación en el delito de extorsión, y quien era considerado un objetivo prioritario dentro de la Operación “Caudal"&amp;"”. Este sujeto fue detenido por el delito de extorsión por hechos presuntamente cometidos en agravio de una femenina en el municipio de Nezahualcóyotl y es investigado por su probable participación como ordenador de actividades delictivas en la cadena ilí"&amp;"cita de extracción, distribución y venta de agua en la entidad. De acuerdo a información recabada a través de actos de investigación, Guillermo “N” recibía instrucciones directas de alias “Gimy” y/o “Jimmy”, para instalar tomas clandestinas de agua potabl"&amp;"e en las redes oficiales y “administrar la venta y distribución de la ordeña” con el uso de pipas irregulares operadas por sus agremiados. Por lo anterior, Guillermo “N” es señalado como un integrante relevante del “Sindicato 22 de Octubre”. Luego de anal"&amp;"izar los datos recabados y aportados por el Agente del Ministerio Público, la Autoridad Judicial inició proceso legal en su contra y estableció un plazo para el cierre de investigación complementaria de dos meses, además ratificó la medida cautelar de pri"&amp;"sión preventiva. La Fiscalía General de Justicia del Estado de México pone a disposición de la ciudadanía el correo electrónico cerotolerancia@fiscaliaedomex.gob.mx, el número telefónico 800 7028770, o bien, la aplicación FGJEdomex, la cual está disponibl"&amp;"e de manera gratuita para los teléfonos inteligentes de los sistemas iOS y Android, para que denuncie cualquier hecho delictivo. No hay etiquetas asociadas a éste artículo.")</f>
        <v>.La Fiscalía General de Justicia del Estado de México (FGJEM), obtuvo vinculación a proceso en contra de Guillermo “N”, por su presunta participación en el delito de extorsión, y quien era considerado un objetivo prioritario dentro de la Operación “Caudal”. Este sujeto fue detenido por el delito de extorsión por hechos presuntamente cometidos en agravio de una femenina en el municipio de Nezahualcóyotl y es investigado por su probable participación como ordenador de actividades delictivas en la cadena ilícita de extracción, distribución y venta de agua en la entidad. De acuerdo a información recabada a través de actos de investigación, Guillermo “N” recibía instrucciones directas de alias “Gimy” y/o “Jimmy”, para instalar tomas clandestinas de agua potable en las redes oficiales y “administrar la venta y distribución de la ordeña” con el uso de pipas irregulares operadas por sus agremiados. Por lo anterior, Guillermo “N” es señalado como un integrante relevante del “Sindicato 22 de Octubre”. Luego de analizar los datos recabados y aportados por el Agente del Ministerio Público, la Autoridad Judicial inició proceso legal en su contra y estableció un plazo para el cierre de investigación complementaria de dos meses, además ratificó la medida cautelar de prisión preventiva.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47" s="15">
        <f>IFERROR(__xludf.DUMMYFUNCTION("""COMPUTED_VALUE"""),0.7058)</f>
        <v>0.7058</v>
      </c>
      <c r="P147" s="2"/>
      <c r="Q147" s="17">
        <f>IFERROR(__xludf.DUMMYFUNCTION("""COMPUTED_VALUE"""),8.0)</f>
        <v>8</v>
      </c>
      <c r="R147" s="2" t="str">
        <f>IFERROR(__xludf.DUMMYFUNCTION("""COMPUTED_VALUE"""),"High")</f>
        <v>High</v>
      </c>
      <c r="S147" s="17">
        <f>IFERROR(__xludf.DUMMYFUNCTION("""COMPUTED_VALUE"""),3.0)</f>
        <v>3</v>
      </c>
      <c r="T147" s="17">
        <f>IFERROR(__xludf.DUMMYFUNCTION("""COMPUTED_VALUE"""),0.0)</f>
        <v>0</v>
      </c>
      <c r="U147" s="14">
        <f>IFERROR(__xludf.DUMMYFUNCTION("""COMPUTED_VALUE"""),2.0)</f>
        <v>2</v>
      </c>
      <c r="V147" s="14">
        <v>2025.0</v>
      </c>
      <c r="W147" s="2" t="s">
        <v>1206</v>
      </c>
      <c r="X147" s="2" t="s">
        <v>1194</v>
      </c>
      <c r="Y147" s="13" t="s">
        <v>612</v>
      </c>
      <c r="Z147" s="14">
        <v>0.0</v>
      </c>
      <c r="AA147" s="14">
        <v>0.0</v>
      </c>
      <c r="AB147" s="14">
        <v>0.0</v>
      </c>
      <c r="AC147" s="14">
        <v>0.0</v>
      </c>
      <c r="AD147" s="2">
        <v>0.0</v>
      </c>
      <c r="AE147" s="2">
        <v>0.0</v>
      </c>
      <c r="AF147" s="2">
        <v>11.0</v>
      </c>
      <c r="AG147" s="2" t="s">
        <v>1202</v>
      </c>
      <c r="AH147" s="2">
        <v>0.0</v>
      </c>
    </row>
    <row r="148" ht="15.75" customHeight="1">
      <c r="A148" s="2" t="str">
        <f>IFERROR(__xludf.DUMMYFUNCTION("""COMPUTED_VALUE"""),"Diario Portal")</f>
        <v>Diario Portal</v>
      </c>
      <c r="B148" s="12" t="str">
        <f>IFERROR(__xludf.DUMMYFUNCTION("""COMPUTED_VALUE"""),"Frustran 90% de extorsiones en Edomex; impiden pagos por 10 mdp a criminales")</f>
        <v>Frustran 90% de extorsiones en Edomex; impiden pagos por 10 mdp a criminales</v>
      </c>
      <c r="C148" s="13" t="str">
        <f>IFERROR(__xludf.DUMMYFUNCTION("""COMPUTED_VALUE"""),"Sin Fecha")</f>
        <v>Sin Fecha</v>
      </c>
      <c r="D148" s="14">
        <f>IFERROR(__xludf.DUMMYFUNCTION("""COMPUTED_VALUE"""),2.0)</f>
        <v>2</v>
      </c>
      <c r="E148" s="15">
        <f>IFERROR(__xludf.DUMMYFUNCTION("""COMPUTED_VALUE"""),0.0)</f>
        <v>0</v>
      </c>
      <c r="F148" s="2" t="str">
        <f>IFERROR(__xludf.DUMMYFUNCTION("""COMPUTED_VALUE"""),"Neutral")</f>
        <v>Neutral</v>
      </c>
      <c r="G148" s="15">
        <f>IFERROR(__xludf.DUMMYFUNCTION("""COMPUTED_VALUE"""),0.4936)</f>
        <v>0.4936</v>
      </c>
      <c r="H148" s="2" t="str">
        <f>IFERROR(__xludf.DUMMYFUNCTION("""COMPUTED_VALUE"""),"Operativo policial o detención")</f>
        <v>Operativo policial o detención</v>
      </c>
      <c r="I148" s="2" t="str">
        <f>IFERROR(__xludf.DUMMYFUNCTION("""COMPUTED_VALUE"""),"N/A")</f>
        <v>N/A</v>
      </c>
      <c r="J148" s="2" t="str">
        <f>IFERROR(__xludf.DUMMYFUNCTION("""COMPUTED_VALUE"""),"Monitoreo general.")</f>
        <v>Monitoreo general.</v>
      </c>
      <c r="K148" s="2" t="str">
        <f>IFERROR(__xludf.DUMMYFUNCTION("""COMPUTED_VALUE"""),"Estado de México")</f>
        <v>Estado de México</v>
      </c>
      <c r="L148" s="2" t="str">
        <f>IFERROR(__xludf.DUMMYFUNCTION("""COMPUTED_VALUE"""),"Estado de México")</f>
        <v>Estado de México</v>
      </c>
      <c r="M148" s="16" t="str">
        <f>IFERROR(__xludf.DUMMYFUNCTION("""COMPUTED_VALUE"""),"https://diarioportal.com/seguridad-y-justicia/frustran-90-de-extorsiones-en-edomex-impiden-pagos-por-10-mdp-a-criminales")</f>
        <v>https://diarioportal.com/seguridad-y-justicia/frustran-90-de-extorsiones-en-edomex-impiden-pagos-por-10-mdp-a-criminales</v>
      </c>
      <c r="N148" s="2" t="str">
        <f>IFERROR(__xludf.DUMMYFUNCTION("""COMPUTED_VALUE"""),"El trabajo coordinado entre los tres órdenes de gobierno, que se impulsa en las Mesas de Paz encabezadas por la gobernadora Delfina Gómez Álvarez, permitió que en el Estado de México se evitara que casi 10 millones de pesos llegaran a manos de extorsionad"&amp;"ores. En el reporte presentado por la Secretaría de Seguridad del Estado de México, se informó que esta cifra corresponde al periodo del 20 al 26 de noviembre y representa el 90% del total exigido, lo que es posible gracias a la oportuna denuncia ciudadan"&amp;"a que ayuda a las autoridades a actuar de manera inmediata. Además, se dio a conocer que se han recibido 860 denuncias relacionadas con extorsión y fraude telefónico, lo que ayuda a generar alertas tempranas y afinar las estrategias de prevención. El modo"&amp;" de operación más recurrente es la emisión de amenazas o mensajes de intimidación para presionar a las víctimas, seguido de casos donde personas delincuentes se hacen pasar por familiares o conocidos. Los municipios con mayor incidencia fueron Ecatepec, T"&amp;"oluca y Naucalpan, por lo que se refuerzan las acciones de inteligencia, prevención y difusión de medidas de autoprotección en esas zonas. Las autoridades hicieron un llamado a la población a denunciar cualquier intento de extorsión o llamada sospechosa a"&amp;"l 089 y 911, recordando que la denuncia es la herramienta más efectiva para combatir estos delitos. También se invitó a compartir la información con familiares y conocidos, a fin de prevenir que más personas sean víctimas. En la sesión 224 de la Mesa de P"&amp;"az participaron Horacio Duarte Olivares, Secretario General de Gobierno; Cristóbal Castañeda Camarillo, Secretario de Seguridad; Maricela López Urbina, Secretaria Técnica; José Luis Cervantes Martínez, Fiscal General de Justicia del Estado de México; así "&amp;"como representantes de Defensa, Marina, Guardia Nacional y el Centro Nacional de Inteligencia. No hay etiquetas asociadas a éste artículo.")</f>
        <v>El trabajo coordinado entre los tres órdenes de gobierno, que se impulsa en las Mesas de Paz encabezadas por la gobernadora Delfina Gómez Álvarez, permitió que en el Estado de México se evitara que casi 10 millones de pesos llegaran a manos de extorsionadores. En el reporte presentado por la Secretaría de Seguridad del Estado de México, se informó que esta cifra corresponde al periodo del 20 al 26 de noviembre y representa el 90% del total exigido, lo que es posible gracias a la oportuna denuncia ciudadana que ayuda a las autoridades a actuar de manera inmediata. Además, se dio a conocer que se han recibido 860 denuncias relacionadas con extorsión y fraude telefónico, lo que ayuda a generar alertas tempranas y afinar las estrategias de prevención. El modo de operación más recurrente es la emisión de amenazas o mensajes de intimidación para presionar a las víctimas, seguido de casos donde personas delincuentes se hacen pasar por familiares o conocidos. Los municipios con mayor incidencia fueron Ecatepec, Toluca y Naucalpan, por lo que se refuerzan las acciones de inteligencia, prevención y difusión de medidas de autoprotección en esas zonas. Las autoridades hicieron un llamado a la población a denunciar cualquier intento de extorsión o llamada sospechosa al 089 y 911, recordando que la denuncia es la herramienta más efectiva para combatir estos delitos. También se invitó a compartir la información con familiares y conocidos, a fin de prevenir que más personas sean víctimas. En la sesión 224 de la Mesa de Paz participaron Horacio Duarte Olivares, Secretario General de Gobierno; Cristóbal Castañeda Camarillo, Secretario de Seguridad; Maricela López Urbina, Secretaria Técnica; José Luis Cervantes Martínez, Fiscal General de Justicia del Estado de México; así como representantes de Defensa, Marina, Guardia Nacional y el Centro Nacional de Inteligencia. No hay etiquetas asociadas a éste artículo.</v>
      </c>
      <c r="O148" s="15">
        <f>IFERROR(__xludf.DUMMYFUNCTION("""COMPUTED_VALUE"""),0.3803)</f>
        <v>0.3803</v>
      </c>
      <c r="P148" s="2"/>
      <c r="Q148" s="17">
        <f>IFERROR(__xludf.DUMMYFUNCTION("""COMPUTED_VALUE"""),8.0)</f>
        <v>8</v>
      </c>
      <c r="R148" s="2" t="str">
        <f>IFERROR(__xludf.DUMMYFUNCTION("""COMPUTED_VALUE"""),"High")</f>
        <v>High</v>
      </c>
      <c r="S148" s="17">
        <f>IFERROR(__xludf.DUMMYFUNCTION("""COMPUTED_VALUE"""),3.0)</f>
        <v>3</v>
      </c>
      <c r="T148" s="17">
        <f>IFERROR(__xludf.DUMMYFUNCTION("""COMPUTED_VALUE"""),0.0)</f>
        <v>0</v>
      </c>
      <c r="U148" s="14">
        <f>IFERROR(__xludf.DUMMYFUNCTION("""COMPUTED_VALUE"""),2.0)</f>
        <v>2</v>
      </c>
      <c r="V148" s="14" t="s">
        <v>1186</v>
      </c>
      <c r="W148" s="2" t="s">
        <v>190</v>
      </c>
      <c r="X148" s="2" t="s">
        <v>190</v>
      </c>
      <c r="Y148" s="13"/>
      <c r="Z148" s="14">
        <v>0.0</v>
      </c>
      <c r="AA148" s="14">
        <v>0.0</v>
      </c>
      <c r="AB148" s="14">
        <v>0.0</v>
      </c>
      <c r="AC148" s="14">
        <v>0.0</v>
      </c>
      <c r="AD148" s="2">
        <v>0.0</v>
      </c>
      <c r="AE148" s="2">
        <v>0.0</v>
      </c>
      <c r="AF148" s="2" t="s">
        <v>1186</v>
      </c>
      <c r="AG148" s="2" t="s">
        <v>1202</v>
      </c>
      <c r="AH148" s="2">
        <v>0.0</v>
      </c>
    </row>
    <row r="149" ht="15.75" customHeight="1">
      <c r="A149" s="2" t="str">
        <f>IFERROR(__xludf.DUMMYFUNCTION("""COMPUTED_VALUE"""),"Diario Portal")</f>
        <v>Diario Portal</v>
      </c>
      <c r="B149" s="12" t="str">
        <f>IFERROR(__xludf.DUMMYFUNCTION("""COMPUTED_VALUE"""),"Integra GEM  a personas  sordas en  equipo de  seguridad")</f>
        <v>Integra GEM  a personas  sordas en  equipo de  seguridad</v>
      </c>
      <c r="C149" s="13" t="str">
        <f>IFERROR(__xludf.DUMMYFUNCTION("""COMPUTED_VALUE"""),"Sin Fecha")</f>
        <v>Sin Fecha</v>
      </c>
      <c r="D149" s="14">
        <f>IFERROR(__xludf.DUMMYFUNCTION("""COMPUTED_VALUE"""),4.0)</f>
        <v>4</v>
      </c>
      <c r="E149" s="15">
        <f>IFERROR(__xludf.DUMMYFUNCTION("""COMPUTED_VALUE"""),0.0)</f>
        <v>0</v>
      </c>
      <c r="F149" s="2" t="str">
        <f>IFERROR(__xludf.DUMMYFUNCTION("""COMPUTED_VALUE"""),"Neutral")</f>
        <v>Neutral</v>
      </c>
      <c r="G149" s="15">
        <f>IFERROR(__xludf.DUMMYFUNCTION("""COMPUTED_VALUE"""),0.4639)</f>
        <v>0.4639</v>
      </c>
      <c r="H149" s="2" t="str">
        <f>IFERROR(__xludf.DUMMYFUNCTION("""COMPUTED_VALUE"""),"Otros temas generales")</f>
        <v>Otros temas generales</v>
      </c>
      <c r="I149" s="2" t="str">
        <f>IFERROR(__xludf.DUMMYFUNCTION("""COMPUTED_VALUE"""),"N/A")</f>
        <v>N/A</v>
      </c>
      <c r="J149" s="2" t="str">
        <f>IFERROR(__xludf.DUMMYFUNCTION("""COMPUTED_VALUE"""),"Descartar / Baja prioridad.")</f>
        <v>Descartar / Baja prioridad.</v>
      </c>
      <c r="K149" s="2" t="str">
        <f>IFERROR(__xludf.DUMMYFUNCTION("""COMPUTED_VALUE"""),"Estado de México")</f>
        <v>Estado de México</v>
      </c>
      <c r="L149" s="2" t="str">
        <f>IFERROR(__xludf.DUMMYFUNCTION("""COMPUTED_VALUE"""),"Estado de México")</f>
        <v>Estado de México</v>
      </c>
      <c r="M149" s="16" t="str">
        <f>IFERROR(__xludf.DUMMYFUNCTION("""COMPUTED_VALUE"""),"https://diarioportal.com/seguridad-y-justicia/integra-gem-a-personas-sordas-en-equipo-de-seguridad")</f>
        <v>https://diarioportal.com/seguridad-y-justicia/integra-gem-a-personas-sordas-en-equipo-de-seguridad</v>
      </c>
      <c r="N149" s="2" t="str">
        <f>IFERROR(__xludf.DUMMYFUNCTION("""COMPUTED_VALUE"""),"El gobierno del Estado de México fomenta la inclusión y brinda las mismas oportunidades a todos los sectores de la población; por ello, cuenta con un grupo de personas sordas que apoyan en el combate a delitos al realizar labores de vigilancia e investiga"&amp;"ción en la Secretaría de Seguridad del Estado de México (SSEM). En el marco del Día Nacional de las Personas Sordas, la SSEM señala que este grupo especializado de vigilancia se encuentra en el Centro de Control, Comando, Comunicación, Cómputo y Calidad ("&amp;"C5) con sede en Toluca y está conformado por 13 personas: mujeres y hombres que se desempeñan en el área de inteligencia para tratar eventos de alto impacto, como robo de vehículos. Su discapacidad ha generado que sentidos como la vista se desarrollen en "&amp;"mayor medida, una cualidad que los ha llevado a que el 35% de los casos de éxito en el combate al robo de vehículo en la región de Valle de Toluca, que tiene el C5, sean de este equipo. En este entorno donde convergen tecnologías críticas, protocolos de s"&amp;"eguridad y atención operativa permanente, la participación del personal sordo aporta valor estratégico y operativo, especialmente cuando se le brinda acceso equitativo a la capacitación institucional. Es importante destacar que, para eficientar las labore"&amp;"s, se cuenta con disponibilidad de intérpretes especializados en Lengua de Señas Mexicana (LSM) durante cursos, talleres y programas de formación, lo que garantiza que el personal sordo reciba la misma información técnica, procedimental y normativa que el"&amp;" resto del personal operativo y administrativo. Asimismo, existe acceso a contenidos críticos de operación, tales como protocolos de emergencia, lineamientos de seguridad, uso de plataformas tecnológicas, herramientas de despacho, sistemas de videovigilan"&amp;"cia y software especializado. Esto asegura que su desempeño sea competente, seguro y alineado con los estándares institucionales. La inclusión plena del personal sordo en el ámbito laboral no solo constituye un mandato legal y un compromiso institucional "&amp;"con los derechos humanos, sino que también fortalece de manera significativa la operación, la calidad del servicio y el desarrollo profesional. Con estas acciones, el Gobierno de la Maestra Delfina Gómez Álvarez refrenda su compromiso para continuar la ad"&amp;"hesión de personas que abonen a la construcción y fortalecimiento del tejido social. No hay etiquetas asociadas a éste artículo.")</f>
        <v>El gobierno del Estado de México fomenta la inclusión y brinda las mismas oportunidades a todos los sectores de la población; por ello, cuenta con un grupo de personas sordas que apoyan en el combate a delitos al realizar labores de vigilancia e investigación en la Secretaría de Seguridad del Estado de México (SSEM). En el marco del Día Nacional de las Personas Sordas, la SSEM señala que este grupo especializado de vigilancia se encuentra en el Centro de Control, Comando, Comunicación, Cómputo y Calidad (C5) con sede en Toluca y está conformado por 13 personas: mujeres y hombres que se desempeñan en el área de inteligencia para tratar eventos de alto impacto, como robo de vehículos. Su discapacidad ha generado que sentidos como la vista se desarrollen en mayor medida, una cualidad que los ha llevado a que el 35% de los casos de éxito en el combate al robo de vehículo en la región de Valle de Toluca, que tiene el C5, sean de este equipo. En este entorno donde convergen tecnologías críticas, protocolos de seguridad y atención operativa permanente, la participación del personal sordo aporta valor estratégico y operativo, especialmente cuando se le brinda acceso equitativo a la capacitación institucional. Es importante destacar que, para eficientar las labores, se cuenta con disponibilidad de intérpretes especializados en Lengua de Señas Mexicana (LSM) durante cursos, talleres y programas de formación, lo que garantiza que el personal sordo reciba la misma información técnica, procedimental y normativa que el resto del personal operativo y administrativo. Asimismo, existe acceso a contenidos críticos de operación, tales como protocolos de emergencia, lineamientos de seguridad, uso de plataformas tecnológicas, herramientas de despacho, sistemas de videovigilancia y software especializado. Esto asegura que su desempeño sea competente, seguro y alineado con los estándares institucionales. La inclusión plena del personal sordo en el ámbito laboral no solo constituye un mandato legal y un compromiso institucional con los derechos humanos, sino que también fortalece de manera significativa la operación, la calidad del servicio y el desarrollo profesional. Con estas acciones, el Gobierno de la Maestra Delfina Gómez Álvarez refrenda su compromiso para continuar la adhesión de personas que abonen a la construcción y fortalecimiento del tejido social. No hay etiquetas asociadas a éste artículo.</v>
      </c>
      <c r="O149" s="15">
        <f>IFERROR(__xludf.DUMMYFUNCTION("""COMPUTED_VALUE"""),0.3412)</f>
        <v>0.3412</v>
      </c>
      <c r="P149" s="2"/>
      <c r="Q149" s="17">
        <f>IFERROR(__xludf.DUMMYFUNCTION("""COMPUTED_VALUE"""),5.0)</f>
        <v>5</v>
      </c>
      <c r="R149" s="2" t="str">
        <f>IFERROR(__xludf.DUMMYFUNCTION("""COMPUTED_VALUE"""),"Low")</f>
        <v>Low</v>
      </c>
      <c r="S149" s="17">
        <f>IFERROR(__xludf.DUMMYFUNCTION("""COMPUTED_VALUE"""),0.0)</f>
        <v>0</v>
      </c>
      <c r="T149" s="17">
        <f>IFERROR(__xludf.DUMMYFUNCTION("""COMPUTED_VALUE"""),0.0)</f>
        <v>0</v>
      </c>
      <c r="U149" s="14">
        <f>IFERROR(__xludf.DUMMYFUNCTION("""COMPUTED_VALUE"""),2.0)</f>
        <v>2</v>
      </c>
      <c r="V149" s="14" t="s">
        <v>1186</v>
      </c>
      <c r="W149" s="2" t="s">
        <v>190</v>
      </c>
      <c r="X149" s="2" t="s">
        <v>190</v>
      </c>
      <c r="Y149" s="13"/>
      <c r="Z149" s="14">
        <v>0.0</v>
      </c>
      <c r="AA149" s="14">
        <v>0.0</v>
      </c>
      <c r="AB149" s="14">
        <v>0.0</v>
      </c>
      <c r="AC149" s="14">
        <v>0.0</v>
      </c>
      <c r="AD149" s="2">
        <v>0.0</v>
      </c>
      <c r="AE149" s="2">
        <v>1.0</v>
      </c>
      <c r="AF149" s="2" t="s">
        <v>1186</v>
      </c>
      <c r="AG149" s="2" t="s">
        <v>1202</v>
      </c>
      <c r="AH149" s="2">
        <v>0.0</v>
      </c>
    </row>
    <row r="150" ht="15.75" customHeight="1">
      <c r="A150" s="2" t="str">
        <f>IFERROR(__xludf.DUMMYFUNCTION("""COMPUTED_VALUE"""),"Diario Portal")</f>
        <v>Diario Portal</v>
      </c>
      <c r="B150" s="12" t="str">
        <f>IFERROR(__xludf.DUMMYFUNCTION("""COMPUTED_VALUE"""),"Detienen a cuatro sujetos integrantes de una banda delictiva en Nezahualcóyotl")</f>
        <v>Detienen a cuatro sujetos integrantes de una banda delictiva en Nezahualcóyotl</v>
      </c>
      <c r="C150" s="13" t="str">
        <f>IFERROR(__xludf.DUMMYFUNCTION("""COMPUTED_VALUE"""),"2025-11-28 12:42:06")</f>
        <v>2025-11-28 12:42:06</v>
      </c>
      <c r="D150" s="14">
        <f>IFERROR(__xludf.DUMMYFUNCTION("""COMPUTED_VALUE"""),4.0)</f>
        <v>4</v>
      </c>
      <c r="E150" s="15">
        <f>IFERROR(__xludf.DUMMYFUNCTION("""COMPUTED_VALUE"""),-0.4556)</f>
        <v>-0.4556</v>
      </c>
      <c r="F150" s="2" t="str">
        <f>IFERROR(__xludf.DUMMYFUNCTION("""COMPUTED_VALUE"""),"Negativo")</f>
        <v>Negativo</v>
      </c>
      <c r="G150" s="15">
        <f>IFERROR(__xludf.DUMMYFUNCTION("""COMPUTED_VALUE"""),0.4556)</f>
        <v>0.4556</v>
      </c>
      <c r="H150" s="2" t="str">
        <f>IFERROR(__xludf.DUMMYFUNCTION("""COMPUTED_VALUE"""),"Operativo policial o detención")</f>
        <v>Operativo policial o detención</v>
      </c>
      <c r="I150" s="2" t="str">
        <f>IFERROR(__xludf.DUMMYFUNCTION("""COMPUTED_VALUE"""),"N/A")</f>
        <v>N/A</v>
      </c>
      <c r="J150" s="2" t="str">
        <f>IFERROR(__xludf.DUMMYFUNCTION("""COMPUTED_VALUE"""),"Monitoreo general.")</f>
        <v>Monitoreo general.</v>
      </c>
      <c r="K150" s="2" t="str">
        <f>IFERROR(__xludf.DUMMYFUNCTION("""COMPUTED_VALUE"""),"Nezahualcóyotl")</f>
        <v>Nezahualcóyotl</v>
      </c>
      <c r="L150" s="2" t="str">
        <f>IFERROR(__xludf.DUMMYFUNCTION("""COMPUTED_VALUE"""),"Estado de México")</f>
        <v>Estado de México</v>
      </c>
      <c r="M150" s="16" t="str">
        <f>IFERROR(__xludf.DUMMYFUNCTION("""COMPUTED_VALUE"""),"https://diarioportal.com/seguridad-y-justicia/detienen-a-cuatro-sujetos-integrantes-de-una-banda-delictiva-en-nezahualcoyotl")</f>
        <v>https://diarioportal.com/seguridad-y-justicia/detienen-a-cuatro-sujetos-integrantes-de-una-banda-delictiva-en-nezahualcoyotl</v>
      </c>
      <c r="N150" s="2" t="str">
        <f>IFERROR(__xludf.DUMMYFUNCTION("""COMPUTED_VALUE"""),"Cuatro sujetos integrantes de una banda delictiva fueron detenidos por delitos contra la salud, portación de arma de fuego y robo de motocicletas en el municipio de Nezahualcóyotl, la aeronave Coyote 1 apoyo a la ubicación de los individuos. Los hechos oc"&amp;"urrieron cuando policías del Grupo Metropolitano “Titanes”, realizaban un recorrido de seguridad por las calles de la colonia General Vicente Villada, donde observaron a varios sujetos a bordo de un vehículo portando un arma de fuego. Por lo que los unifo"&amp;"rmados les marcaron el alto, sin embargo los sujetos hicieron caso omiso y huyeron a toda velocidad, ante ello la policía pidió el apoyo del personal del helicóptero Coyote 1 quienes los ubicaron llegando a un domicilio. Ahí fueron detenidos cuatro sujeto"&amp;"s identificados como Jimmy “N”, Eliud Arturo “N”, Sergio “N”. y Jesús Armando “N”, a quienes tras ser revisados se les localizó un arma de fuego hechiza calibre .22 con cartuchos, además de envoltorios con hierba verde con características de marihuana y o"&amp;"tros envoltorios con una sustancia similar al cristal. Los individuos fueron detenidos y trasladados al Ministerio Público donde se determinará su situación jurídica por los delitos contra la salud, portación de arma prohibida y su posible relación con ro"&amp;"bo de motocicleta. De acuerdo a las autoridades se presume que los sujetos podrían estar vinculados a otros hchos delictivos. No hay etiquetas asociadas a éste artículo.")</f>
        <v>Cuatro sujetos integrantes de una banda delictiva fueron detenidos por delitos contra la salud, portación de arma de fuego y robo de motocicletas en el municipio de Nezahualcóyotl, la aeronave Coyote 1 apoyo a la ubicación de los individuos. Los hechos ocurrieron cuando policías del Grupo Metropolitano “Titanes”, realizaban un recorrido de seguridad por las calles de la colonia General Vicente Villada, donde observaron a varios sujetos a bordo de un vehículo portando un arma de fuego. Por lo que los uniformados les marcaron el alto, sin embargo los sujetos hicieron caso omiso y huyeron a toda velocidad, ante ello la policía pidió el apoyo del personal del helicóptero Coyote 1 quienes los ubicaron llegando a un domicilio. Ahí fueron detenidos cuatro sujetos identificados como Jimmy “N”, Eliud Arturo “N”, Sergio “N”. y Jesús Armando “N”, a quienes tras ser revisados se les localizó un arma de fuego hechiza calibre .22 con cartuchos, además de envoltorios con hierba verde con características de marihuana y otros envoltorios con una sustancia similar al cristal. Los individuos fueron detenidos y trasladados al Ministerio Público donde se determinará su situación jurídica por los delitos contra la salud, portación de arma prohibida y su posible relación con robo de motocicleta. De acuerdo a las autoridades se presume que los sujetos podrían estar vinculados a otros hchos delictivos. No hay etiquetas asociadas a éste artículo.</v>
      </c>
      <c r="O150" s="15">
        <f>IFERROR(__xludf.DUMMYFUNCTION("""COMPUTED_VALUE"""),0.6622)</f>
        <v>0.6622</v>
      </c>
      <c r="P150" s="2"/>
      <c r="Q150" s="17">
        <f>IFERROR(__xludf.DUMMYFUNCTION("""COMPUTED_VALUE"""),8.5)</f>
        <v>8.5</v>
      </c>
      <c r="R150" s="2" t="str">
        <f>IFERROR(__xludf.DUMMYFUNCTION("""COMPUTED_VALUE"""),"High")</f>
        <v>High</v>
      </c>
      <c r="S150" s="17">
        <f>IFERROR(__xludf.DUMMYFUNCTION("""COMPUTED_VALUE"""),8.5)</f>
        <v>8.5</v>
      </c>
      <c r="T150" s="17">
        <f>IFERROR(__xludf.DUMMYFUNCTION("""COMPUTED_VALUE"""),0.0)</f>
        <v>0</v>
      </c>
      <c r="U150" s="14">
        <f>IFERROR(__xludf.DUMMYFUNCTION("""COMPUTED_VALUE"""),2.0)</f>
        <v>2</v>
      </c>
      <c r="V150" s="14">
        <v>2025.0</v>
      </c>
      <c r="W150" s="2" t="s">
        <v>1206</v>
      </c>
      <c r="X150" s="2" t="s">
        <v>1199</v>
      </c>
      <c r="Y150" s="13" t="s">
        <v>622</v>
      </c>
      <c r="Z150" s="14">
        <v>0.0</v>
      </c>
      <c r="AA150" s="14">
        <v>0.0</v>
      </c>
      <c r="AB150" s="14">
        <v>0.0</v>
      </c>
      <c r="AC150" s="14">
        <v>0.0</v>
      </c>
      <c r="AD150" s="2">
        <v>0.0</v>
      </c>
      <c r="AE150" s="2">
        <v>1.0</v>
      </c>
      <c r="AF150" s="2">
        <v>11.0</v>
      </c>
      <c r="AG150" s="2" t="s">
        <v>1215</v>
      </c>
      <c r="AH150" s="2">
        <v>0.0</v>
      </c>
    </row>
    <row r="151" ht="15.75" customHeight="1">
      <c r="A151" s="2" t="str">
        <f>IFERROR(__xludf.DUMMYFUNCTION("""COMPUTED_VALUE"""),"Diario Portal")</f>
        <v>Diario Portal</v>
      </c>
      <c r="B151" s="12" t="str">
        <f>IFERROR(__xludf.DUMMYFUNCTION("""COMPUTED_VALUE"""),"Otro ridículo   de la FGR:  Isidro Pastor  queda libre  por falta   de pruebas")</f>
        <v>Otro ridículo   de la FGR:  Isidro Pastor  queda libre  por falta   de pruebas</v>
      </c>
      <c r="C151" s="13" t="str">
        <f>IFERROR(__xludf.DUMMYFUNCTION("""COMPUTED_VALUE"""),"Sin Fecha")</f>
        <v>Sin Fecha</v>
      </c>
      <c r="D151" s="14">
        <f>IFERROR(__xludf.DUMMYFUNCTION("""COMPUTED_VALUE"""),2.0)</f>
        <v>2</v>
      </c>
      <c r="E151" s="15">
        <f>IFERROR(__xludf.DUMMYFUNCTION("""COMPUTED_VALUE"""),-0.4896)</f>
        <v>-0.4896</v>
      </c>
      <c r="F151" s="2" t="str">
        <f>IFERROR(__xludf.DUMMYFUNCTION("""COMPUTED_VALUE"""),"Negativo")</f>
        <v>Negativo</v>
      </c>
      <c r="G151" s="15">
        <f>IFERROR(__xludf.DUMMYFUNCTION("""COMPUTED_VALUE"""),0.4896)</f>
        <v>0.4896</v>
      </c>
      <c r="H151" s="2" t="str">
        <f>IFERROR(__xludf.DUMMYFUNCTION("""COMPUTED_VALUE"""),"Operativo policial o detención")</f>
        <v>Operativo policial o detención</v>
      </c>
      <c r="I151" s="2" t="str">
        <f>IFERROR(__xludf.DUMMYFUNCTION("""COMPUTED_VALUE"""),"N/A")</f>
        <v>N/A</v>
      </c>
      <c r="J151" s="2" t="str">
        <f>IFERROR(__xludf.DUMMYFUNCTION("""COMPUTED_VALUE"""),"Monitoreo general.")</f>
        <v>Monitoreo general.</v>
      </c>
      <c r="K151" s="2" t="str">
        <f>IFERROR(__xludf.DUMMYFUNCTION("""COMPUTED_VALUE"""),"Estado de México")</f>
        <v>Estado de México</v>
      </c>
      <c r="L151" s="2" t="str">
        <f>IFERROR(__xludf.DUMMYFUNCTION("""COMPUTED_VALUE"""),"Estado de México")</f>
        <v>Estado de México</v>
      </c>
      <c r="M151" s="16" t="str">
        <f>IFERROR(__xludf.DUMMYFUNCTION("""COMPUTED_VALUE"""),"https://diarioportal.com/seguridad-y-justicia/otro-ridiculo-de-la-fgr-isidro-pastor-queda-libre-por-falta-de-pruebas")</f>
        <v>https://diarioportal.com/seguridad-y-justicia/otro-ridiculo-de-la-fgr-isidro-pastor-queda-libre-por-falta-de-pruebas</v>
      </c>
      <c r="N151" s="2" t="str">
        <f>IFERROR(__xludf.DUMMYFUNCTION("""COMPUTED_VALUE"""),"Tras permanecer cinco días recluido en el Centro Penitenciario de Reinserción Social Santiaguito en Almoloya de Juárez, acusado por el delito de operaciones con recursos de procedencia ilícita, la madrugada de este martes el exdirigente estatal del Partid"&amp;"o Revolucionario Institucional (PRI) y excandidato independiente a la gubernatura del Estado de México, Isidro Pastor Medrado quedó en libertad. Durante la audiencia celebrada el día de ayer, la jueza María Yasmín Ambriz López determinó que los elementos "&amp;"presentados por la Fiscalía General de la República (FGR) no fueron suficientes para acreditar la responsabilidad del político mexiquense, por lo que negó la vinculación a proceso y ordenó su salida inmediata de dicho penal, lo que dio a conocer el Pastor"&amp;" Medrano a través de un vídeo difundido en sus redes sociales. El exdirigente estatal del PRI fue detenido la tarde del pasado viernes en cumplimiento de una orden de aprehensión por elementos de la Secretaría de Seguridad y Protección Ciudadana (SSPC) en"&amp;" la colonia Nueva Santa María, entre Toluca y Metepec, mientras se trasladaba a bordo de su vehículo a una reunión, por lo que fue interceptado en la carretera Toluca-Tenango, entre las calles Calvario y Juan Monroy. Los señalamientos que enfrentaba eran "&amp;"por operaciones con recursos de procedencia ilícita, pues las investigaciones apuntaban a que en 2013 adquirió un inmueble valuado en más de 40 millones de pesos, además de haber recibido depósitos bancarios de origen no comprobado. La Fiscalía General de"&amp;" la República (FGR) buscaba esclarecer el origen de estos recursos y determinar las responsabilidades legales correspondientes. Según fuentes oficiales, el caso formaba parte de una investigación más amplia sobre presuntas irregularidades financieras vinc"&amp;"uladas a exfuncionarios mexiquenses. No hay etiquetas asociadas a éste artículo.")</f>
        <v>Tras permanecer cinco días recluido en el Centro Penitenciario de Reinserción Social Santiaguito en Almoloya de Juárez, acusado por el delito de operaciones con recursos de procedencia ilícita, la madrugada de este martes el exdirigente estatal del Partido Revolucionario Institucional (PRI) y excandidato independiente a la gubernatura del Estado de México, Isidro Pastor Medrado quedó en libertad. Durante la audiencia celebrada el día de ayer, la jueza María Yasmín Ambriz López determinó que los elementos presentados por la Fiscalía General de la República (FGR) no fueron suficientes para acreditar la responsabilidad del político mexiquense, por lo que negó la vinculación a proceso y ordenó su salida inmediata de dicho penal, lo que dio a conocer el Pastor Medrano a través de un vídeo difundido en sus redes sociales. El exdirigente estatal del PRI fue detenido la tarde del pasado viernes en cumplimiento de una orden de aprehensión por elementos de la Secretaría de Seguridad y Protección Ciudadana (SSPC) en la colonia Nueva Santa María, entre Toluca y Metepec, mientras se trasladaba a bordo de su vehículo a una reunión, por lo que fue interceptado en la carretera Toluca-Tenango, entre las calles Calvario y Juan Monroy. Los señalamientos que enfrentaba eran por operaciones con recursos de procedencia ilícita, pues las investigaciones apuntaban a que en 2013 adquirió un inmueble valuado en más de 40 millones de pesos, además de haber recibido depósitos bancarios de origen no comprobado. La Fiscalía General de la República (FGR) buscaba esclarecer el origen de estos recursos y determinar las responsabilidades legales correspondientes. Según fuentes oficiales, el caso formaba parte de una investigación más amplia sobre presuntas irregularidades financieras vinculadas a exfuncionarios mexiquenses. No hay etiquetas asociadas a éste artículo.</v>
      </c>
      <c r="O151" s="15">
        <f>IFERROR(__xludf.DUMMYFUNCTION("""COMPUTED_VALUE"""),0.5979)</f>
        <v>0.5979</v>
      </c>
      <c r="P151" s="2"/>
      <c r="Q151" s="17">
        <f>IFERROR(__xludf.DUMMYFUNCTION("""COMPUTED_VALUE"""),3.0)</f>
        <v>3</v>
      </c>
      <c r="R151" s="2" t="str">
        <f>IFERROR(__xludf.DUMMYFUNCTION("""COMPUTED_VALUE"""),"Low")</f>
        <v>Low</v>
      </c>
      <c r="S151" s="17">
        <f>IFERROR(__xludf.DUMMYFUNCTION("""COMPUTED_VALUE"""),0.0)</f>
        <v>0</v>
      </c>
      <c r="T151" s="17">
        <f>IFERROR(__xludf.DUMMYFUNCTION("""COMPUTED_VALUE"""),0.0)</f>
        <v>0</v>
      </c>
      <c r="U151" s="14">
        <f>IFERROR(__xludf.DUMMYFUNCTION("""COMPUTED_VALUE"""),2.0)</f>
        <v>2</v>
      </c>
      <c r="V151" s="14" t="s">
        <v>1186</v>
      </c>
      <c r="W151" s="2" t="s">
        <v>190</v>
      </c>
      <c r="X151" s="2" t="s">
        <v>190</v>
      </c>
      <c r="Y151" s="13"/>
      <c r="Z151" s="14">
        <v>0.0</v>
      </c>
      <c r="AA151" s="14">
        <v>0.0</v>
      </c>
      <c r="AB151" s="14">
        <v>0.0</v>
      </c>
      <c r="AC151" s="14">
        <v>0.0</v>
      </c>
      <c r="AD151" s="2">
        <v>0.0</v>
      </c>
      <c r="AE151" s="2">
        <v>0.0</v>
      </c>
      <c r="AF151" s="2" t="s">
        <v>1186</v>
      </c>
      <c r="AG151" s="2" t="s">
        <v>1202</v>
      </c>
      <c r="AH151" s="2">
        <v>0.0</v>
      </c>
    </row>
    <row r="152" ht="15.75" customHeight="1">
      <c r="A152" s="2" t="str">
        <f>IFERROR(__xludf.DUMMYFUNCTION("""COMPUTED_VALUE"""),"Diario Portal")</f>
        <v>Diario Portal</v>
      </c>
      <c r="B152" s="12" t="str">
        <f>IFERROR(__xludf.DUMMYFUNCTION("""COMPUTED_VALUE"""),"Agresiones  a oficiales  de tránsito  ameritan  multas de  hasta 4 mil  500 pesos")</f>
        <v>Agresiones  a oficiales  de tránsito  ameritan  multas de  hasta 4 mil  500 pesos</v>
      </c>
      <c r="C152" s="13" t="str">
        <f>IFERROR(__xludf.DUMMYFUNCTION("""COMPUTED_VALUE"""),"Sin Fecha")</f>
        <v>Sin Fecha</v>
      </c>
      <c r="D152" s="14">
        <f>IFERROR(__xludf.DUMMYFUNCTION("""COMPUTED_VALUE"""),1.0)</f>
        <v>1</v>
      </c>
      <c r="E152" s="15">
        <f>IFERROR(__xludf.DUMMYFUNCTION("""COMPUTED_VALUE"""),0.0)</f>
        <v>0</v>
      </c>
      <c r="F152" s="2" t="str">
        <f>IFERROR(__xludf.DUMMYFUNCTION("""COMPUTED_VALUE"""),"Neutral")</f>
        <v>Neutral</v>
      </c>
      <c r="G152" s="15">
        <f>IFERROR(__xludf.DUMMYFUNCTION("""COMPUTED_VALUE"""),0.4932)</f>
        <v>0.4932</v>
      </c>
      <c r="H152" s="2" t="str">
        <f>IFERROR(__xludf.DUMMYFUNCTION("""COMPUTED_VALUE"""),"Noticia corporativa o regulación de transporte")</f>
        <v>Noticia corporativa o regulación de transporte</v>
      </c>
      <c r="I152" s="2" t="str">
        <f>IFERROR(__xludf.DUMMYFUNCTION("""COMPUTED_VALUE"""),"N/A")</f>
        <v>N/A</v>
      </c>
      <c r="J152" s="2" t="str">
        <f>IFERROR(__xludf.DUMMYFUNCTION("""COMPUTED_VALUE"""),"Monitoreo general.")</f>
        <v>Monitoreo general.</v>
      </c>
      <c r="K152" s="2" t="str">
        <f>IFERROR(__xludf.DUMMYFUNCTION("""COMPUTED_VALUE"""),"Estado de México")</f>
        <v>Estado de México</v>
      </c>
      <c r="L152" s="2" t="str">
        <f>IFERROR(__xludf.DUMMYFUNCTION("""COMPUTED_VALUE"""),"Estado de México")</f>
        <v>Estado de México</v>
      </c>
      <c r="M152" s="16" t="str">
        <f>IFERROR(__xludf.DUMMYFUNCTION("""COMPUTED_VALUE"""),"https://diarioportal.com/seguridad-y-justicia/agresiones-a-oficiales-de-transito-ameritan-multas-de-hasta-4-mil-500-pesos")</f>
        <v>https://diarioportal.com/seguridad-y-justicia/agresiones-a-oficiales-de-transito-ameritan-multas-de-hasta-4-mil-500-pesos</v>
      </c>
      <c r="N152" s="2" t="str">
        <f>IFERROR(__xludf.DUMMYFUNCTION("""COMPUTED_VALUE"""),"Con la entrada en vigor de la actualización al Reglamento de Tránsito, solo las mujeres policías de tránsito de la Secretaría de Seguridad del Estado de México (SSEM) estarán facultadas para imponer infracciones en las calles primarias del estado. Con est"&amp;"a medida, el gobierno del Estado de México deja claras las atribuciones de las agentes encargadas de detectar, calificar y sancionar faltas viales. La actualización del ordenamiento establece que insultar, denigrar, intimidar o agredir físicamente a las o"&amp;"ficiales de tránsito será sancionado con multas de entre 30 y 40 UMA. Estas medidas aplican para cualquier tipo de violencia: desde amenazas verbales y agresiones físicas, hasta maniobras con el vehículo destinadas a intimidar o causar daño, tanto a las a"&amp;"gentes como a cualquier otra persona usuaria de la vía. Las oficiales pueden identificarse por su pantalón azul, camisola blanca con distintivos naranja, así como por las unidades móviles con el mismo balizamiento. Además, cada agente cuenta con una termi"&amp;"nal electrónica handheld, equipada con cámara e impresora, que genera la boleta de infracción en el momento, con fundamento legal, motivo de la falta, número de agente y ubicación exacta. Para brindar mayor certeza y combatir cualquier intento de corrupci"&amp;"ón, la SSEM pone a disposición la Línea de Infracción Transparente 800-900-33-00, disponible las 24 horas del día, los 365 días del año, donde las personas pueden: •	Resolver dudas sobre multas y Hoy No Circula. •	Denunciar posibles actos de corrupción po"&amp;"r parte de agentes de tránsito. La ciudadanía puede consultar el reglamento completo en la Gaceta del Gobierno estatal en: https://legislacion.edomex.gob.mx/sites/legislacion.edomex.gob.mx/files/files/pdf/rgl/vig/rglvig079.pdf. No hay etiquetas asociadas "&amp;"a éste artículo.")</f>
        <v>Con la entrada en vigor de la actualización al Reglamento de Tránsito, solo las mujeres policías de tránsito de la Secretaría de Seguridad del Estado de México (SSEM) estarán facultadas para imponer infracciones en las calles primarias del estado. Con esta medida, el gobierno del Estado de México deja claras las atribuciones de las agentes encargadas de detectar, calificar y sancionar faltas viales. La actualización del ordenamiento establece que insultar, denigrar, intimidar o agredir físicamente a las oficiales de tránsito será sancionado con multas de entre 30 y 40 UMA. Estas medidas aplican para cualquier tipo de violencia: desde amenazas verbales y agresiones físicas, hasta maniobras con el vehículo destinadas a intimidar o causar daño, tanto a las agentes como a cualquier otra persona usuaria de la vía. Las oficiales pueden identificarse por su pantalón azul, camisola blanca con distintivos naranja, así como por las unidades móviles con el mismo balizamiento. Además, cada agente cuenta con una terminal electrónica handheld, equipada con cámara e impresora, que genera la boleta de infracción en el momento, con fundamento legal, motivo de la falta, número de agente y ubicación exacta. Para brindar mayor certeza y combatir cualquier intento de corrupción, la SSEM pone a disposición la Línea de Infracción Transparente 800-900-33-00, disponible las 24 horas del día, los 365 días del año, donde las personas pueden: •	Resolver dudas sobre multas y Hoy No Circula. •	Denunciar posibles actos de corrupción por parte de agentes de tránsito. La ciudadanía puede consultar el reglamento completo en la Gaceta del Gobierno estatal en: https://legislacion.edomex.gob.mx/sites/legislacion.edomex.gob.mx/files/files/pdf/rgl/vig/rglvig079.pdf. No hay etiquetas asociadas a éste artículo.</v>
      </c>
      <c r="O152" s="15">
        <f>IFERROR(__xludf.DUMMYFUNCTION("""COMPUTED_VALUE"""),0.416)</f>
        <v>0.416</v>
      </c>
      <c r="P152" s="2"/>
      <c r="Q152" s="17">
        <f>IFERROR(__xludf.DUMMYFUNCTION("""COMPUTED_VALUE"""),5.0)</f>
        <v>5</v>
      </c>
      <c r="R152" s="2" t="str">
        <f>IFERROR(__xludf.DUMMYFUNCTION("""COMPUTED_VALUE"""),"High")</f>
        <v>High</v>
      </c>
      <c r="S152" s="17">
        <f>IFERROR(__xludf.DUMMYFUNCTION("""COMPUTED_VALUE"""),2.0)</f>
        <v>2</v>
      </c>
      <c r="T152" s="17">
        <f>IFERROR(__xludf.DUMMYFUNCTION("""COMPUTED_VALUE"""),0.0)</f>
        <v>0</v>
      </c>
      <c r="U152" s="14">
        <f>IFERROR(__xludf.DUMMYFUNCTION("""COMPUTED_VALUE"""),2.0)</f>
        <v>2</v>
      </c>
      <c r="V152" s="14" t="s">
        <v>1186</v>
      </c>
      <c r="W152" s="2" t="s">
        <v>190</v>
      </c>
      <c r="X152" s="2" t="s">
        <v>190</v>
      </c>
      <c r="Y152" s="13"/>
      <c r="Z152" s="14">
        <v>0.0</v>
      </c>
      <c r="AA152" s="14">
        <v>0.0</v>
      </c>
      <c r="AB152" s="14">
        <v>0.0</v>
      </c>
      <c r="AC152" s="14">
        <v>0.0</v>
      </c>
      <c r="AD152" s="2">
        <v>0.0</v>
      </c>
      <c r="AE152" s="2">
        <v>0.0</v>
      </c>
      <c r="AF152" s="2" t="s">
        <v>1186</v>
      </c>
      <c r="AG152" s="2" t="s">
        <v>1202</v>
      </c>
      <c r="AH152" s="2">
        <v>0.0</v>
      </c>
    </row>
    <row r="153" ht="15.75" customHeight="1">
      <c r="A153" s="2" t="str">
        <f>IFERROR(__xludf.DUMMYFUNCTION("""COMPUTED_VALUE"""),"Diario Portal")</f>
        <v>Diario Portal</v>
      </c>
      <c r="B153" s="12" t="str">
        <f>IFERROR(__xludf.DUMMYFUNCTION("""COMPUTED_VALUE"""),"Caen 6 líderes de red criminal que opera en 13 municipios mexiquenses")</f>
        <v>Caen 6 líderes de red criminal que opera en 13 municipios mexiquenses</v>
      </c>
      <c r="C153" s="13" t="str">
        <f>IFERROR(__xludf.DUMMYFUNCTION("""COMPUTED_VALUE"""),"2025-11-25 15:47:41")</f>
        <v>2025-11-25 15:47:41</v>
      </c>
      <c r="D153" s="14">
        <f>IFERROR(__xludf.DUMMYFUNCTION("""COMPUTED_VALUE"""),5.0)</f>
        <v>5</v>
      </c>
      <c r="E153" s="15">
        <f>IFERROR(__xludf.DUMMYFUNCTION("""COMPUTED_VALUE"""),-0.6098)</f>
        <v>-0.6098</v>
      </c>
      <c r="F153" s="2" t="str">
        <f>IFERROR(__xludf.DUMMYFUNCTION("""COMPUTED_VALUE"""),"Negativo")</f>
        <v>Negativo</v>
      </c>
      <c r="G153" s="15">
        <f>IFERROR(__xludf.DUMMYFUNCTION("""COMPUTED_VALUE"""),0.6098)</f>
        <v>0.6098</v>
      </c>
      <c r="H153" s="2" t="str">
        <f>IFERROR(__xludf.DUMMYFUNCTION("""COMPUTED_VALUE"""),"Delito violento, robo o asalto")</f>
        <v>Delito violento, robo o asalto</v>
      </c>
      <c r="I153" s="2" t="str">
        <f>IFERROR(__xludf.DUMMYFUNCTION("""COMPUTED_VALUE"""),"homicidio")</f>
        <v>homicidio</v>
      </c>
      <c r="J153" s="2" t="str">
        <f>IFERROR(__xludf.DUMMYFUNCTION("""COMPUTED_VALUE"""),"Prevención Nocturna: Alerta de zona de riesgo.")</f>
        <v>Prevención Nocturna: Alerta de zona de riesgo.</v>
      </c>
      <c r="K153" s="2" t="str">
        <f>IFERROR(__xludf.DUMMYFUNCTION("""COMPUTED_VALUE"""),"Estado de México")</f>
        <v>Estado de México</v>
      </c>
      <c r="L153" s="2" t="str">
        <f>IFERROR(__xludf.DUMMYFUNCTION("""COMPUTED_VALUE"""),"Estado de México")</f>
        <v>Estado de México</v>
      </c>
      <c r="M153" s="16" t="str">
        <f>IFERROR(__xludf.DUMMYFUNCTION("""COMPUTED_VALUE"""),"https://diarioportal.com/seguridad-y-justicia/caen-6-lideres-de-red-criminal-que-opera-en-13-municipios-mexiquenses")</f>
        <v>https://diarioportal.com/seguridad-y-justicia/caen-6-lideres-de-red-criminal-que-opera-en-13-municipios-mexiquenses</v>
      </c>
      <c r="N153" s="2" t="str">
        <f>IFERROR(__xludf.DUMMYFUNCTION("""COMPUTED_VALUE"""),"Elementos de la Fiscalía General de Justicia del Estado de México (FGJEM) cumplieron un orden de aprehensión contra Cristian Jesús ‘N’ alias el ‘Gimy’ y/o ‘Jimmy’, Juan ‘N’, Guillermo ‘N’, Ricardo ‘N’, Juan Manuel ‘N’ alias “El Maya” y María del Carmen ‘N"&amp;"’, objetivos prioritarios de la Operación Caudal por su probable participación al ordenar la extracción, distribución y venta de agua de manera ilícita en la entidad. Los detenidos son investigados por delitos contra el servicio público y distribución del"&amp;" agua, homicidio, secuestro, extorsión, robo con violencia, despojo de propiedades, disparo de arma de fuego y contra la salud, por lo que podrían alcanzar penas de hasta 100 años de prisión. Eran líderes o integrantes relevantes de las organizaciones soc"&amp;"iales con fachada de sindicatos autodenominadas Sindicato 22 de Octubre, Federación Internacional de Trabajadoras y Trabajadores Asalariados de México (FITTAM), Sindicatos Unidos por la Transformación de México (SUTMEX), La Chokiza y Somos Mayas, Somos Fu"&amp;"ertes y/o Los Mayas, estas dos últimas aliadas de la Unión de Sindicatos y Organizaciones Nacionales de la República Mexicana (USON). Estos grupos operaban principalmente en los municipios de Acolman, Chalco, Chicoloapan, Chimalhuacán, Coacalco, Ecatepec,"&amp;" Ixtapaluca, La Paz, Nezahualcóyotl, Tecámac, Teotihuacán, Texcoco y Valle de Chalco. Christian Jesús “N” alias “Gimy” y/o “Jimmy”, es sexto regidor en el municipio de Chalco, es identificado como líder del Sindicato 22 de Octubre y de acuerdo con las inv"&amp;"estigaciones utilizaba su grupo delictivo para acaparar la distribución y venta ilegal de agua a través pipas irregulares, propiedad de sus integrantes, además ordenaba agredir a conductores de vehículos ajenos a su organización. Se le relaciona con la in"&amp;"vasión de predios que, en algunos casos contaban con pozos de donde, sin los permisos oficiales, extraían agua para su comercialización, en otros casos eran viviendas despojadas a sus legítimos propietarios y entregadas a integrantes de su organización cr"&amp;"iminal, es investigado por su probable participación en la comisión de hechos delictivos de homicidio, secuestro, extorsión, robo con violencia y narcomenudeo, fue detenido el pasado 21 de noviembre. En la misma fecha fue detenido Juan ‘N’, identificado c"&amp;"omo secretario general de la FITTAM y vocero del SUTMEX, las indagatorias indican que con el fin de acaparar la distribución y el cobro ilícito del agua, ordenaba agresiones y robos con violencia en agravio de propietarios de purificadoras, así como condu"&amp;"ctores o dueños de pipas ajenas a sus grupos. Al momento de su detención le fueron aseguradas armas de fuego, cartuchos útiles de diferentes calibres y cargadores, así como bolsas con hierba verde con características similares a la marihuana. Otro detenid"&amp;"o es Guillermo ‘N’, recibía instrucciones directas de alias “Gimy” y/o “Jimmy”, para instalar tomas clandestinas en las redes oficiales y administrar la venta y distribución del agua con el uso de pipas irregulares operadas por sus agremiados. Es señalado"&amp;" como un integrante relevante del Sindicato 22 de Octubre. También fue detenido Ricardo ‘N’, quien, como presunto integrante de La Chokiza, fungía como propietario de pipas y era el encargado de administrar tomas de agua clandestinas, ordenaba agresiones "&amp;"a conductores de pipas ajenas a su organización cometidas a través de la actividad conocida como “monta choques”, disparo de arma de fuego o privación de la libertad. Juan Manuel ‘N’ alias “El Maya”, presunto líder de la organización Somos Mayas, Somos Fu"&amp;"ertes y/o Los Mayas, quién hasta antes de su captura era identificado como generador de violencia en Ecatepec, se desempeñó como elemento de la policía municipal de este municipio. Fue detenido el pasado 24 de noviembre y le fueron aseguradas armas de fue"&amp;"go y cartuchos útiles, narcóticos, una camioneta de alta gama, un vehículo y prendas de vestir con las que simulaba pertenecer a corporaciones oficiales, así como diversos identificadores de su grupo delictivo. De igual manera, fue detenida María del Carm"&amp;"en ‘N’, a quien se le relaciona con actividades delictivas de despojo porque facilitaba predios invadidos para que funcionarán como pensiones de pipas de agua y otros vehículos, además de ocupar viviendas de manera ilegal. Presuntamente, el 14 de diciembr"&amp;"e del 2024, alias “El Maya” y María del Carmen “N”, junto con integrantes de Los Mayas, con la amenaza de invadir una casa-habitación ubicada en la colonia Jardines de Morelos, en Ecatepec, exigieron 200 mil pesos al legítimo propietario, pago que debía r"&amp;"ealizar a más tardar el 10 de enero del 2025, pero al no hacer el pago lo desalojaron de su inmueble amagándolo con armas de fuego. Los seis detenidos fueron ingresados a Centros Preventivos y de Readaptación Social estatales ubicados en Nezahualcóyotl, O"&amp;"tumba, Ecatepec y Almoloya de Juárez, donde quedaron a disposición de la Autoridad Judicial y quien definirá su situación jurídica. No hay etiquetas asociadas a éste artículo.")</f>
        <v>Elementos de la Fiscalía General de Justicia del Estado de México (FGJEM) cumplieron un orden de aprehensión contra Cristian Jesús ‘N’ alias el ‘Gimy’ y/o ‘Jimmy’, Juan ‘N’, Guillermo ‘N’, Ricardo ‘N’, Juan Manuel ‘N’ alias “El Maya” y María del Carmen ‘N’, objetivos prioritarios de la Operación Caudal por su probable participación al ordenar la extracción, distribución y venta de agua de manera ilícita en la entidad. Los detenidos son investigados por delitos contra el servicio público y distribución del agua, homicidio, secuestro, extorsión, robo con violencia, despojo de propiedades, disparo de arma de fuego y contra la salud, por lo que podrían alcanzar penas de hasta 100 años de prisión. Eran líderes o integrantes relevantes de las organizaciones sociales con fachada de sindicatos autodenominadas Sindicato 22 de Octubre, Federación Internacional de Trabajadoras y Trabajadores Asalariados de México (FITTAM), Sindicatos Unidos por la Transformación de México (SUTMEX), La Chokiza y Somos Mayas, Somos Fuertes y/o Los Mayas, estas dos últimas aliadas de la Unión de Sindicatos y Organizaciones Nacionales de la República Mexicana (USON). Estos grupos operaban principalmente en los municipios de Acolman, Chalco, Chicoloapan, Chimalhuacán, Coacalco, Ecatepec, Ixtapaluca, La Paz, Nezahualcóyotl, Tecámac, Teotihuacán, Texcoco y Valle de Chalco. Christian Jesús “N” alias “Gimy” y/o “Jimmy”, es sexto regidor en el municipio de Chalco, es identificado como líder del Sindicato 22 de Octubre y de acuerdo con las investigaciones utilizaba su grupo delictivo para acaparar la distribución y venta ilegal de agua a través pipas irregulares, propiedad de sus integrantes, además ordenaba agredir a conductores de vehículos ajenos a su organización. Se le relaciona con la invasión de predios que, en algunos casos contaban con pozos de donde, sin los permisos oficiales, extraían agua para su comercialización, en otros casos eran viviendas despojadas a sus legítimos propietarios y entregadas a integrantes de su organización criminal, es investigado por su probable participación en la comisión de hechos delictivos de homicidio, secuestro, extorsión, robo con violencia y narcomenudeo, fue detenido el pasado 21 de noviembre. En la misma fecha fue detenido Juan ‘N’, identificado como secretario general de la FITTAM y vocero del SUTMEX, las indagatorias indican que con el fin de acaparar la distribución y el cobro ilícito del agua, ordenaba agresiones y robos con violencia en agravio de propietarios de purificadoras, así como conductores o dueños de pipas ajenas a sus grupos. Al momento de su detención le fueron aseguradas armas de fuego, cartuchos útiles de diferentes calibres y cargadores, así como bolsas con hierba verde con características similares a la marihuana. Otro detenido es Guillermo ‘N’, recibía instrucciones directas de alias “Gimy” y/o “Jimmy”, para instalar tomas clandestinas en las redes oficiales y administrar la venta y distribución del agua con el uso de pipas irregulares operadas por sus agremiados. Es señalado como un integrante relevante del Sindicato 22 de Octubre. También fue detenido Ricardo ‘N’, quien, como presunto integrante de La Chokiza, fungía como propietario de pipas y era el encargado de administrar tomas de agua clandestinas, ordenaba agresiones a conductores de pipas ajenas a su organización cometidas a través de la actividad conocida como “monta choques”, disparo de arma de fuego o privación de la libertad. Juan Manuel ‘N’ alias “El Maya”, presunto líder de la organización Somos Mayas, Somos Fuertes y/o Los Mayas, quién hasta antes de su captura era identificado como generador de violencia en Ecatepec, se desempeñó como elemento de la policía municipal de este municipio. Fue detenido el pasado 24 de noviembre y le fueron aseguradas armas de fuego y cartuchos útiles, narcóticos, una camioneta de alta gama, un vehículo y prendas de vestir con las que simulaba pertenecer a corporaciones oficiales, así como diversos identificadores de su grupo delictivo. De igual manera, fue detenida María del Carmen ‘N’, a quien se le relaciona con actividades delictivas de despojo porque facilitaba predios invadidos para que funcionarán como pensiones de pipas de agua y otros vehículos, además de ocupar viviendas de manera ilegal. Presuntamente, el 14 de diciembre del 2024, alias “El Maya” y María del Carmen “N”, junto con integrantes de Los Mayas, con la amenaza de invadir una casa-habitación ubicada en la colonia Jardines de Morelos, en Ecatepec, exigieron 200 mil pesos al legítimo propietario, pago que debía realizar a más tardar el 10 de enero del 2025, pero al no hacer el pago lo desalojaron de su inmueble amagándolo con armas de fuego. Los seis detenidos fueron ingresados a Centros Preventivos y de Readaptación Social estatales ubicados en Nezahualcóyotl, Otumba, Ecatepec y Almoloya de Juárez, donde quedaron a disposición de la Autoridad Judicial y quien definirá su situación jurídica. No hay etiquetas asociadas a éste artículo.</v>
      </c>
      <c r="O153" s="15">
        <f>IFERROR(__xludf.DUMMYFUNCTION("""COMPUTED_VALUE"""),1.0)</f>
        <v>1</v>
      </c>
      <c r="P153" s="2"/>
      <c r="Q153" s="17">
        <f>IFERROR(__xludf.DUMMYFUNCTION("""COMPUTED_VALUE"""),5.0)</f>
        <v>5</v>
      </c>
      <c r="R153" s="2" t="str">
        <f>IFERROR(__xludf.DUMMYFUNCTION("""COMPUTED_VALUE"""),"Low")</f>
        <v>Low</v>
      </c>
      <c r="S153" s="17">
        <f>IFERROR(__xludf.DUMMYFUNCTION("""COMPUTED_VALUE"""),0.0)</f>
        <v>0</v>
      </c>
      <c r="T153" s="17">
        <f>IFERROR(__xludf.DUMMYFUNCTION("""COMPUTED_VALUE"""),0.0)</f>
        <v>0</v>
      </c>
      <c r="U153" s="14">
        <f>IFERROR(__xludf.DUMMYFUNCTION("""COMPUTED_VALUE"""),2.0)</f>
        <v>2</v>
      </c>
      <c r="V153" s="14">
        <v>2025.0</v>
      </c>
      <c r="W153" s="2" t="s">
        <v>1206</v>
      </c>
      <c r="X153" s="2" t="s">
        <v>1218</v>
      </c>
      <c r="Y153" s="13" t="s">
        <v>632</v>
      </c>
      <c r="Z153" s="14">
        <v>0.0</v>
      </c>
      <c r="AA153" s="14">
        <v>0.0</v>
      </c>
      <c r="AB153" s="14">
        <v>0.0</v>
      </c>
      <c r="AC153" s="14">
        <v>0.0</v>
      </c>
      <c r="AD153" s="2">
        <v>0.0</v>
      </c>
      <c r="AE153" s="2">
        <v>1.0</v>
      </c>
      <c r="AF153" s="2">
        <v>11.0</v>
      </c>
      <c r="AG153" s="2" t="s">
        <v>1202</v>
      </c>
      <c r="AH153" s="2">
        <v>0.0</v>
      </c>
    </row>
    <row r="154" ht="15.75" customHeight="1">
      <c r="A154" s="2" t="str">
        <f>IFERROR(__xludf.DUMMYFUNCTION("""COMPUTED_VALUE"""),"Diario Portal")</f>
        <v>Diario Portal</v>
      </c>
      <c r="B154" s="12" t="str">
        <f>IFERROR(__xludf.DUMMYFUNCTION("""COMPUTED_VALUE"""),"Detectan  posible  desfalco  en órgano  municipal   de agua en  Ecatepec")</f>
        <v>Detectan  posible  desfalco  en órgano  municipal   de agua en  Ecatepec</v>
      </c>
      <c r="C154" s="13" t="str">
        <f>IFERROR(__xludf.DUMMYFUNCTION("""COMPUTED_VALUE"""),"Sin Fecha")</f>
        <v>Sin Fecha</v>
      </c>
      <c r="D154" s="14">
        <f>IFERROR(__xludf.DUMMYFUNCTION("""COMPUTED_VALUE"""),1.0)</f>
        <v>1</v>
      </c>
      <c r="E154" s="15">
        <f>IFERROR(__xludf.DUMMYFUNCTION("""COMPUTED_VALUE"""),-0.7386)</f>
        <v>-0.7386</v>
      </c>
      <c r="F154" s="2" t="str">
        <f>IFERROR(__xludf.DUMMYFUNCTION("""COMPUTED_VALUE"""),"Negativo")</f>
        <v>Negativo</v>
      </c>
      <c r="G154" s="15">
        <f>IFERROR(__xludf.DUMMYFUNCTION("""COMPUTED_VALUE"""),0.7386)</f>
        <v>0.7386</v>
      </c>
      <c r="H154" s="2" t="str">
        <f>IFERROR(__xludf.DUMMYFUNCTION("""COMPUTED_VALUE"""),"Otros temas generales")</f>
        <v>Otros temas generales</v>
      </c>
      <c r="I154" s="2" t="str">
        <f>IFERROR(__xludf.DUMMYFUNCTION("""COMPUTED_VALUE"""),"N/A")</f>
        <v>N/A</v>
      </c>
      <c r="J154" s="2" t="str">
        <f>IFERROR(__xludf.DUMMYFUNCTION("""COMPUTED_VALUE"""),"Descartar / Baja prioridad.")</f>
        <v>Descartar / Baja prioridad.</v>
      </c>
      <c r="K154" s="2" t="str">
        <f>IFERROR(__xludf.DUMMYFUNCTION("""COMPUTED_VALUE"""),"Ecatepec")</f>
        <v>Ecatepec</v>
      </c>
      <c r="L154" s="2" t="str">
        <f>IFERROR(__xludf.DUMMYFUNCTION("""COMPUTED_VALUE"""),"Estado de México")</f>
        <v>Estado de México</v>
      </c>
      <c r="M154" s="16" t="str">
        <f>IFERROR(__xludf.DUMMYFUNCTION("""COMPUTED_VALUE"""),"https://diarioportal.com/seguridad-y-justicia/detectan-posible-desfalco-en-organo-municipal-de-agua-en-ecatepec")</f>
        <v>https://diarioportal.com/seguridad-y-justicia/detectan-posible-desfalco-en-organo-municipal-de-agua-en-ecatepec</v>
      </c>
      <c r="N154" s="2" t="str">
        <f>IFERROR(__xludf.DUMMYFUNCTION("""COMPUTED_VALUE"""),"Una auditoría del Órgano Superior de Fiscalización del Estado de México (OSFEM), aplicada a Sapase de Ecatepec, organismo entonces dirigido por Elí Benjamín Hernández Rodríguez, detectó anomalías en el uso de 67 millones 137 mil seiscientos pesos que fue"&amp;"ron auditados y que arrojaron 81 observaciones de conductas del Sistema Anticorrupción. La auditoría detectó erogación indebida de recursos, desvío y anomalías financieras en el presupuesto 2024 esto durante el periodo encabezado por el expresidente ahora"&amp;" diputado federal Fernando Vilchis Contreras. Entre las anomalías financieras destacan la inexistencia de obras, erogación indebida de recursos públicos, la no acreditación que pruebe la aplicación de los bienes adquiridos, la falta de contratos, la falt"&amp;"a de verificación de los registros contables, la inexistencia de documentación financiera original comprobatoria y justificativa del gasto, el uso y destino de los recursos, afectación contable de la partida presupuestal. En el análisis financiero de los "&amp;"recursos se detectó que el organismo del agua Sapase, no ejerció la totalidad de los recursos públicos financieros autorizados para la inversión física, pudiendo haber causado un daño a la Hacienda Pública Municipal, al desconocerse el uso y destino fina"&amp;"l de los recursos. En la auditoría se enumeran múltiples adquisiones o trabajos donde no se contó con ningún elemento que acreditara la aplicación de los bienes adquiridos y que no contaban con contrato como: suministros de refacciones y materiales para "&amp;"realizar diferentes mantenimientos en tanques; suministro materiales de acero para cambio de coladeras, adquisición de pintura y accesorios para pozos y tanques y suministro de materiales para mantenimiento en oficinas de dicha dependencia. Ademàs de la c"&amp;"ompra de juntas de diversos tamaños y materiales para reparaciones de fugas de agua en tanques, adquisición de material para la reparación del socavones en diversas colonias, la rehabilitación de equipo de bombeo sumergible para pozos, reparación de motor"&amp;" eléctrico para tanques, reparación de equipo de bombeo de cárcamos y tanques Otras anomalías que se detectaron fueron compra de coladeras pluviales banqueta con rejilla de concreto, reparaciones y rehabilitaciones de diversas bombas sumergibles; diversas"&amp;" maniobras de instalación y desinstalación, reparaciones, rehabilitaciones de diversas bombas y tomas de videograbación, servicios de perforación de pozos de todo tipo y clase, equipamiento y los trabajos posteriores, la perforación de pozo profundo Cruz "&amp;"Roja y John F. Kenedy; entre otros. Esta auditoría se suma a una de tantas anomalías que el Órgano Superior de Fiscalización del Estado de México (OSFEM) detectó por millones de pesos durante la administración encabezada por el expresidente municipal Fer"&amp;"nando Vilchis Contreras. No hay etiquetas asociadas a éste artículo.")</f>
        <v>Una auditoría del Órgano Superior de Fiscalización del Estado de México (OSFEM), aplicada a Sapase de Ecatepec, organismo entonces dirigido por Elí Benjamín Hernández Rodríguez, detectó anomalías en el uso de 67 millones 137 mil seiscientos pesos que fueron auditados y que arrojaron 81 observaciones de conductas del Sistema Anticorrupción. La auditoría detectó erogación indebida de recursos, desvío y anomalías financieras en el presupuesto 2024 esto durante el periodo encabezado por el expresidente ahora diputado federal Fernando Vilchis Contreras. Entre las anomalías financieras destacan la inexistencia de obras, erogación indebida de recursos públicos, la no acreditación que pruebe la aplicación de los bienes adquiridos, la falta de contratos, la falta de verificación de los registros contables, la inexistencia de documentación financiera original comprobatoria y justificativa del gasto, el uso y destino de los recursos, afectación contable de la partida presupuestal. En el análisis financiero de los recursos se detectó que el organismo del agua Sapase, no ejerció la totalidad de los recursos públicos financieros autorizados para la inversión física, pudiendo haber causado un daño a la Hacienda Pública Municipal, al desconocerse el uso y destino final de los recursos. En la auditoría se enumeran múltiples adquisiones o trabajos donde no se contó con ningún elemento que acreditara la aplicación de los bienes adquiridos y que no contaban con contrato como: suministros de refacciones y materiales para realizar diferentes mantenimientos en tanques; suministro materiales de acero para cambio de coladeras, adquisición de pintura y accesorios para pozos y tanques y suministro de materiales para mantenimiento en oficinas de dicha dependencia. Ademàs de la compra de juntas de diversos tamaños y materiales para reparaciones de fugas de agua en tanques, adquisición de material para la reparación del socavones en diversas colonias, la rehabilitación de equipo de bombeo sumergible para pozos, reparación de motor eléctrico para tanques, reparación de equipo de bombeo de cárcamos y tanques Otras anomalías que se detectaron fueron compra de coladeras pluviales banqueta con rejilla de concreto, reparaciones y rehabilitaciones de diversas bombas sumergibles; diversas maniobras de instalación y desinstalación, reparaciones, rehabilitaciones de diversas bombas y tomas de videograbación, servicios de perforación de pozos de todo tipo y clase, equipamiento y los trabajos posteriores, la perforación de pozo profundo Cruz Roja y John F. Kenedy; entre otros. Esta auditoría se suma a una de tantas anomalías que el Órgano Superior de Fiscalización del Estado de México (OSFEM) detectó por millones de pesos durante la administración encabezada por el expresidente municipal Fernando Vilchis Contreras. No hay etiquetas asociadas a éste artículo.</v>
      </c>
      <c r="O154" s="15">
        <f>IFERROR(__xludf.DUMMYFUNCTION("""COMPUTED_VALUE"""),0.3262)</f>
        <v>0.3262</v>
      </c>
      <c r="P154" s="2"/>
      <c r="Q154" s="17">
        <f>IFERROR(__xludf.DUMMYFUNCTION("""COMPUTED_VALUE"""),8.5)</f>
        <v>8.5</v>
      </c>
      <c r="R154" s="2" t="str">
        <f>IFERROR(__xludf.DUMMYFUNCTION("""COMPUTED_VALUE"""),"High")</f>
        <v>High</v>
      </c>
      <c r="S154" s="17">
        <f>IFERROR(__xludf.DUMMYFUNCTION("""COMPUTED_VALUE"""),3.5)</f>
        <v>3.5</v>
      </c>
      <c r="T154" s="17">
        <f>IFERROR(__xludf.DUMMYFUNCTION("""COMPUTED_VALUE"""),0.0)</f>
        <v>0</v>
      </c>
      <c r="U154" s="14">
        <f>IFERROR(__xludf.DUMMYFUNCTION("""COMPUTED_VALUE"""),2.0)</f>
        <v>2</v>
      </c>
      <c r="V154" s="14" t="s">
        <v>1186</v>
      </c>
      <c r="W154" s="2" t="s">
        <v>190</v>
      </c>
      <c r="X154" s="2" t="s">
        <v>190</v>
      </c>
      <c r="Y154" s="13"/>
      <c r="Z154" s="14">
        <v>0.0</v>
      </c>
      <c r="AA154" s="14">
        <v>0.0</v>
      </c>
      <c r="AB154" s="14">
        <v>0.0</v>
      </c>
      <c r="AC154" s="14">
        <v>0.0</v>
      </c>
      <c r="AD154" s="2">
        <v>0.0</v>
      </c>
      <c r="AE154" s="2">
        <v>0.0</v>
      </c>
      <c r="AF154" s="2" t="s">
        <v>1186</v>
      </c>
      <c r="AG154" s="2" t="s">
        <v>1208</v>
      </c>
      <c r="AH154" s="2">
        <v>0.0</v>
      </c>
    </row>
    <row r="155" ht="15.75" customHeight="1">
      <c r="A155" s="2" t="str">
        <f>IFERROR(__xludf.DUMMYFUNCTION("""COMPUTED_VALUE"""),"Diario Portal")</f>
        <v>Diario Portal</v>
      </c>
      <c r="B155" s="12" t="str">
        <f>IFERROR(__xludf.DUMMYFUNCTION("""COMPUTED_VALUE"""),"Se sostiene reducción de violencia en el Edomex")</f>
        <v>Se sostiene reducción de violencia en el Edomex</v>
      </c>
      <c r="C155" s="13" t="str">
        <f>IFERROR(__xludf.DUMMYFUNCTION("""COMPUTED_VALUE"""),"2025-11-25 13:43:54")</f>
        <v>2025-11-25 13:43:54</v>
      </c>
      <c r="D155" s="14">
        <f>IFERROR(__xludf.DUMMYFUNCTION("""COMPUTED_VALUE"""),5.0)</f>
        <v>5</v>
      </c>
      <c r="E155" s="15">
        <f>IFERROR(__xludf.DUMMYFUNCTION("""COMPUTED_VALUE"""),0.0)</f>
        <v>0</v>
      </c>
      <c r="F155" s="2" t="str">
        <f>IFERROR(__xludf.DUMMYFUNCTION("""COMPUTED_VALUE"""),"Neutral")</f>
        <v>Neutral</v>
      </c>
      <c r="G155" s="15">
        <f>IFERROR(__xludf.DUMMYFUNCTION("""COMPUTED_VALUE"""),0.5448)</f>
        <v>0.5448</v>
      </c>
      <c r="H155" s="2" t="str">
        <f>IFERROR(__xludf.DUMMYFUNCTION("""COMPUTED_VALUE"""),"Acoso o agresión sexual")</f>
        <v>Acoso o agresión sexual</v>
      </c>
      <c r="I155" s="2" t="str">
        <f>IFERROR(__xludf.DUMMYFUNCTION("""COMPUTED_VALUE"""),"feminicidio")</f>
        <v>feminicidio</v>
      </c>
      <c r="J155" s="2" t="str">
        <f>IFERROR(__xludf.DUMMYFUNCTION("""COMPUTED_VALUE"""),"INTEGRIDAD / GÉNERO: Cero Tolerancia.")</f>
        <v>INTEGRIDAD / GÉNERO: Cero Tolerancia.</v>
      </c>
      <c r="K155" s="2" t="str">
        <f>IFERROR(__xludf.DUMMYFUNCTION("""COMPUTED_VALUE"""),"Estado de México")</f>
        <v>Estado de México</v>
      </c>
      <c r="L155" s="2" t="str">
        <f>IFERROR(__xludf.DUMMYFUNCTION("""COMPUTED_VALUE"""),"Estado de México")</f>
        <v>Estado de México</v>
      </c>
      <c r="M155" s="16" t="str">
        <f>IFERROR(__xludf.DUMMYFUNCTION("""COMPUTED_VALUE"""),"https://diarioportal.com/seguridad-y-justicia/se-sostiene-reduccion-de-violencia-en-el-edomex")</f>
        <v>https://diarioportal.com/seguridad-y-justicia/se-sostiene-reduccion-de-violencia-en-el-edomex</v>
      </c>
      <c r="N155" s="2" t="str">
        <f>IFERROR(__xludf.DUMMYFUNCTION("""COMPUTED_VALUE"""),"En la Mesa de Paz, encabezada por la gobernadora Delfina Gómez Álvarez, se informó que el Estado de México acumula dos años consecutivos con reducciones sostenidas en los delitos relacionados con violencia de género, logrando una baja global del 13% del 1"&amp;" de enero al 24 de noviembre de 2025, en comparación con el mismo periodo de 2024. De acuerdo con datos de la Fiscalía General de Justicia del Estado de México (FGJEM), las denuncias por delitos de violencia de género también mostraron una reducción signi"&amp;"ficativa: en 2024 disminuyeron 4 mil 107 denuncias, mientras que, en 2025, la baja fue de 9 mil 362 denuncias. Por otra parte, en lo que va del año, la tendencia también es descendente por tipo de delito: feminicidio (25%), lesiones dolosas contra mujeres"&amp;" (20%), hostigamiento y acoso sexual (18%), homicidio doloso de mujeres (14%), violación (10%), violencia familiar (8%) e incumplimiento de obligaciones alimentarias (15%). Estos resultados se fortalecen con estrategias integrales como el Operativo Violet"&amp;"a, con 140 despliegues en 26 municipios, que ha beneficiado a más de 48 mil personas mediante patrullajes reforzados, atención de auxilios y recuperación de espacios públicos; y el programa Nos Movemos Seguras, que ha mejorado la respuesta ante casos de a"&amp;"coso en Mexibús, Mexicable y rutas concesionadas, incrementando la denuncia y la confianza de las usuarias. En la sesión 222 de la Mesa de Paz participaron Horacio Duarte Olivares, Secretario General de Gobierno; Cristóbal Castañeda Camarillo, Secretario "&amp;"de Seguridad; Maricela López Urbina, Secretaria Técnica; José Luis Cervantes Martínez, Fiscal General de Justicia del Estado de México; Héctor Macedo García, Presidente del Tribunal Superior de Justicia del Estado de México (TSJEM); así como representante"&amp;"s de Defensa, Marina, Guardia Nacional y el Centro Nacional de Inteligencia. No hay etiquetas asociadas a éste artículo.")</f>
        <v>En la Mesa de Paz, encabezada por la gobernadora Delfina Gómez Álvarez, se informó que el Estado de México acumula dos años consecutivos con reducciones sostenidas en los delitos relacionados con violencia de género, logrando una baja global del 13% del 1 de enero al 24 de noviembre de 2025, en comparación con el mismo periodo de 2024. De acuerdo con datos de la Fiscalía General de Justicia del Estado de México (FGJEM), las denuncias por delitos de violencia de género también mostraron una reducción significativa: en 2024 disminuyeron 4 mil 107 denuncias, mientras que, en 2025, la baja fue de 9 mil 362 denuncias. Por otra parte, en lo que va del año, la tendencia también es descendente por tipo de delito: feminicidio (25%), lesiones dolosas contra mujeres (20%), hostigamiento y acoso sexual (18%), homicidio doloso de mujeres (14%), violación (10%), violencia familiar (8%) e incumplimiento de obligaciones alimentarias (15%). Estos resultados se fortalecen con estrategias integrales como el Operativo Violeta, con 140 despliegues en 26 municipios, que ha beneficiado a más de 48 mil personas mediante patrullajes reforzados, atención de auxilios y recuperación de espacios públicos; y el programa Nos Movemos Seguras, que ha mejorado la respuesta ante casos de acoso en Mexibús, Mexicable y rutas concesionadas, incrementando la denuncia y la confianza de las usuarias. En la sesión 222 de la Mesa de Paz participaron Horacio Duarte Olivares, Secretario General de Gobierno; Cristóbal Castañeda Camarillo, Secretario de Seguridad; Maricela López Urbina, Secretaria Técnica; José Luis Cervantes Martínez, Fiscal General de Justicia del Estado de México; Héctor Macedo García, Presidente del Tribunal Superior de Justicia del Estado de México (TSJEM); así como representantes de Defensa, Marina, Guardia Nacional y el Centro Nacional de Inteligencia. No hay etiquetas asociadas a éste artículo.</v>
      </c>
      <c r="O155" s="15">
        <f>IFERROR(__xludf.DUMMYFUNCTION("""COMPUTED_VALUE"""),1.0)</f>
        <v>1</v>
      </c>
      <c r="P155" s="2"/>
      <c r="Q155" s="17">
        <f>IFERROR(__xludf.DUMMYFUNCTION("""COMPUTED_VALUE"""),8.0)</f>
        <v>8</v>
      </c>
      <c r="R155" s="2" t="str">
        <f>IFERROR(__xludf.DUMMYFUNCTION("""COMPUTED_VALUE"""),"High")</f>
        <v>High</v>
      </c>
      <c r="S155" s="17">
        <f>IFERROR(__xludf.DUMMYFUNCTION("""COMPUTED_VALUE"""),3.0)</f>
        <v>3</v>
      </c>
      <c r="T155" s="17">
        <f>IFERROR(__xludf.DUMMYFUNCTION("""COMPUTED_VALUE"""),0.0)</f>
        <v>0</v>
      </c>
      <c r="U155" s="14">
        <f>IFERROR(__xludf.DUMMYFUNCTION("""COMPUTED_VALUE"""),2.0)</f>
        <v>2</v>
      </c>
      <c r="V155" s="14">
        <v>2025.0</v>
      </c>
      <c r="W155" s="2" t="s">
        <v>1206</v>
      </c>
      <c r="X155" s="2" t="s">
        <v>1218</v>
      </c>
      <c r="Y155" s="13" t="s">
        <v>639</v>
      </c>
      <c r="Z155" s="14">
        <v>0.0</v>
      </c>
      <c r="AA155" s="14">
        <v>0.0</v>
      </c>
      <c r="AB155" s="14">
        <v>0.0</v>
      </c>
      <c r="AC155" s="14">
        <v>0.0</v>
      </c>
      <c r="AD155" s="2">
        <v>0.0</v>
      </c>
      <c r="AE155" s="2">
        <v>1.0</v>
      </c>
      <c r="AF155" s="2">
        <v>11.0</v>
      </c>
      <c r="AG155" s="2" t="s">
        <v>1202</v>
      </c>
      <c r="AH155" s="2">
        <v>0.0</v>
      </c>
    </row>
    <row r="156" ht="15.75" customHeight="1">
      <c r="A156" s="2" t="str">
        <f>IFERROR(__xludf.DUMMYFUNCTION("""COMPUTED_VALUE"""),"Diario Portal")</f>
        <v>Diario Portal</v>
      </c>
      <c r="B156" s="12" t="str">
        <f>IFERROR(__xludf.DUMMYFUNCTION("""COMPUTED_VALUE"""),"Líder vinculado con criminales usa protestas  transportistas para blindarse ante la ley")</f>
        <v>Líder vinculado con criminales usa protestas  transportistas para blindarse ante la ley</v>
      </c>
      <c r="C156" s="13" t="str">
        <f>IFERROR(__xludf.DUMMYFUNCTION("""COMPUTED_VALUE"""),"Sin Fecha")</f>
        <v>Sin Fecha</v>
      </c>
      <c r="D156" s="14">
        <f>IFERROR(__xludf.DUMMYFUNCTION("""COMPUTED_VALUE"""),3.0)</f>
        <v>3</v>
      </c>
      <c r="E156" s="15">
        <f>IFERROR(__xludf.DUMMYFUNCTION("""COMPUTED_VALUE"""),-0.9533)</f>
        <v>-0.9533</v>
      </c>
      <c r="F156" s="2" t="str">
        <f>IFERROR(__xludf.DUMMYFUNCTION("""COMPUTED_VALUE"""),"Negativo")</f>
        <v>Negativo</v>
      </c>
      <c r="G156" s="15">
        <f>IFERROR(__xludf.DUMMYFUNCTION("""COMPUTED_VALUE"""),0.9533)</f>
        <v>0.9533</v>
      </c>
      <c r="H156" s="2" t="str">
        <f>IFERROR(__xludf.DUMMYFUNCTION("""COMPUTED_VALUE"""),"Protestas o bloqueos viales")</f>
        <v>Protestas o bloqueos viales</v>
      </c>
      <c r="I156" s="2" t="str">
        <f>IFERROR(__xludf.DUMMYFUNCTION("""COMPUTED_VALUE"""),"bloqueo")</f>
        <v>bloqueo</v>
      </c>
      <c r="J156" s="2" t="str">
        <f>IFERROR(__xludf.DUMMYFUNCTION("""COMPUTED_VALUE"""),"Operaciones: Notificar zonas a evitar (Waze/Maps).")</f>
        <v>Operaciones: Notificar zonas a evitar (Waze/Maps).</v>
      </c>
      <c r="K156" s="2" t="str">
        <f>IFERROR(__xludf.DUMMYFUNCTION("""COMPUTED_VALUE"""),"Ecatepec")</f>
        <v>Ecatepec</v>
      </c>
      <c r="L156" s="2" t="str">
        <f>IFERROR(__xludf.DUMMYFUNCTION("""COMPUTED_VALUE"""),"Estado de México")</f>
        <v>Estado de México</v>
      </c>
      <c r="M156" s="16" t="str">
        <f>IFERROR(__xludf.DUMMYFUNCTION("""COMPUTED_VALUE"""),"https://diarioportal.com/seguridad-y-justicia/lider-vinculado-con-criminales-usa-protestas-transportistas-para-blindarse-ante-la-ley")</f>
        <v>https://diarioportal.com/seguridad-y-justicia/lider-vinculado-con-criminales-usa-protestas-transportistas-para-blindarse-ante-la-ley</v>
      </c>
      <c r="N156" s="2" t="str">
        <f>IFERROR(__xludf.DUMMYFUNCTION("""COMPUTED_VALUE"""),"En Ecatepec, José Neri Ortega Blancas, líder del Sindicato del Cemento, líder vinculado con Guillermo Fragoso, líder del Sindicato 25 de Marzo y USON, estaría utilizando el Mega bloqueo nacional que se lleva a cabo este día para negociar protección. Aunqu"&amp;"e son legítimas las demandas de los transportistas y campesinos, que convocaron la movilización en diversos estados del país, por la inseguridad, la extorsión y los robos que enfrentan en las carreteras y el fortalecimiento de la agricultura nacional, el "&amp;"caso de Ecatepec es punto y aparte. Debido a que José Neri Ortega Blancas, líder del Sindicato del Cemento, encabeza con un tinte político, los bloqueos de transportistas sobre la vía José López Portillo y la carretera Texcoco-Lechería del municipio de Ec"&amp;"atepec. También en el bloqueo de la carretera Texcoco-Lechería participan las rutas “Grupo Flecha Azul S.A de C.V, Ruta 95, Autobuses del Valle de México (AVM). ¿Y quién es José Neri Ortega Blancas?, pues uno de los hombres que tiene una cercanía directa "&amp;"con Guillermo Fragoso, líder del Sindicato 25 de marzo y USON, quien actualmente cuenta con una orden de aprehensión por delincuencia organizada y está prófugo de la justicia. Además, sostenía negocios con Juan Ortiz, líder de la Federación Internacional "&amp;"de Trabajadoras y Trabajadores Asalariados de México (FITTAM), quien fue detenido en días pasados por la Fiscalía General de Justicia del Estado de México (FGJEM) por los delitos de extorsión, despojo y robo de agua potable. Este trío forma parte de los S"&amp;"indicatos Unidos por la Transformación de México (SUTMEX). Por ello, la movilización que encabeza en Ecatepec, sería una estrategia para presionar al Gobierno Federal y Estatal, a fin de negociar protección y evitar que salga una orden de aprensión en su "&amp;"contra. No hay etiquetas asociadas a éste artículo.")</f>
        <v>En Ecatepec, José Neri Ortega Blancas, líder del Sindicato del Cemento, líder vinculado con Guillermo Fragoso, líder del Sindicato 25 de Marzo y USON, estaría utilizando el Mega bloqueo nacional que se lleva a cabo este día para negociar protección. Aunque son legítimas las demandas de los transportistas y campesinos, que convocaron la movilización en diversos estados del país, por la inseguridad, la extorsión y los robos que enfrentan en las carreteras y el fortalecimiento de la agricultura nacional, el caso de Ecatepec es punto y aparte. Debido a que José Neri Ortega Blancas, líder del Sindicato del Cemento, encabeza con un tinte político, los bloqueos de transportistas sobre la vía José López Portillo y la carretera Texcoco-Lechería del municipio de Ecatepec. También en el bloqueo de la carretera Texcoco-Lechería participan las rutas “Grupo Flecha Azul S.A de C.V, Ruta 95, Autobuses del Valle de México (AVM). ¿Y quién es José Neri Ortega Blancas?, pues uno de los hombres que tiene una cercanía directa con Guillermo Fragoso, líder del Sindicato 25 de marzo y USON, quien actualmente cuenta con una orden de aprehensión por delincuencia organizada y está prófugo de la justicia. Además, sostenía negocios con Juan Ortiz, líder de la Federación Internacional de Trabajadoras y Trabajadores Asalariados de México (FITTAM), quien fue detenido en días pasados por la Fiscalía General de Justicia del Estado de México (FGJEM) por los delitos de extorsión, despojo y robo de agua potable. Este trío forma parte de los Sindicatos Unidos por la Transformación de México (SUTMEX). Por ello, la movilización que encabeza en Ecatepec, sería una estrategia para presionar al Gobierno Federal y Estatal, a fin de negociar protección y evitar que salga una orden de aprensión en su contra. No hay etiquetas asociadas a éste artículo.</v>
      </c>
      <c r="O156" s="15">
        <f>IFERROR(__xludf.DUMMYFUNCTION("""COMPUTED_VALUE"""),1.0)</f>
        <v>1</v>
      </c>
      <c r="P156" s="2"/>
      <c r="Q156" s="17">
        <f>IFERROR(__xludf.DUMMYFUNCTION("""COMPUTED_VALUE"""),5.0)</f>
        <v>5</v>
      </c>
      <c r="R156" s="2" t="str">
        <f>IFERROR(__xludf.DUMMYFUNCTION("""COMPUTED_VALUE"""),"High")</f>
        <v>High</v>
      </c>
      <c r="S156" s="17">
        <f>IFERROR(__xludf.DUMMYFUNCTION("""COMPUTED_VALUE"""),2.0)</f>
        <v>2</v>
      </c>
      <c r="T156" s="17">
        <f>IFERROR(__xludf.DUMMYFUNCTION("""COMPUTED_VALUE"""),0.0)</f>
        <v>0</v>
      </c>
      <c r="U156" s="14">
        <f>IFERROR(__xludf.DUMMYFUNCTION("""COMPUTED_VALUE"""),2.0)</f>
        <v>2</v>
      </c>
      <c r="V156" s="14" t="s">
        <v>1186</v>
      </c>
      <c r="W156" s="2" t="s">
        <v>190</v>
      </c>
      <c r="X156" s="2" t="s">
        <v>190</v>
      </c>
      <c r="Y156" s="13"/>
      <c r="Z156" s="14">
        <v>0.0</v>
      </c>
      <c r="AA156" s="14">
        <v>0.0</v>
      </c>
      <c r="AB156" s="14">
        <v>0.0</v>
      </c>
      <c r="AC156" s="14">
        <v>0.0</v>
      </c>
      <c r="AD156" s="2">
        <v>0.0</v>
      </c>
      <c r="AE156" s="2">
        <v>0.0</v>
      </c>
      <c r="AF156" s="2" t="s">
        <v>1186</v>
      </c>
      <c r="AG156" s="2" t="s">
        <v>1208</v>
      </c>
      <c r="AH156" s="2">
        <v>0.0</v>
      </c>
    </row>
    <row r="157" ht="15.75" customHeight="1">
      <c r="A157" s="2" t="str">
        <f>IFERROR(__xludf.DUMMYFUNCTION("""COMPUTED_VALUE"""),"Diario Portal")</f>
        <v>Diario Portal</v>
      </c>
      <c r="B157" s="12" t="str">
        <f>IFERROR(__xludf.DUMMYFUNCTION("""COMPUTED_VALUE"""),"Implementan  pago digital de  infracciones  con reforma  al reglamento  de tránsito  en Edomex")</f>
        <v>Implementan  pago digital de  infracciones  con reforma  al reglamento  de tránsito  en Edomex</v>
      </c>
      <c r="C157" s="13" t="str">
        <f>IFERROR(__xludf.DUMMYFUNCTION("""COMPUTED_VALUE"""),"Sin Fecha")</f>
        <v>Sin Fecha</v>
      </c>
      <c r="D157" s="14">
        <f>IFERROR(__xludf.DUMMYFUNCTION("""COMPUTED_VALUE"""),2.0)</f>
        <v>2</v>
      </c>
      <c r="E157" s="15">
        <f>IFERROR(__xludf.DUMMYFUNCTION("""COMPUTED_VALUE"""),0.0)</f>
        <v>0</v>
      </c>
      <c r="F157" s="2" t="str">
        <f>IFERROR(__xludf.DUMMYFUNCTION("""COMPUTED_VALUE"""),"Neutral")</f>
        <v>Neutral</v>
      </c>
      <c r="G157" s="15">
        <f>IFERROR(__xludf.DUMMYFUNCTION("""COMPUTED_VALUE"""),0.8359)</f>
        <v>0.8359</v>
      </c>
      <c r="H157" s="2" t="str">
        <f>IFERROR(__xludf.DUMMYFUNCTION("""COMPUTED_VALUE"""),"Operativo policial o detención")</f>
        <v>Operativo policial o detención</v>
      </c>
      <c r="I157" s="2" t="str">
        <f>IFERROR(__xludf.DUMMYFUNCTION("""COMPUTED_VALUE"""),"N/A")</f>
        <v>N/A</v>
      </c>
      <c r="J157" s="2" t="str">
        <f>IFERROR(__xludf.DUMMYFUNCTION("""COMPUTED_VALUE"""),"Monitoreo general.")</f>
        <v>Monitoreo general.</v>
      </c>
      <c r="K157" s="2" t="str">
        <f>IFERROR(__xludf.DUMMYFUNCTION("""COMPUTED_VALUE"""),"Estado de México")</f>
        <v>Estado de México</v>
      </c>
      <c r="L157" s="2" t="str">
        <f>IFERROR(__xludf.DUMMYFUNCTION("""COMPUTED_VALUE"""),"Estado de México")</f>
        <v>Estado de México</v>
      </c>
      <c r="M157" s="16" t="str">
        <f>IFERROR(__xludf.DUMMYFUNCTION("""COMPUTED_VALUE"""),"https://diarioportal.com/seguridad-y-justicia/implementan-pago-digital-de-infracciones-con-reforma-al-reglamento-de-transito-en-edomex")</f>
        <v>https://diarioportal.com/seguridad-y-justicia/implementan-pago-digital-de-infracciones-con-reforma-al-reglamento-de-transito-en-edomex</v>
      </c>
      <c r="N157" s="2" t="str">
        <f>IFERROR(__xludf.DUMMYFUNCTION("""COMPUTED_VALUE"""),"Con la puesta en operación este 25 de noviembre de la reforma al Reglamento de Tránsito en la entidad, las Secretarías de Seguridad y Finanzas dispondrán de diferentes formas de pago de infracciones, así como el 50% de descuento para quienes liquiden al m"&amp;"omento o dentro de los 15 días hábiles a partir de la fecha en la que se emita o notifique la multa. En vías primarias cuando las agentes de tránsito expidan la falta, entregarán al ciudadano el original de la misma para proceder al pago, el cual podrá cu"&amp;"brirse de tres formas: una de ellas de manera inmediata, mediante la terminal electrónica que las agentes portan, llamada 'Handheld', la cual acepta pago con tarjeta, ya sea de crédito o débito. La segunda es en los establecimientos autorizados por la Sec"&amp;"retaría de Finanzas, publicados en su página, como tiendas de conveniencia e instituciones bancarias. Finalmente, por medio del sitio web https://sseguridad.edomex.gob.mx, en el apartado Infracción Transparente, sección en la que se encontrará un enlace q"&amp;"ue redireccionará a un portal de la Secretaría de Finanzas. Respecto a las infracciones que derivan de equipos o sistemas tecnológicos por invasión del carril confinado y exceso de velocidad en el carril contiguo del Mexibús, se contará con un descuento d"&amp;"el 50% dentro de los 15 días hábiles siguientes, a partir de la fecha en que la infracción haya sido notificada en el domicilio de la persona que se encuentra registrada como propietaria en el registro público vehicular correspondiente. Otra cuestión a co"&amp;"nsiderar es que, cuando un vehículo tenga placas que no sean del Estado de México y no se pueda pagar la sanción al momento, las agentes de tránsito están facultadas para retener la tarjeta de circulación, licencia del conductor o la placa, como una medid"&amp;"a que garantice el pago. Finalmente, dichos documentos podrán ser recuperados en los Servicios Administrativos más cercanos a donde se haga la retención. No hay etiquetas asociadas a éste artículo.")</f>
        <v>Con la puesta en operación este 25 de noviembre de la reforma al Reglamento de Tránsito en la entidad, las Secretarías de Seguridad y Finanzas dispondrán de diferentes formas de pago de infracciones, así como el 50% de descuento para quienes liquiden al momento o dentro de los 15 días hábiles a partir de la fecha en la que se emita o notifique la multa. En vías primarias cuando las agentes de tránsito expidan la falta, entregarán al ciudadano el original de la misma para proceder al pago, el cual podrá cubrirse de tres formas: una de ellas de manera inmediata, mediante la terminal electrónica que las agentes portan, llamada 'Handheld', la cual acepta pago con tarjeta, ya sea de crédito o débito. La segunda es en los establecimientos autorizados por la Secretaría de Finanzas, publicados en su página, como tiendas de conveniencia e instituciones bancarias. Finalmente, por medio del sitio web https://sseguridad.edomex.gob.mx, en el apartado Infracción Transparente, sección en la que se encontrará un enlace que redireccionará a un portal de la Secretaría de Finanzas. Respecto a las infracciones que derivan de equipos o sistemas tecnológicos por invasión del carril confinado y exceso de velocidad en el carril contiguo del Mexibús, se contará con un descuento del 50% dentro de los 15 días hábiles siguientes, a partir de la fecha en que la infracción haya sido notificada en el domicilio de la persona que se encuentra registrada como propietaria en el registro público vehicular correspondiente. Otra cuestión a considerar es que, cuando un vehículo tenga placas que no sean del Estado de México y no se pueda pagar la sanción al momento, las agentes de tránsito están facultadas para retener la tarjeta de circulación, licencia del conductor o la placa, como una medida que garantice el pago. Finalmente, dichos documentos podrán ser recuperados en los Servicios Administrativos más cercanos a donde se haga la retención. No hay etiquetas asociadas a éste artículo.</v>
      </c>
      <c r="O157" s="15">
        <f>IFERROR(__xludf.DUMMYFUNCTION("""COMPUTED_VALUE"""),0.7446)</f>
        <v>0.7446</v>
      </c>
      <c r="P157" s="2"/>
      <c r="Q157" s="17">
        <f>IFERROR(__xludf.DUMMYFUNCTION("""COMPUTED_VALUE"""),6.0)</f>
        <v>6</v>
      </c>
      <c r="R157" s="2" t="str">
        <f>IFERROR(__xludf.DUMMYFUNCTION("""COMPUTED_VALUE"""),"High")</f>
        <v>High</v>
      </c>
      <c r="S157" s="17">
        <f>IFERROR(__xludf.DUMMYFUNCTION("""COMPUTED_VALUE"""),6.0)</f>
        <v>6</v>
      </c>
      <c r="T157" s="17">
        <f>IFERROR(__xludf.DUMMYFUNCTION("""COMPUTED_VALUE"""),0.0)</f>
        <v>0</v>
      </c>
      <c r="U157" s="14">
        <f>IFERROR(__xludf.DUMMYFUNCTION("""COMPUTED_VALUE"""),2.0)</f>
        <v>2</v>
      </c>
      <c r="V157" s="14" t="s">
        <v>1186</v>
      </c>
      <c r="W157" s="2" t="s">
        <v>190</v>
      </c>
      <c r="X157" s="2" t="s">
        <v>190</v>
      </c>
      <c r="Y157" s="13"/>
      <c r="Z157" s="14">
        <v>0.0</v>
      </c>
      <c r="AA157" s="14">
        <v>0.0</v>
      </c>
      <c r="AB157" s="14">
        <v>0.0</v>
      </c>
      <c r="AC157" s="14">
        <v>0.0</v>
      </c>
      <c r="AD157" s="2">
        <v>0.0</v>
      </c>
      <c r="AE157" s="2">
        <v>0.0</v>
      </c>
      <c r="AF157" s="2" t="s">
        <v>1186</v>
      </c>
      <c r="AG157" s="2" t="s">
        <v>1202</v>
      </c>
      <c r="AH157" s="2">
        <v>0.0</v>
      </c>
    </row>
    <row r="158" ht="15.75" customHeight="1">
      <c r="A158" s="2" t="str">
        <f>IFERROR(__xludf.DUMMYFUNCTION("""COMPUTED_VALUE"""),"Diario Portal")</f>
        <v>Diario Portal</v>
      </c>
      <c r="B158" s="12" t="str">
        <f>IFERROR(__xludf.DUMMYFUNCTION("""COMPUTED_VALUE"""),"Restituidos a legítimos dueños 710 inmuebles de los 1,190 asegurados por despojo en Edomex")</f>
        <v>Restituidos a legítimos dueños 710 inmuebles de los 1,190 asegurados por despojo en Edomex</v>
      </c>
      <c r="C158" s="13" t="str">
        <f>IFERROR(__xludf.DUMMYFUNCTION("""COMPUTED_VALUE"""),"2025-11-23 15:55:58")</f>
        <v>2025-11-23 15:55:58</v>
      </c>
      <c r="D158" s="14">
        <f>IFERROR(__xludf.DUMMYFUNCTION("""COMPUTED_VALUE"""),2.0)</f>
        <v>2</v>
      </c>
      <c r="E158" s="15">
        <f>IFERROR(__xludf.DUMMYFUNCTION("""COMPUTED_VALUE"""),0.0)</f>
        <v>0</v>
      </c>
      <c r="F158" s="2" t="str">
        <f>IFERROR(__xludf.DUMMYFUNCTION("""COMPUTED_VALUE"""),"Neutral")</f>
        <v>Neutral</v>
      </c>
      <c r="G158" s="15">
        <f>IFERROR(__xludf.DUMMYFUNCTION("""COMPUTED_VALUE"""),0.6349)</f>
        <v>0.6349</v>
      </c>
      <c r="H158" s="2" t="str">
        <f>IFERROR(__xludf.DUMMYFUNCTION("""COMPUTED_VALUE"""),"Operativo policial o detención")</f>
        <v>Operativo policial o detención</v>
      </c>
      <c r="I158" s="2" t="str">
        <f>IFERROR(__xludf.DUMMYFUNCTION("""COMPUTED_VALUE"""),"N/A")</f>
        <v>N/A</v>
      </c>
      <c r="J158" s="2" t="str">
        <f>IFERROR(__xludf.DUMMYFUNCTION("""COMPUTED_VALUE"""),"Monitoreo general.")</f>
        <v>Monitoreo general.</v>
      </c>
      <c r="K158" s="2" t="str">
        <f>IFERROR(__xludf.DUMMYFUNCTION("""COMPUTED_VALUE"""),"Estado de México")</f>
        <v>Estado de México</v>
      </c>
      <c r="L158" s="2" t="str">
        <f>IFERROR(__xludf.DUMMYFUNCTION("""COMPUTED_VALUE"""),"Estado de México")</f>
        <v>Estado de México</v>
      </c>
      <c r="M158" s="16" t="str">
        <f>IFERROR(__xludf.DUMMYFUNCTION("""COMPUTED_VALUE"""),"https://diarioportal.com/seguridad-y-justicia/restituidos-a-legitimos-duenos-710-inmuebles-de-los-1190-asegurados-por-despojo-en-edomex")</f>
        <v>https://diarioportal.com/seguridad-y-justicia/restituidos-a-legitimos-duenos-710-inmuebles-de-los-1190-asegurados-por-despojo-en-edomex</v>
      </c>
      <c r="N158" s="2" t="str">
        <f>IFERROR(__xludf.DUMMYFUNCTION("""COMPUTED_VALUE"""),"Desde abril hasta la fecha, a través de la Operación Restitución, en el Estado de México han sido asegurados un total de mil 190 inmuebles relacionados con el delito de despojo y contra la propiedad en 63 municipios mexiquenses, de los que 710 han sido de"&amp;"vueltos a sus dueños legítimos. De acuerdo con la Fiscalía General de Justicia del Estado de México (FGJEM), de los 710 inmuebles devueltos hasta el momento, 650 son casa-habitación, 58 predios y dos inmuebles dedicados a locales comerciales, aunque el re"&amp;"presentante social continúa recibiendo documentación con la que los legítimos dueños acrediten la propiedad con el fin de concretar su restitución. En el periodo que comprende del 16 al 21 de noviembre, autoridades de los tres órdenes de gobierno realizar"&amp;"on acciones operativas en 18 municipios consistentes en técnicas de investigación de cateo e inspecciones en donde fueron aseguradas 41 propiedades. Además, desde el comienzo de las acciones de la Operación Restitución, que forma parte de la Estrategia pa"&amp;"ra la Restitución de la Propiedad, se han registrado diversas denuncias por la comisión de hechos constitutivos de delito relacionados con despojos que fueron realizados en el 2024 y años previos. Para la restitución de las propiedades a sus legítimos due"&amp;"ños es con base en las determinaciones de los Agentes del Ministerio Público de la Fiscalía Mexiquense, lo que ha permitido agilizar los procesos para que las víctimas recuperen sus propiedades sin requerir esperar el fallo de la Autoridad Judicial. La FG"&amp;"JEM ha puesto a disposición de la ciudadanía el correo electrónico cerotolerancia@fiscaliaedomex.gob.mx, el número telefónico 800 7028770, o bien, la aplicación FGJEdomex, la cual está disponible de manera gratuita para los teléfonos inteligentes de los s"&amp;"istemas iOS y Android, para que denuncie cualquier hecho delictivo. Diversos grupos delictivos, que a menudo operan bajo la fachada de sindicatos u organizaciones sociales, se han visto involucrados en el delito de despojo en el Estado de México. Estos gr"&amp;"upos actúan en connivencia con posibles funcionarios públicos corruptos y se concentran principalmente en los municipios conurbados del Valle de México y la zona oriente de la entidad. Por ello, desde que se implementó dicha operación en la entidad, la FG"&amp;"JEM ha identificado al menos a cinco células delictivas dedicadas al despojo y la extorsión en 14 municipios mexiquenses. Tras las investigaciones, las autoridades han arremetido contra dirigentes de las organizaciones delictivas denominadas la Unión de S"&amp;"indicatos y Organizaciones Nacionales (USON), Gestión y Organización Popular Emiliano Zapata (GOPEZ), la Unión 300 y/o Los 300, el Sindicato 22 de octubre y los Gastones. Los ataques a la propiedad privada se cometían principalmente en municipios como Ati"&amp;"zapán de Zaragoza, Coacalco, Cuautitlán Izcalli, Ecatepec, Huehuetoca, Tecámac, Tlalnepantla y Zumpango. Es de destacar que el caso de doña Carlota, la mujer de la tercera edad que atacó a balazos a presuntos invasores de su vivienda el pasado 1 de abril,"&amp;" causando la muerte de dos hombres, ocurrido en el municipio de Chalco, destapó todo un entramado criminal que obligó a las autoridades a combatir el delito de despojo en el Estado de México. El despojo ha sido uno de los delitos con mayor crecimiento en "&amp;"territorio mexiquense, de acuerdo con datos del Secretariado Ejecutivo del Sistema Nacional de Seguridad Pública (SESNSP) advierten que el ilícito incrementó más del 68% en la entidad mexiquense. No hay etiquetas asociadas a éste artículo.")</f>
        <v>Desde abril hasta la fecha, a través de la Operación Restitución, en el Estado de México han sido asegurados un total de mil 190 inmuebles relacionados con el delito de despojo y contra la propiedad en 63 municipios mexiquenses, de los que 710 han sido devueltos a sus dueños legítimos. De acuerdo con la Fiscalía General de Justicia del Estado de México (FGJEM), de los 710 inmuebles devueltos hasta el momento, 650 son casa-habitación, 58 predios y dos inmuebles dedicados a locales comerciales, aunque el representante social continúa recibiendo documentación con la que los legítimos dueños acrediten la propiedad con el fin de concretar su restitución. En el periodo que comprende del 16 al 21 de noviembre, autoridades de los tres órdenes de gobierno realizaron acciones operativas en 18 municipios consistentes en técnicas de investigación de cateo e inspecciones en donde fueron aseguradas 41 propiedades. Además, desde el comienzo de las acciones de la Operación Restitución, que forma parte de la Estrategia para la Restitución de la Propiedad, se han registrado diversas denuncias por la comisión de hechos constitutivos de delito relacionados con despojos que fueron realizados en el 2024 y años previos. Para la restitución de las propiedades a sus legítimos dueños es con base en las determinaciones de los Agentes del Ministerio Público de la Fiscalía Mexiquense, lo que ha permitido agilizar los procesos para que las víctimas recuperen sus propiedades sin requerir esperar el fallo de la Autoridad Judicial. La FGJEM ha puesto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Diversos grupos delictivos, que a menudo operan bajo la fachada de sindicatos u organizaciones sociales, se han visto involucrados en el delito de despojo en el Estado de México. Estos grupos actúan en connivencia con posibles funcionarios públicos corruptos y se concentran principalmente en los municipios conurbados del Valle de México y la zona oriente de la entidad. Por ello, desde que se implementó dicha operación en la entidad, la FGJEM ha identificado al menos a cinco células delictivas dedicadas al despojo y la extorsión en 14 municipios mexiquenses. Tras las investigaciones, las autoridades han arremetido contra dirigentes de las organizaciones delictivas denominadas la Unión de Sindicatos y Organizaciones Nacionales (USON), Gestión y Organización Popular Emiliano Zapata (GOPEZ), la Unión 300 y/o Los 300, el Sindicato 22 de octubre y los Gastones. Los ataques a la propiedad privada se cometían principalmente en municipios como Atizapán de Zaragoza, Coacalco, Cuautitlán Izcalli, Ecatepec, Huehuetoca, Tecámac, Tlalnepantla y Zumpango. Es de destacar que el caso de doña Carlota, la mujer de la tercera edad que atacó a balazos a presuntos invasores de su vivienda el pasado 1 de abril, causando la muerte de dos hombres, ocurrido en el municipio de Chalco, destapó todo un entramado criminal que obligó a las autoridades a combatir el delito de despojo en el Estado de México. El despojo ha sido uno de los delitos con mayor crecimiento en territorio mexiquense, de acuerdo con datos del Secretariado Ejecutivo del Sistema Nacional de Seguridad Pública (SESNSP) advierten que el ilícito incrementó más del 68% en la entidad mexiquense. No hay etiquetas asociadas a éste artículo.</v>
      </c>
      <c r="O158" s="15">
        <f>IFERROR(__xludf.DUMMYFUNCTION("""COMPUTED_VALUE"""),0.4666)</f>
        <v>0.4666</v>
      </c>
      <c r="P158" s="2"/>
      <c r="Q158" s="17">
        <f>IFERROR(__xludf.DUMMYFUNCTION("""COMPUTED_VALUE"""),8.0)</f>
        <v>8</v>
      </c>
      <c r="R158" s="2" t="str">
        <f>IFERROR(__xludf.DUMMYFUNCTION("""COMPUTED_VALUE"""),"High")</f>
        <v>High</v>
      </c>
      <c r="S158" s="17">
        <f>IFERROR(__xludf.DUMMYFUNCTION("""COMPUTED_VALUE"""),3.0)</f>
        <v>3</v>
      </c>
      <c r="T158" s="17">
        <f>IFERROR(__xludf.DUMMYFUNCTION("""COMPUTED_VALUE"""),0.0)</f>
        <v>0</v>
      </c>
      <c r="U158" s="14">
        <f>IFERROR(__xludf.DUMMYFUNCTION("""COMPUTED_VALUE"""),2.0)</f>
        <v>2</v>
      </c>
      <c r="V158" s="14">
        <v>2025.0</v>
      </c>
      <c r="W158" s="2" t="s">
        <v>1206</v>
      </c>
      <c r="X158" s="2" t="s">
        <v>1188</v>
      </c>
      <c r="Y158" s="13" t="s">
        <v>650</v>
      </c>
      <c r="Z158" s="14">
        <v>0.0</v>
      </c>
      <c r="AA158" s="14">
        <v>0.0</v>
      </c>
      <c r="AB158" s="14">
        <v>0.0</v>
      </c>
      <c r="AC158" s="14">
        <v>0.0</v>
      </c>
      <c r="AD158" s="2">
        <v>0.0</v>
      </c>
      <c r="AE158" s="2">
        <v>0.0</v>
      </c>
      <c r="AF158" s="2">
        <v>11.0</v>
      </c>
      <c r="AG158" s="2" t="s">
        <v>1202</v>
      </c>
      <c r="AH158" s="2">
        <v>0.0</v>
      </c>
    </row>
    <row r="159" ht="15.75" customHeight="1">
      <c r="A159" s="2" t="str">
        <f>IFERROR(__xludf.DUMMYFUNCTION("""COMPUTED_VALUE"""),"Diario Portal")</f>
        <v>Diario Portal</v>
      </c>
      <c r="B159" s="12" t="str">
        <f>IFERROR(__xludf.DUMMYFUNCTION("""COMPUTED_VALUE"""),"Fiscalía Edoméx logra condena de 46 años 6 meses contra exdirector de Seguridad Pública de Acambay")</f>
        <v>Fiscalía Edoméx logra condena de 46 años 6 meses contra exdirector de Seguridad Pública de Acambay</v>
      </c>
      <c r="C159" s="13" t="str">
        <f>IFERROR(__xludf.DUMMYFUNCTION("""COMPUTED_VALUE"""),"2025-11-22 14:06:50")</f>
        <v>2025-11-22 14:06:50</v>
      </c>
      <c r="D159" s="14">
        <f>IFERROR(__xludf.DUMMYFUNCTION("""COMPUTED_VALUE"""),2.0)</f>
        <v>2</v>
      </c>
      <c r="E159" s="15">
        <f>IFERROR(__xludf.DUMMYFUNCTION("""COMPUTED_VALUE"""),0.0)</f>
        <v>0</v>
      </c>
      <c r="F159" s="2" t="str">
        <f>IFERROR(__xludf.DUMMYFUNCTION("""COMPUTED_VALUE"""),"Neutral")</f>
        <v>Neutral</v>
      </c>
      <c r="G159" s="15">
        <f>IFERROR(__xludf.DUMMYFUNCTION("""COMPUTED_VALUE"""),0.5691)</f>
        <v>0.5691</v>
      </c>
      <c r="H159" s="2" t="str">
        <f>IFERROR(__xludf.DUMMYFUNCTION("""COMPUTED_VALUE"""),"Operativo policial o detención")</f>
        <v>Operativo policial o detención</v>
      </c>
      <c r="I159" s="2" t="str">
        <f>IFERROR(__xludf.DUMMYFUNCTION("""COMPUTED_VALUE"""),"N/A")</f>
        <v>N/A</v>
      </c>
      <c r="J159" s="2" t="str">
        <f>IFERROR(__xludf.DUMMYFUNCTION("""COMPUTED_VALUE"""),"Monitoreo general.")</f>
        <v>Monitoreo general.</v>
      </c>
      <c r="K159" s="2" t="str">
        <f>IFERROR(__xludf.DUMMYFUNCTION("""COMPUTED_VALUE"""),"Estado de México")</f>
        <v>Estado de México</v>
      </c>
      <c r="L159" s="2" t="str">
        <f>IFERROR(__xludf.DUMMYFUNCTION("""COMPUTED_VALUE"""),"Estado de México")</f>
        <v>Estado de México</v>
      </c>
      <c r="M159" s="16" t="str">
        <f>IFERROR(__xludf.DUMMYFUNCTION("""COMPUTED_VALUE"""),"https://diarioportal.com/seguridad-y-justicia/fiscalia-edomex-logra-condena-de-46-anos-6-meses-contra-exdirector-de-seguridad-publica-de-acambay")</f>
        <v>https://diarioportal.com/seguridad-y-justicia/fiscalia-edomex-logra-condena-de-46-anos-6-meses-contra-exdirector-de-seguridad-publica-de-acambay</v>
      </c>
      <c r="N159" s="2" t="str">
        <f>IFERROR(__xludf.DUMMYFUNCTION("""COMPUTED_VALUE"""),"De acuerdo a la investigación iniciada por el Agente del Ministerio Público, en el mes de junio de 2024, Eulises González Hernández contrató a las víctimas para realizar diversos trabajos, por lo que, en el mes de agosto del mismo año, les ordenó vigilar "&amp;"una pollería ubicada en el municipio y “levantar” al dueño de dicho establecimiento. Para este hecho, el entonces comisario de Seguridad Pública de Acambay, les entregó armas de fuego. Al negarse las víctimas, el hoy sentenciado los amenazó con “meterlos "&amp;"a la cárcel” y hacerles daño a sus familiares. Una vez que se tuvo conocimiento de estos hechos, la Fiscalía inició la investigación que permitió identificar a Eulises como partícipe de estos hechos, por lo que fue detenido en el marco de la Operación “En"&amp;"jambre”. Tras analizar los datos recabados y aportados por esta Fiscalía, un Juez emitió fallo de condena tras acreditarse la participación de Eulises en el delito de extorsión. Eulises también se encuentra dentro de las investigaciones realizadas por la "&amp;"Fiscalía General de Justicia del Estado de México conjuntamente con las autoridades que integran la Mesa para la Construcción de la Paz, derivado de la desaparición del Comisario de Seguridad Pública del municipio de Temascalcingo, Agustín “N”, así como d"&amp;"e su escolta, Juan Carlos “N”. Cabe señalar que el pasado 27 de octubre, el ex servidor público fue sentenciado a 68 años y 6 meses de prisión por el delito de desaparición forzada de personas en agravio del ex Comisario de Seguridad Pública de Temascalci"&amp;"ngo y su escolta. La Operación “Enjambre” investiga la probable relación de individuos principalmente servidores o ex servidores públicos municipales con delitos de alto impacto cometidos en la entidad por grupos criminales generadores de violencia. La Fi"&amp;"scalía General de Justicia del Estado de México pone a disposición de la ciudadanía el correo electrónico cerotolerancia@fiscaliaedomex.gob.mx, el número telefónico 800 7028770, o bien, la aplicación FGJEdomex, la cual está disponible de manera gratuita p"&amp;"ara los teléfonos inteligentes de los sistemas iOS y Android, para que denuncie cualquier hecho delictivo. No hay etiquetas asociadas a éste artículo.")</f>
        <v>De acuerdo a la investigación iniciada por el Agente del Ministerio Público, en el mes de junio de 2024, Eulises González Hernández contrató a las víctimas para realizar diversos trabajos, por lo que, en el mes de agosto del mismo año, les ordenó vigilar una pollería ubicada en el municipio y “levantar” al dueño de dicho establecimiento. Para este hecho, el entonces comisario de Seguridad Pública de Acambay, les entregó armas de fuego. Al negarse las víctimas, el hoy sentenciado los amenazó con “meterlos a la cárcel” y hacerles daño a sus familiares. Una vez que se tuvo conocimiento de estos hechos, la Fiscalía inició la investigación que permitió identificar a Eulises como partícipe de estos hechos, por lo que fue detenido en el marco de la Operación “Enjambre”. Tras analizar los datos recabados y aportados por esta Fiscalía, un Juez emitió fallo de condena tras acreditarse la participación de Eulises en el delito de extorsión. Eulises también se encuentra dentro de las investigaciones realizadas por la Fiscalía General de Justicia del Estado de México conjuntamente con las autoridades que integran la Mesa para la Construcción de la Paz, derivado de la desaparición del Comisario de Seguridad Pública del municipio de Temascalcingo, Agustín “N”, así como de su escolta, Juan Carlos “N”. Cabe señalar que el pasado 27 de octubre, el ex servidor público fue sentenciado a 68 años y 6 meses de prisión por el delito de desaparición forzada de personas en agravio del ex Comisario de Seguridad Pública de Temascalcingo y su escolta. La Operación “Enjambre” investiga la probable relación de individuos principalmente servidores o ex servidores públicos municipales con delitos de alto impacto cometidos en la entidad por grupos criminales generadores de violencia.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59" s="15">
        <f>IFERROR(__xludf.DUMMYFUNCTION("""COMPUTED_VALUE"""),0.9076)</f>
        <v>0.9076</v>
      </c>
      <c r="P159" s="2"/>
      <c r="Q159" s="17">
        <f>IFERROR(__xludf.DUMMYFUNCTION("""COMPUTED_VALUE"""),6.0)</f>
        <v>6</v>
      </c>
      <c r="R159" s="2" t="str">
        <f>IFERROR(__xludf.DUMMYFUNCTION("""COMPUTED_VALUE"""),"High")</f>
        <v>High</v>
      </c>
      <c r="S159" s="17">
        <f>IFERROR(__xludf.DUMMYFUNCTION("""COMPUTED_VALUE"""),5.0)</f>
        <v>5</v>
      </c>
      <c r="T159" s="17">
        <f>IFERROR(__xludf.DUMMYFUNCTION("""COMPUTED_VALUE"""),0.0)</f>
        <v>0</v>
      </c>
      <c r="U159" s="14">
        <f>IFERROR(__xludf.DUMMYFUNCTION("""COMPUTED_VALUE"""),2.0)</f>
        <v>2</v>
      </c>
      <c r="V159" s="14">
        <v>2025.0</v>
      </c>
      <c r="W159" s="2" t="s">
        <v>1206</v>
      </c>
      <c r="X159" s="2" t="s">
        <v>1194</v>
      </c>
      <c r="Y159" s="13" t="s">
        <v>654</v>
      </c>
      <c r="Z159" s="14">
        <v>0.0</v>
      </c>
      <c r="AA159" s="14">
        <v>0.0</v>
      </c>
      <c r="AB159" s="14">
        <v>0.0</v>
      </c>
      <c r="AC159" s="14">
        <v>0.0</v>
      </c>
      <c r="AD159" s="2">
        <v>0.0</v>
      </c>
      <c r="AE159" s="2">
        <v>0.0</v>
      </c>
      <c r="AF159" s="2">
        <v>11.0</v>
      </c>
      <c r="AG159" s="2" t="s">
        <v>1202</v>
      </c>
      <c r="AH159" s="2">
        <v>0.0</v>
      </c>
    </row>
    <row r="160" ht="15.75" customHeight="1">
      <c r="A160" s="2" t="str">
        <f>IFERROR(__xludf.DUMMYFUNCTION("""COMPUTED_VALUE"""),"Diario Portal")</f>
        <v>Diario Portal</v>
      </c>
      <c r="B160" s="12" t="str">
        <f>IFERROR(__xludf.DUMMYFUNCTION("""COMPUTED_VALUE"""),"Detienen al exlíder del PRI, Isidro Pastor, por operaciones con recursos de dudosa procedencia")</f>
        <v>Detienen al exlíder del PRI, Isidro Pastor, por operaciones con recursos de dudosa procedencia</v>
      </c>
      <c r="C160" s="13" t="str">
        <f>IFERROR(__xludf.DUMMYFUNCTION("""COMPUTED_VALUE"""),"2025-11-21 19:23:57")</f>
        <v>2025-11-21 19:23:57</v>
      </c>
      <c r="D160" s="14">
        <f>IFERROR(__xludf.DUMMYFUNCTION("""COMPUTED_VALUE"""),2.0)</f>
        <v>2</v>
      </c>
      <c r="E160" s="15">
        <f>IFERROR(__xludf.DUMMYFUNCTION("""COMPUTED_VALUE"""),-0.4769)</f>
        <v>-0.4769</v>
      </c>
      <c r="F160" s="2" t="str">
        <f>IFERROR(__xludf.DUMMYFUNCTION("""COMPUTED_VALUE"""),"Negativo")</f>
        <v>Negativo</v>
      </c>
      <c r="G160" s="15">
        <f>IFERROR(__xludf.DUMMYFUNCTION("""COMPUTED_VALUE"""),0.4769)</f>
        <v>0.4769</v>
      </c>
      <c r="H160" s="2" t="str">
        <f>IFERROR(__xludf.DUMMYFUNCTION("""COMPUTED_VALUE"""),"Operativo policial o detención")</f>
        <v>Operativo policial o detención</v>
      </c>
      <c r="I160" s="2" t="str">
        <f>IFERROR(__xludf.DUMMYFUNCTION("""COMPUTED_VALUE"""),"N/A")</f>
        <v>N/A</v>
      </c>
      <c r="J160" s="2" t="str">
        <f>IFERROR(__xludf.DUMMYFUNCTION("""COMPUTED_VALUE"""),"Monitoreo general.")</f>
        <v>Monitoreo general.</v>
      </c>
      <c r="K160" s="2" t="str">
        <f>IFERROR(__xludf.DUMMYFUNCTION("""COMPUTED_VALUE"""),"Estado de México")</f>
        <v>Estado de México</v>
      </c>
      <c r="L160" s="2" t="str">
        <f>IFERROR(__xludf.DUMMYFUNCTION("""COMPUTED_VALUE"""),"Estado de México")</f>
        <v>Estado de México</v>
      </c>
      <c r="M160" s="16" t="str">
        <f>IFERROR(__xludf.DUMMYFUNCTION("""COMPUTED_VALUE"""),"https://diarioportal.com/seguridad-y-justicia/detienen-al-exlider-del-pri-isidro-pastor-por-operaciones-con-recursos-de-dudosa-procedencia")</f>
        <v>https://diarioportal.com/seguridad-y-justicia/detienen-al-exlider-del-pri-isidro-pastor-por-operaciones-con-recursos-de-dudosa-procedencia</v>
      </c>
      <c r="N160" s="2" t="str">
        <f>IFERROR(__xludf.DUMMYFUNCTION("""COMPUTED_VALUE"""),"El exdirigente estatal del Partido Revolucionario Institucional (PRI) en el Estado de México, Isidro Pastor Medrano, fue detenido la tarde de este viernes en cumplimiento de una orden de aprehensión por el delito de operaciones con recursos de procedencia"&amp;" ilícita. La detención fue realizada por elementos de la Secretaría de Seguridad y Protección Ciudadana (SSPC) en la colonia Nueva Santa María, entre Toluca y Metepec, mientras se trasladaba a bordo de su vehículo a una reunión, por lo que fue interceptad"&amp;"o en la carretera Toluca-Tenango, entre las calles Calvario y Juan Monroy. Pastor Medrano enfrenta señalamientos por operaciones con recursos de procedencia ilícita. Las investigaciones apuntan a que en 2013 adquirió un inmueble valuado en más de 40 millo"&amp;"nes de pesos, además de haber recibido depósitos bancarios de origen no comprobado. La Fiscalía General de la República (FGR) busca esclarecer el origen de estos recursos y determinar las responsabilidades legales correspondientes. Según fuentes oficiales"&amp;", el caso forma parte de una investigación más amplia sobre presuntas irregularidades financieras vinculadas a exfuncionarios mexiquenses. Después de su detención, fue remitido al Centro Penitenciario de Reinserción Social Santiaguito en Almoloya de Juáre"&amp;"z, donde quedó a disposición de un juez federal. Pastor Medrano fue diputado local y presidente de la Gran Comisión de la LIV Legislatura del Estado de México, durante la gestión de Arturo Montiel Rojas. También fue dirigente estatal del PRI, durante su g"&amp;"estión organizó las elecciones de 2003 para diputados y presidentes municipales. En 2005 buscó la candidatura de su partido a la gubernatura, pero Enrique Peña Nieto le ganó la nominación, lo que le generó un distanciamiento con el tricolor, quien incluso"&amp;" lo llegó a expulsar como militante. Además, fue titular de la Secretaría de Movilidad (antes del Transporte) durante el sexenio de Eruviel Ávila Villegas, así como secretario de Desarrollo Metropolitano en el mismo sexenio. En 2017 buscó la candidatura a"&amp;" la gubernatura del Estado de México por la vía independiente, pero su candidatura fue cancelada con el argumento de que varias firmas de respaldo que había entregado al Instituto Electoral del Estado de México (IEEM) eran de personas ya fallecidas. Despu"&amp;"és de este episodio, Pastor Medrano se alejó de la política un par de años y en el año 2020 regresó como presidente del Partido Encuentro Social, donde solo estuvo unos meses. Desde junio de este año, Isidro Pastor regresó a la escena pública haciendo com"&amp;"entarios en las redes sociales sobre el acontecer político y social del estado. Recientemente participó en fiestas y celebraciones por el cumpleaños del exgobernador del Estado de México, Arturo Montiel Rojas, a quién le refrendó su agradecimiento y lealt"&amp;"ad. No hay etiquetas asociadas a éste artículo.")</f>
        <v>El exdirigente estatal del Partido Revolucionario Institucional (PRI) en el Estado de México, Isidro Pastor Medrano, fue detenido la tarde de este viernes en cumplimiento de una orden de aprehensión por el delito de operaciones con recursos de procedencia ilícita. La detención fue realizada por elementos de la Secretaría de Seguridad y Protección Ciudadana (SSPC) en la colonia Nueva Santa María, entre Toluca y Metepec, mientras se trasladaba a bordo de su vehículo a una reunión, por lo que fue interceptado en la carretera Toluca-Tenango, entre las calles Calvario y Juan Monroy. Pastor Medrano enfrenta señalamientos por operaciones con recursos de procedencia ilícita. Las investigaciones apuntan a que en 2013 adquirió un inmueble valuado en más de 40 millones de pesos, además de haber recibido depósitos bancarios de origen no comprobado. La Fiscalía General de la República (FGR) busca esclarecer el origen de estos recursos y determinar las responsabilidades legales correspondientes. Según fuentes oficiales, el caso forma parte de una investigación más amplia sobre presuntas irregularidades financieras vinculadas a exfuncionarios mexiquenses. Después de su detención, fue remitido al Centro Penitenciario de Reinserción Social Santiaguito en Almoloya de Juárez, donde quedó a disposición de un juez federal. Pastor Medrano fue diputado local y presidente de la Gran Comisión de la LIV Legislatura del Estado de México, durante la gestión de Arturo Montiel Rojas. También fue dirigente estatal del PRI, durante su gestión organizó las elecciones de 2003 para diputados y presidentes municipales. En 2005 buscó la candidatura de su partido a la gubernatura, pero Enrique Peña Nieto le ganó la nominación, lo que le generó un distanciamiento con el tricolor, quien incluso lo llegó a expulsar como militante. Además, fue titular de la Secretaría de Movilidad (antes del Transporte) durante el sexenio de Eruviel Ávila Villegas, así como secretario de Desarrollo Metropolitano en el mismo sexenio. En 2017 buscó la candidatura a la gubernatura del Estado de México por la vía independiente, pero su candidatura fue cancelada con el argumento de que varias firmas de respaldo que había entregado al Instituto Electoral del Estado de México (IEEM) eran de personas ya fallecidas. Después de este episodio, Pastor Medrano se alejó de la política un par de años y en el año 2020 regresó como presidente del Partido Encuentro Social, donde solo estuvo unos meses. Desde junio de este año, Isidro Pastor regresó a la escena pública haciendo comentarios en las redes sociales sobre el acontecer político y social del estado. Recientemente participó en fiestas y celebraciones por el cumpleaños del exgobernador del Estado de México, Arturo Montiel Rojas, a quién le refrendó su agradecimiento y lealtad. No hay etiquetas asociadas a éste artículo.</v>
      </c>
      <c r="O160" s="15">
        <f>IFERROR(__xludf.DUMMYFUNCTION("""COMPUTED_VALUE"""),0.9457)</f>
        <v>0.9457</v>
      </c>
      <c r="P160" s="2"/>
      <c r="Q160" s="17">
        <f>IFERROR(__xludf.DUMMYFUNCTION("""COMPUTED_VALUE"""),5.0)</f>
        <v>5</v>
      </c>
      <c r="R160" s="2" t="str">
        <f>IFERROR(__xludf.DUMMYFUNCTION("""COMPUTED_VALUE"""),"Low")</f>
        <v>Low</v>
      </c>
      <c r="S160" s="17">
        <f>IFERROR(__xludf.DUMMYFUNCTION("""COMPUTED_VALUE"""),0.0)</f>
        <v>0</v>
      </c>
      <c r="T160" s="17">
        <f>IFERROR(__xludf.DUMMYFUNCTION("""COMPUTED_VALUE"""),0.0)</f>
        <v>0</v>
      </c>
      <c r="U160" s="14">
        <f>IFERROR(__xludf.DUMMYFUNCTION("""COMPUTED_VALUE"""),2.0)</f>
        <v>2</v>
      </c>
      <c r="V160" s="14">
        <v>2025.0</v>
      </c>
      <c r="W160" s="2" t="s">
        <v>1206</v>
      </c>
      <c r="X160" s="2" t="s">
        <v>1199</v>
      </c>
      <c r="Y160" s="13" t="s">
        <v>658</v>
      </c>
      <c r="Z160" s="14">
        <v>0.0</v>
      </c>
      <c r="AA160" s="14">
        <v>0.0</v>
      </c>
      <c r="AB160" s="14">
        <v>0.0</v>
      </c>
      <c r="AC160" s="14">
        <v>0.0</v>
      </c>
      <c r="AD160" s="2">
        <v>0.0</v>
      </c>
      <c r="AE160" s="2">
        <v>0.0</v>
      </c>
      <c r="AF160" s="2">
        <v>11.0</v>
      </c>
      <c r="AG160" s="2" t="s">
        <v>1202</v>
      </c>
      <c r="AH160" s="2">
        <v>0.0</v>
      </c>
    </row>
    <row r="161" ht="15.75" customHeight="1">
      <c r="A161" s="2" t="str">
        <f>IFERROR(__xludf.DUMMYFUNCTION("""COMPUTED_VALUE"""),"Diario Portal")</f>
        <v>Diario Portal</v>
      </c>
      <c r="B161" s="12" t="str">
        <f>IFERROR(__xludf.DUMMYFUNCTION("""COMPUTED_VALUE"""),"'Cayo de Hacha'  irá al registro de violentadores  de género por  ofensas contra  síndica en redes")</f>
        <v>'Cayo de Hacha'  irá al registro de violentadores  de género por  ofensas contra  síndica en redes</v>
      </c>
      <c r="C161" s="13" t="str">
        <f>IFERROR(__xludf.DUMMYFUNCTION("""COMPUTED_VALUE"""),"Sin Fecha")</f>
        <v>Sin Fecha</v>
      </c>
      <c r="D161" s="14">
        <f>IFERROR(__xludf.DUMMYFUNCTION("""COMPUTED_VALUE"""),1.0)</f>
        <v>1</v>
      </c>
      <c r="E161" s="15">
        <f>IFERROR(__xludf.DUMMYFUNCTION("""COMPUTED_VALUE"""),-0.5969)</f>
        <v>-0.5969</v>
      </c>
      <c r="F161" s="2" t="str">
        <f>IFERROR(__xludf.DUMMYFUNCTION("""COMPUTED_VALUE"""),"Negativo")</f>
        <v>Negativo</v>
      </c>
      <c r="G161" s="15">
        <f>IFERROR(__xludf.DUMMYFUNCTION("""COMPUTED_VALUE"""),0.5969)</f>
        <v>0.5969</v>
      </c>
      <c r="H161" s="2" t="str">
        <f>IFERROR(__xludf.DUMMYFUNCTION("""COMPUTED_VALUE"""),"Otros temas generales")</f>
        <v>Otros temas generales</v>
      </c>
      <c r="I161" s="2" t="str">
        <f>IFERROR(__xludf.DUMMYFUNCTION("""COMPUTED_VALUE"""),"N/A")</f>
        <v>N/A</v>
      </c>
      <c r="J161" s="2" t="str">
        <f>IFERROR(__xludf.DUMMYFUNCTION("""COMPUTED_VALUE"""),"Descartar / Baja prioridad.")</f>
        <v>Descartar / Baja prioridad.</v>
      </c>
      <c r="K161" s="2" t="str">
        <f>IFERROR(__xludf.DUMMYFUNCTION("""COMPUTED_VALUE"""),"Estado de México")</f>
        <v>Estado de México</v>
      </c>
      <c r="L161" s="2" t="str">
        <f>IFERROR(__xludf.DUMMYFUNCTION("""COMPUTED_VALUE"""),"Estado de México")</f>
        <v>Estado de México</v>
      </c>
      <c r="M161" s="16" t="str">
        <f>IFERROR(__xludf.DUMMYFUNCTION("""COMPUTED_VALUE"""),"https://diarioportal.com/seguridad-y-justicia/cayo-de-hacha-ira-al-registro-de-violentadores-de-genero-por-ofensas-contra-sindica-en-redes")</f>
        <v>https://diarioportal.com/seguridad-y-justicia/cayo-de-hacha-ira-al-registro-de-violentadores-de-genero-por-ofensas-contra-sindica-en-redes</v>
      </c>
      <c r="N161" s="2" t="str">
        <f>IFERROR(__xludf.DUMMYFUNCTION("""COMPUTED_VALUE"""),"El Pleno del Tribunal Electoral del Estado de México (TEEM) resolvió que el influencer Jorge Roberto Avilés Vázquez, conocido como 'Callo de Hacha' y administradores de varias páginas de Facebook, incurrieron en violencia política de género contra la prim"&amp;"era síndica municipal del Ayuntamiento de Tlalnepantla, Yanett Maribel Soto Díaz. Por ello, ordenó que una vez que cause ejecutoria la sentencia del Procedimiento Especial Sancionador CA/51/2025, deberán ser inscritos en el Registro Estatal de Personas Sa"&amp;"ncionadas en Materia de Violencia Política Contra las Mujeres en Razón de Género durante un año y retirar de manera inmediata las publicaciones denunciadas. Además, los sancionados deberán brindar una disculpa pública y participar en un curso sobre perspe"&amp;"ctiva de género y derechos políticos de las mujeres. Soto Díaz denunció actos sistemáticos de hostigamiento, discriminación y descalificación por lo que el órgano jurisdiccional impuso sanciones contra Avilés Vázquez y los administradores de los perfiles "&amp;"de Facebook “Torres Piña Ricardo”, “Realeza Tlalnepantla”, “Pepe Toño R” y “Smart News”, quienes cometieron violencia política en razón de género en su vertiente simbólica, psicológica y digital, en contra de la primera síndica municipal. También hicieron"&amp;" alusiones a su intimidad, se denigró su capacidad profesional y se redujo su valor a “objeto”, estigmatizando su participación política bajo estereotipos de género. Por ello, el Pleno determinó que las expresiones hechas en diversas publicaciones de las "&amp;"redes sociales Facebook y “X”, antes Twitter, perjudicaron la dignidad e imagen pública, invisibilizaron las capacidades de la denunciante y atacaron su derecho a la intimidad, además de que incitaron a que otros internautas realizaran comentarios que la "&amp;"denigraron. Finalmente, determinó que Vicente Daniel Camargo Torres y el perfil de Facebook “José Hernández” no cometieron infracción alguna. Cabe señalar que los magistrados que integran el Pleno del TEEM resolvieron 15 juicios para la ciudadanía local, "&amp;"un procedimiento especial sancionador y un procedimiento especial ordinario. No hay etiquetas asociadas a éste artículo.")</f>
        <v>El Pleno del Tribunal Electoral del Estado de México (TEEM) resolvió que el influencer Jorge Roberto Avilés Vázquez, conocido como 'Callo de Hacha' y administradores de varias páginas de Facebook, incurrieron en violencia política de género contra la primera síndica municipal del Ayuntamiento de Tlalnepantla, Yanett Maribel Soto Díaz. Por ello, ordenó que una vez que cause ejecutoria la sentencia del Procedimiento Especial Sancionador CA/51/2025, deberán ser inscritos en el Registro Estatal de Personas Sancionadas en Materia de Violencia Política Contra las Mujeres en Razón de Género durante un año y retirar de manera inmediata las publicaciones denunciadas. Además, los sancionados deberán brindar una disculpa pública y participar en un curso sobre perspectiva de género y derechos políticos de las mujeres. Soto Díaz denunció actos sistemáticos de hostigamiento, discriminación y descalificación por lo que el órgano jurisdiccional impuso sanciones contra Avilés Vázquez y los administradores de los perfiles de Facebook “Torres Piña Ricardo”, “Realeza Tlalnepantla”, “Pepe Toño R” y “Smart News”, quienes cometieron violencia política en razón de género en su vertiente simbólica, psicológica y digital, en contra de la primera síndica municipal. También hicieron alusiones a su intimidad, se denigró su capacidad profesional y se redujo su valor a “objeto”, estigmatizando su participación política bajo estereotipos de género. Por ello, el Pleno determinó que las expresiones hechas en diversas publicaciones de las redes sociales Facebook y “X”, antes Twitter, perjudicaron la dignidad e imagen pública, invisibilizaron las capacidades de la denunciante y atacaron su derecho a la intimidad, además de que incitaron a que otros internautas realizaran comentarios que la denigraron. Finalmente, determinó que Vicente Daniel Camargo Torres y el perfil de Facebook “José Hernández” no cometieron infracción alguna. Cabe señalar que los magistrados que integran el Pleno del TEEM resolvieron 15 juicios para la ciudadanía local, un procedimiento especial sancionador y un procedimiento especial ordinario. No hay etiquetas asociadas a éste artículo.</v>
      </c>
      <c r="O161" s="15">
        <f>IFERROR(__xludf.DUMMYFUNCTION("""COMPUTED_VALUE"""),0.3123)</f>
        <v>0.3123</v>
      </c>
      <c r="P161" s="2"/>
      <c r="Q161" s="17">
        <f>IFERROR(__xludf.DUMMYFUNCTION("""COMPUTED_VALUE"""),5.0)</f>
        <v>5</v>
      </c>
      <c r="R161" s="2" t="str">
        <f>IFERROR(__xludf.DUMMYFUNCTION("""COMPUTED_VALUE"""),"Medium")</f>
        <v>Medium</v>
      </c>
      <c r="S161" s="17">
        <f>IFERROR(__xludf.DUMMYFUNCTION("""COMPUTED_VALUE"""),1.0)</f>
        <v>1</v>
      </c>
      <c r="T161" s="17">
        <f>IFERROR(__xludf.DUMMYFUNCTION("""COMPUTED_VALUE"""),0.0)</f>
        <v>0</v>
      </c>
      <c r="U161" s="14">
        <f>IFERROR(__xludf.DUMMYFUNCTION("""COMPUTED_VALUE"""),2.0)</f>
        <v>2</v>
      </c>
      <c r="V161" s="14" t="s">
        <v>1186</v>
      </c>
      <c r="W161" s="2" t="s">
        <v>190</v>
      </c>
      <c r="X161" s="2" t="s">
        <v>190</v>
      </c>
      <c r="Y161" s="13"/>
      <c r="Z161" s="14">
        <v>0.0</v>
      </c>
      <c r="AA161" s="14">
        <v>0.0</v>
      </c>
      <c r="AB161" s="14">
        <v>0.0</v>
      </c>
      <c r="AC161" s="14">
        <v>0.0</v>
      </c>
      <c r="AD161" s="2">
        <v>0.0</v>
      </c>
      <c r="AE161" s="2">
        <v>0.0</v>
      </c>
      <c r="AF161" s="2" t="s">
        <v>1186</v>
      </c>
      <c r="AG161" s="2" t="s">
        <v>1202</v>
      </c>
      <c r="AH161" s="2">
        <v>0.0</v>
      </c>
    </row>
    <row r="162" ht="15.75" customHeight="1">
      <c r="A162" s="2" t="str">
        <f>IFERROR(__xludf.DUMMYFUNCTION("""COMPUTED_VALUE"""),"Diario Portal")</f>
        <v>Diario Portal</v>
      </c>
      <c r="B162" s="12" t="str">
        <f>IFERROR(__xludf.DUMMYFUNCTION("""COMPUTED_VALUE"""),"Detienen a   7 escoltas  de Carlos  Manzo por  su probable  implicación  en su asesinato")</f>
        <v>Detienen a   7 escoltas  de Carlos  Manzo por  su probable  implicación  en su asesinato</v>
      </c>
      <c r="C162" s="13" t="str">
        <f>IFERROR(__xludf.DUMMYFUNCTION("""COMPUTED_VALUE"""),"Sin Fecha")</f>
        <v>Sin Fecha</v>
      </c>
      <c r="D162" s="14">
        <f>IFERROR(__xludf.DUMMYFUNCTION("""COMPUTED_VALUE"""),5.0)</f>
        <v>5</v>
      </c>
      <c r="E162" s="15">
        <f>IFERROR(__xludf.DUMMYFUNCTION("""COMPUTED_VALUE"""),0.0)</f>
        <v>0</v>
      </c>
      <c r="F162" s="2" t="str">
        <f>IFERROR(__xludf.DUMMYFUNCTION("""COMPUTED_VALUE"""),"Neutral")</f>
        <v>Neutral</v>
      </c>
      <c r="G162" s="15">
        <f>IFERROR(__xludf.DUMMYFUNCTION("""COMPUTED_VALUE"""),0.4978)</f>
        <v>0.4978</v>
      </c>
      <c r="H162" s="2" t="str">
        <f>IFERROR(__xludf.DUMMYFUNCTION("""COMPUTED_VALUE"""),"Delito violento, robo o asalto")</f>
        <v>Delito violento, robo o asalto</v>
      </c>
      <c r="I162" s="2" t="str">
        <f>IFERROR(__xludf.DUMMYFUNCTION("""COMPUTED_VALUE"""),"homicidio")</f>
        <v>homicidio</v>
      </c>
      <c r="J162" s="2" t="str">
        <f>IFERROR(__xludf.DUMMYFUNCTION("""COMPUTED_VALUE"""),"Prevención PAX: Contactos de confianza.")</f>
        <v>Prevención PAX: Contactos de confianza.</v>
      </c>
      <c r="K162" s="2" t="str">
        <f>IFERROR(__xludf.DUMMYFUNCTION("""COMPUTED_VALUE"""),"Michoacán")</f>
        <v>Michoacán</v>
      </c>
      <c r="L162" s="2" t="str">
        <f>IFERROR(__xludf.DUMMYFUNCTION("""COMPUTED_VALUE"""),"Michoacán")</f>
        <v>Michoacán</v>
      </c>
      <c r="M162" s="16" t="str">
        <f>IFERROR(__xludf.DUMMYFUNCTION("""COMPUTED_VALUE"""),"https://diarioportal.com/seguridad-y-justicia/detienen-a-7-escoltas-de-carlos-manzo-por-su-probable-implicacion-en-su-asesinato")</f>
        <v>https://diarioportal.com/seguridad-y-justicia/detienen-a-7-escoltas-de-carlos-manzo-por-su-probable-implicacion-en-su-asesinato</v>
      </c>
      <c r="N162" s="2" t="str">
        <f>IFERROR(__xludf.DUMMYFUNCTION("""COMPUTED_VALUE"""),"Este miércoles, la Fiscalía General de Justicia de Michoacán informó que 7 elementos de la policía municipal de Uruapan, que formaban parte del grupo de protección de Carlos Manzo, fueron detenidos por su posible participación en el homicidio de su proteg"&amp;"ido. De acuerdo con la investigación, el 1 de noviembre, durante el Festival de Velas de Uruapan, el ejecutor del alcalde se acercó, dió siete disparos a Manzo y después fue neutralizado y desarmado por los escoltas; no obstante, fue ejecutado segundos de"&amp;"spués en un presunto forcejeo. Ante los hechos, los agentes municipales fueron detenidos para indagar sobre el abatimiento sin justificación aparentemente de una pieza clave para esclarecer el caso. ""Cumplimentamos orden de aprehensión en contra de siete"&amp;" servidores públicos del municipio de Uruapan, por su probable participación en el delito de homicidio calificado, en comisión por omisión, en agravio del presidente municipal Carlos Alberto Manzo Rodríguez"", publicó la fiscalía michoacana en su cuenta d"&amp;"e X. Cabe destacar que en días pasados se dió a conocer la captura de Jorge Armando, alias 'El Licenciado', quien habría organizado el ataque en coordinación con Ramiro 'N' y Josué 'N' (encontrados muertos en la carretera Uruapan-Paracho el 11 de noviembr"&amp;"e), acompañando al ejecutor de Manzo, el joven de 17 años, Victor Manuel 'N', ultimado momentos después de disparar contra Manzo. Igualmente, es de resaltar que el secretario de la Defensa Nacional, General Trevilla Trejo, señaló en la conferencia de pren"&amp;"sa del 2 de noviembre, un día después del asesinato de Manzo, que era el propio alcalde quien elegía a sus custodios; mientras que elementos de la Guardia Nacional sólo brindaban protección periférica al munícipe de Uruapan. No hay etiquetas asociadas a é"&amp;"ste artículo.")</f>
        <v>Este miércoles, la Fiscalía General de Justicia de Michoacán informó que 7 elementos de la policía municipal de Uruapan, que formaban parte del grupo de protección de Carlos Manzo, fueron detenidos por su posible participación en el homicidio de su protegido. De acuerdo con la investigación, el 1 de noviembre, durante el Festival de Velas de Uruapan, el ejecutor del alcalde se acercó, dió siete disparos a Manzo y después fue neutralizado y desarmado por los escoltas; no obstante, fue ejecutado segundos después en un presunto forcejeo. Ante los hechos, los agentes municipales fueron detenidos para indagar sobre el abatimiento sin justificación aparentemente de una pieza clave para esclarecer el caso. "Cumplimentamos orden de aprehensión en contra de siete servidores públicos del municipio de Uruapan, por su probable participación en el delito de homicidio calificado, en comisión por omisión, en agravio del presidente municipal Carlos Alberto Manzo Rodríguez", publicó la fiscalía michoacana en su cuenta de X. Cabe destacar que en días pasados se dió a conocer la captura de Jorge Armando, alias 'El Licenciado', quien habría organizado el ataque en coordinación con Ramiro 'N' y Josué 'N' (encontrados muertos en la carretera Uruapan-Paracho el 11 de noviembre), acompañando al ejecutor de Manzo, el joven de 17 años, Victor Manuel 'N', ultimado momentos después de disparar contra Manzo. Igualmente, es de resaltar que el secretario de la Defensa Nacional, General Trevilla Trejo, señaló en la conferencia de prensa del 2 de noviembre, un día después del asesinato de Manzo, que era el propio alcalde quien elegía a sus custodios; mientras que elementos de la Guardia Nacional sólo brindaban protección periférica al munícipe de Uruapan. No hay etiquetas asociadas a éste artículo.</v>
      </c>
      <c r="O162" s="15">
        <f>IFERROR(__xludf.DUMMYFUNCTION("""COMPUTED_VALUE"""),1.0)</f>
        <v>1</v>
      </c>
      <c r="P162" s="2"/>
      <c r="Q162" s="17">
        <f>IFERROR(__xludf.DUMMYFUNCTION("""COMPUTED_VALUE"""),5.0)</f>
        <v>5</v>
      </c>
      <c r="R162" s="2" t="str">
        <f>IFERROR(__xludf.DUMMYFUNCTION("""COMPUTED_VALUE"""),"High")</f>
        <v>High</v>
      </c>
      <c r="S162" s="17">
        <f>IFERROR(__xludf.DUMMYFUNCTION("""COMPUTED_VALUE"""),3.0)</f>
        <v>3</v>
      </c>
      <c r="T162" s="17">
        <f>IFERROR(__xludf.DUMMYFUNCTION("""COMPUTED_VALUE"""),0.0)</f>
        <v>0</v>
      </c>
      <c r="U162" s="14">
        <f>IFERROR(__xludf.DUMMYFUNCTION("""COMPUTED_VALUE"""),2.0)</f>
        <v>2</v>
      </c>
      <c r="V162" s="14" t="s">
        <v>1186</v>
      </c>
      <c r="W162" s="2" t="s">
        <v>190</v>
      </c>
      <c r="X162" s="2" t="s">
        <v>190</v>
      </c>
      <c r="Y162" s="13"/>
      <c r="Z162" s="14">
        <v>0.0</v>
      </c>
      <c r="AA162" s="14">
        <v>0.0</v>
      </c>
      <c r="AB162" s="14">
        <v>0.0</v>
      </c>
      <c r="AC162" s="14">
        <v>0.0</v>
      </c>
      <c r="AD162" s="2">
        <v>0.0</v>
      </c>
      <c r="AE162" s="2">
        <v>1.0</v>
      </c>
      <c r="AF162" s="2" t="s">
        <v>1186</v>
      </c>
      <c r="AG162" s="2" t="s">
        <v>1174</v>
      </c>
      <c r="AH162" s="2">
        <v>0.0</v>
      </c>
    </row>
    <row r="163" ht="15.75" customHeight="1">
      <c r="A163" s="2" t="str">
        <f>IFERROR(__xludf.DUMMYFUNCTION("""COMPUTED_VALUE"""),"Diario Portal")</f>
        <v>Diario Portal</v>
      </c>
      <c r="B163" s="12" t="str">
        <f>IFERROR(__xludf.DUMMYFUNCTION("""COMPUTED_VALUE"""),"La democracia será sólida sólo con la garantía de igualdad entre mujeres y hombres: Gilberto Bátiz")</f>
        <v>La democracia será sólida sólo con la garantía de igualdad entre mujeres y hombres: Gilberto Bátiz</v>
      </c>
      <c r="C163" s="13" t="str">
        <f>IFERROR(__xludf.DUMMYFUNCTION("""COMPUTED_VALUE"""),"2025-11-20 21:54:13")</f>
        <v>2025-11-20 21:54:13</v>
      </c>
      <c r="D163" s="14">
        <f>IFERROR(__xludf.DUMMYFUNCTION("""COMPUTED_VALUE"""),2.0)</f>
        <v>2</v>
      </c>
      <c r="E163" s="15">
        <f>IFERROR(__xludf.DUMMYFUNCTION("""COMPUTED_VALUE"""),0.0)</f>
        <v>0</v>
      </c>
      <c r="F163" s="2" t="str">
        <f>IFERROR(__xludf.DUMMYFUNCTION("""COMPUTED_VALUE"""),"Neutral")</f>
        <v>Neutral</v>
      </c>
      <c r="G163" s="15">
        <f>IFERROR(__xludf.DUMMYFUNCTION("""COMPUTED_VALUE"""),0.5576)</f>
        <v>0.5576</v>
      </c>
      <c r="H163" s="2" t="str">
        <f>IFERROR(__xludf.DUMMYFUNCTION("""COMPUTED_VALUE"""),"Operativo policial o detención")</f>
        <v>Operativo policial o detención</v>
      </c>
      <c r="I163" s="2" t="str">
        <f>IFERROR(__xludf.DUMMYFUNCTION("""COMPUTED_VALUE"""),"N/A")</f>
        <v>N/A</v>
      </c>
      <c r="J163" s="2" t="str">
        <f>IFERROR(__xludf.DUMMYFUNCTION("""COMPUTED_VALUE"""),"Monitoreo general.")</f>
        <v>Monitoreo general.</v>
      </c>
      <c r="K163" s="2" t="str">
        <f>IFERROR(__xludf.DUMMYFUNCTION("""COMPUTED_VALUE"""),"Sinaloa")</f>
        <v>Sinaloa</v>
      </c>
      <c r="L163" s="2" t="str">
        <f>IFERROR(__xludf.DUMMYFUNCTION("""COMPUTED_VALUE"""),"Sinaloa")</f>
        <v>Sinaloa</v>
      </c>
      <c r="M163" s="16" t="str">
        <f>IFERROR(__xludf.DUMMYFUNCTION("""COMPUTED_VALUE"""),"https://diarioportal.com/seguridad-y-justicia/la-democracia-sera-solida-solo-con-la-garantia-de-igualdad-entre-mujeres-y-hombres-gilberto-batiz")</f>
        <v>https://diarioportal.com/seguridad-y-justicia/la-democracia-sera-solida-solo-con-la-garantia-de-igualdad-entre-mujeres-y-hombres-gilberto-batiz</v>
      </c>
      <c r="N163" s="2" t="str">
        <f>IFERROR(__xludf.DUMMYFUNCTION("""COMPUTED_VALUE"""),"La perspectiva de género no es una opción, sino una obligación judicial para eliminar desigualdades estructurales, aseguró el magistrado presidente del Tribunal Electoral del Poder Judicial de la Federación (TEPJF), Gilberto Bátiz García, en el marco de l"&amp;"a sesión de instalación del Observatorio de Participación Política de las Mujeres en México (OPPMM). En la sede del Instituto Nacional Electoral (INE), ante la presidenta de ese organismo, Guadalupe Taddei Zavala, quien preside el OPPMM, la directora gene"&amp;"ral de Relaciones Interinstitucionales, Participación Política y Social de la Secretaría de las Mujeres, Susana Ángeles Quezada, a nombre de la titular de esa dependencia, Minerva Citlalli Hernández Mora, así como representantes de la sociedad civil; Gilb"&amp;"erto Bátiz, en su carácter de integrante permanente del organismo, refrendó el compromiso del TEPJF como aliado de las mujeres en favor de sus derechos. “La democracia mexicana será sólida en la medida que sea más igualitaria, y será más igualitaria en la"&amp;" medida en que las mujeres no solo participen sino que ejerzan el poder en libertad, sin violencia, sin simulaciones y con plenitud”, indicó al destacar que el TEPJF ha construido, con sentencias, criterios y estándares de desempeño con perspectiva de gén"&amp;"ero, un piso jurídico en favor de la participación política de las mujeres. Enumeró los compromisos institucionales que habrán de guiar la participación del TEPJF en el OPPMM: Defender la paridad como principio constitucional irrenunciable; garantizar la "&amp;"tutela efectiva frente a la violencia política; impulsar criterios que reconozcan los contextos diferenciados al considerar la vulnerabilidad de las mujeres; enriquecer estándares con evidencia que haya sido generada por este propio Observatorio, y avanza"&amp;"r hacia una justicia electoral que sea más clara, más cercana y, sobre todo, más útil para las mujeres. Gilberto Bátiz hizo un reconocimiento a la gestión de la magistrada Mónica Soto Fregoso, cuyo trabajo, dijo, fue determinante para que “hoy hablemos de"&amp;" una justicia electoral que se mira y se ejerce con lentes violeta”. Bajo su mandato, agregó, se consolidaron criterios que hoy son referencia nacional y su visión como presidenta ayudó a situar la dignidad de las personas en el centro del actuar jurisdic"&amp;"cional y a posicionar al TEPJF como un órgano verdaderamente garante e incluyente. Al tomar la palabra, la consejera presidenta del INE, Guadalupe Taddei, resaltó que este Observatorio tiene el objetivo de renovar un pacto por la igualdad, la democracia y"&amp;" la justicia, y ser un referente para las niñas, las jóvenes y las mujeres, con el propósito de que se apropien del conocimiento sobre el significado y la importancia de la participación política de las mujeres. Para ello, adelantó que impulsará cuatro co"&amp;"mpromisos al frente del OPPMM: transparencia para que la ciudadanía pueda evaluar los avances en la materia; el fortalecimiento de las agendas en cada entidad federativa para que la paridad sea una realidad; la prevención y atención de la violencia políti"&amp;"ca digital contra las mujeres en razón de género, y ampliar la coordinación interinstitucional para homologar criterios y rutas de prevención, atención y eliminación de la violencia política y continuar avanzando en la paridad. En tanto, la representante "&amp;"de la Secretaría de las Mujeres, Susana Ángeles Quezada, resaltó la importancia de las tareas que realiza el OPPMM, como monitorear los avances y los retrocesos para impulsar los derechos políticos de las mujeres, generar datos con perspectiva de género y"&amp;" diseñar mejores políticas públicas que permitan alcanzar y garantizar que más mujeres lleguen a cargos públicos y, sobre todo, se mantengan en el poder. Planteó la oportunidad de que el OPPMM se convierta en el espacio de articulación por excelencia para"&amp;" empujar el avance de los derechos políticos de las mujeres a partir de la cooperación interinstitucional de las distintas dependencias de gobierno y la sociedad civil que convergen en este organismo. El OPPMM surgió con la iniciativa del Instituto Nacion"&amp;"al de las Mujeres (Inmujeres), hoy Secretaría de las Mujeres, el TEPJF y el INE, el 15 de octubre de 2014, en el marco del 61 Aniversario del Voto de las Mujeres en México. Su objetivo: Coordinar acciones encaminadas a promover la participación de las muj"&amp;"eres en espacios de toma de decisiones en el ámbito público en México, con la finalidad de lograr sinergias que cierren las brechas de género, desde un enfoque de igualdad sustantiva entre mujeres y hombres. No hay etiquetas asociadas a éste artículo.")</f>
        <v>La perspectiva de género no es una opción, sino una obligación judicial para eliminar desigualdades estructurales, aseguró el magistrado presidente del Tribunal Electoral del Poder Judicial de la Federación (TEPJF), Gilberto Bátiz García, en el marco de la sesión de instalación del Observatorio de Participación Política de las Mujeres en México (OPPMM). En la sede del Instituto Nacional Electoral (INE), ante la presidenta de ese organismo, Guadalupe Taddei Zavala, quien preside el OPPMM, la directora general de Relaciones Interinstitucionales, Participación Política y Social de la Secretaría de las Mujeres, Susana Ángeles Quezada, a nombre de la titular de esa dependencia, Minerva Citlalli Hernández Mora, así como representantes de la sociedad civil; Gilberto Bátiz, en su carácter de integrante permanente del organismo, refrendó el compromiso del TEPJF como aliado de las mujeres en favor de sus derechos. “La democracia mexicana será sólida en la medida que sea más igualitaria, y será más igualitaria en la medida en que las mujeres no solo participen sino que ejerzan el poder en libertad, sin violencia, sin simulaciones y con plenitud”, indicó al destacar que el TEPJF ha construido, con sentencias, criterios y estándares de desempeño con perspectiva de género, un piso jurídico en favor de la participación política de las mujeres. Enumeró los compromisos institucionales que habrán de guiar la participación del TEPJF en el OPPMM: Defender la paridad como principio constitucional irrenunciable; garantizar la tutela efectiva frente a la violencia política; impulsar criterios que reconozcan los contextos diferenciados al considerar la vulnerabilidad de las mujeres; enriquecer estándares con evidencia que haya sido generada por este propio Observatorio, y avanzar hacia una justicia electoral que sea más clara, más cercana y, sobre todo, más útil para las mujeres. Gilberto Bátiz hizo un reconocimiento a la gestión de la magistrada Mónica Soto Fregoso, cuyo trabajo, dijo, fue determinante para que “hoy hablemos de una justicia electoral que se mira y se ejerce con lentes violeta”. Bajo su mandato, agregó, se consolidaron criterios que hoy son referencia nacional y su visión como presidenta ayudó a situar la dignidad de las personas en el centro del actuar jurisdiccional y a posicionar al TEPJF como un órgano verdaderamente garante e incluyente. Al tomar la palabra, la consejera presidenta del INE, Guadalupe Taddei, resaltó que este Observatorio tiene el objetivo de renovar un pacto por la igualdad, la democracia y la justicia, y ser un referente para las niñas, las jóvenes y las mujeres, con el propósito de que se apropien del conocimiento sobre el significado y la importancia de la participación política de las mujeres. Para ello, adelantó que impulsará cuatro compromisos al frente del OPPMM: transparencia para que la ciudadanía pueda evaluar los avances en la materia; el fortalecimiento de las agendas en cada entidad federativa para que la paridad sea una realidad; la prevención y atención de la violencia política digital contra las mujeres en razón de género, y ampliar la coordinación interinstitucional para homologar criterios y rutas de prevención, atención y eliminación de la violencia política y continuar avanzando en la paridad. En tanto, la representante de la Secretaría de las Mujeres, Susana Ángeles Quezada, resaltó la importancia de las tareas que realiza el OPPMM, como monitorear los avances y los retrocesos para impulsar los derechos políticos de las mujeres, generar datos con perspectiva de género y diseñar mejores políticas públicas que permitan alcanzar y garantizar que más mujeres lleguen a cargos públicos y, sobre todo, se mantengan en el poder. Planteó la oportunidad de que el OPPMM se convierta en el espacio de articulación por excelencia para empujar el avance de los derechos políticos de las mujeres a partir de la cooperación interinstitucional de las distintas dependencias de gobierno y la sociedad civil que convergen en este organismo. El OPPMM surgió con la iniciativa del Instituto Nacional de las Mujeres (Inmujeres), hoy Secretaría de las Mujeres, el TEPJF y el INE, el 15 de octubre de 2014, en el marco del 61 Aniversario del Voto de las Mujeres en México. Su objetivo: Coordinar acciones encaminadas a promover la participación de las mujeres en espacios de toma de decisiones en el ámbito público en México, con la finalidad de lograr sinergias que cierren las brechas de género, desde un enfoque de igualdad sustantiva entre mujeres y hombres. No hay etiquetas asociadas a éste artículo.</v>
      </c>
      <c r="O163" s="15">
        <f>IFERROR(__xludf.DUMMYFUNCTION("""COMPUTED_VALUE"""),0.3563)</f>
        <v>0.3563</v>
      </c>
      <c r="P163" s="2"/>
      <c r="Q163" s="17">
        <f>IFERROR(__xludf.DUMMYFUNCTION("""COMPUTED_VALUE"""),1.0)</f>
        <v>1</v>
      </c>
      <c r="R163" s="2" t="str">
        <f>IFERROR(__xludf.DUMMYFUNCTION("""COMPUTED_VALUE"""),"Low")</f>
        <v>Low</v>
      </c>
      <c r="S163" s="17">
        <f>IFERROR(__xludf.DUMMYFUNCTION("""COMPUTED_VALUE"""),1.0)</f>
        <v>1</v>
      </c>
      <c r="T163" s="17">
        <f>IFERROR(__xludf.DUMMYFUNCTION("""COMPUTED_VALUE"""),0.0)</f>
        <v>0</v>
      </c>
      <c r="U163" s="14">
        <f>IFERROR(__xludf.DUMMYFUNCTION("""COMPUTED_VALUE"""),2.0)</f>
        <v>2</v>
      </c>
      <c r="V163" s="14">
        <v>2025.0</v>
      </c>
      <c r="W163" s="2" t="s">
        <v>1206</v>
      </c>
      <c r="X163" s="2" t="s">
        <v>1201</v>
      </c>
      <c r="Y163" s="13" t="s">
        <v>668</v>
      </c>
      <c r="Z163" s="14">
        <v>0.0</v>
      </c>
      <c r="AA163" s="14">
        <v>0.0</v>
      </c>
      <c r="AB163" s="14">
        <v>0.0</v>
      </c>
      <c r="AC163" s="14">
        <v>0.0</v>
      </c>
      <c r="AD163" s="2">
        <v>0.0</v>
      </c>
      <c r="AE163" s="2">
        <v>0.0</v>
      </c>
      <c r="AF163" s="2">
        <v>11.0</v>
      </c>
      <c r="AG163" s="2" t="s">
        <v>1172</v>
      </c>
      <c r="AH163" s="2">
        <v>0.0</v>
      </c>
    </row>
    <row r="164" ht="15.75" customHeight="1">
      <c r="A164" s="2" t="str">
        <f>IFERROR(__xludf.DUMMYFUNCTION("""COMPUTED_VALUE"""),"Diario Portal")</f>
        <v>Diario Portal</v>
      </c>
      <c r="B164" s="12" t="str">
        <f>IFERROR(__xludf.DUMMYFUNCTION("""COMPUTED_VALUE"""),"Se acabó el  suministro  de agua para  empresarios   que evaden  pagar servicio  en Ecatepec")</f>
        <v>Se acabó el  suministro  de agua para  empresarios   que evaden  pagar servicio  en Ecatepec</v>
      </c>
      <c r="C164" s="13" t="str">
        <f>IFERROR(__xludf.DUMMYFUNCTION("""COMPUTED_VALUE"""),"Sin Fecha")</f>
        <v>Sin Fecha</v>
      </c>
      <c r="D164" s="14">
        <f>IFERROR(__xludf.DUMMYFUNCTION("""COMPUTED_VALUE"""),3.0)</f>
        <v>3</v>
      </c>
      <c r="E164" s="15">
        <f>IFERROR(__xludf.DUMMYFUNCTION("""COMPUTED_VALUE"""),-0.815)</f>
        <v>-0.815</v>
      </c>
      <c r="F164" s="2" t="str">
        <f>IFERROR(__xludf.DUMMYFUNCTION("""COMPUTED_VALUE"""),"Negativo")</f>
        <v>Negativo</v>
      </c>
      <c r="G164" s="15">
        <f>IFERROR(__xludf.DUMMYFUNCTION("""COMPUTED_VALUE"""),0.815)</f>
        <v>0.815</v>
      </c>
      <c r="H164" s="2" t="str">
        <f>IFERROR(__xludf.DUMMYFUNCTION("""COMPUTED_VALUE"""),"Protestas o bloqueos viales")</f>
        <v>Protestas o bloqueos viales</v>
      </c>
      <c r="I164" s="2" t="str">
        <f>IFERROR(__xludf.DUMMYFUNCTION("""COMPUTED_VALUE"""),"N/A")</f>
        <v>N/A</v>
      </c>
      <c r="J164" s="2" t="str">
        <f>IFERROR(__xludf.DUMMYFUNCTION("""COMPUTED_VALUE"""),"Operaciones: Notificar zonas a evitar (Waze/Maps).")</f>
        <v>Operaciones: Notificar zonas a evitar (Waze/Maps).</v>
      </c>
      <c r="K164" s="2" t="str">
        <f>IFERROR(__xludf.DUMMYFUNCTION("""COMPUTED_VALUE"""),"Ecatepec")</f>
        <v>Ecatepec</v>
      </c>
      <c r="L164" s="2" t="str">
        <f>IFERROR(__xludf.DUMMYFUNCTION("""COMPUTED_VALUE"""),"Estado de México")</f>
        <v>Estado de México</v>
      </c>
      <c r="M164" s="16" t="str">
        <f>IFERROR(__xludf.DUMMYFUNCTION("""COMPUTED_VALUE"""),"https://diarioportal.com/seguridad-y-justicia/se-acabo-el-suministro-de-agua-para-empresarios-que-evaden-pagar-servicio-en-ecatepec")</f>
        <v>https://diarioportal.com/seguridad-y-justicia/se-acabo-el-suministro-de-agua-para-empresarios-que-evaden-pagar-servicio-en-ecatepec</v>
      </c>
      <c r="N164" s="2" t="str">
        <f>IFERROR(__xludf.DUMMYFUNCTION("""COMPUTED_VALUE"""),"El gobierno de Ecatepec restringió el servicio de agua y drenaje a una tienda de comercio Oxxo y a la Clínica Hacienda Santa Clara por no no pagar y hacer caso omiso para su regularización, autoridades exhortaron a empresarios a regularizar sus establecim"&amp;"ientos. Esta tarde el personal de Sapase y de Ejecución Fiscal acudieron a la tienda Oxxo ubicada en la Avenida México 127, colonia Jardines de Cerro Gordo donde colocaron sellos de restricción de servicios de drenaje y agua. Los funcionarios detallaron c"&amp;"on anterioridad que se les había emitido un citatorio para acudir a las oficinas de Sapase a revisar su situación ante la falta de pagos y regularización. Sin embargo, ante la omisión, se procedió a la colocación de dichos sellos con el folio DCF/UNO/016/"&amp;"2025, número de cuenta 164053, así como la restricción de los servicios de drenaje y agua. “Ya se les había notificado, hicieron caso omiso y no acudieron a Sapase Por eso se les restringió, la encargada dice que no sabía nada, que es nueva”, comentaron. "&amp;"Paralelamente el personal de Sapase y del ayuntamiento en la calle Mar del Norte casi esquina con Golfo Corinto en la colonia Prados de Santa Clara, colocaron sellos de restricción de servicios a la Clínica Hacienda Santa Clara ante la falta de pago y omi"&amp;"sión de regularización. Dicha clínica es un Centro de Rehabilitación el cual, de acuerdo con su página de Facebook, cuenta con alberca y múltiples áreas. El personal del ayuntamiento explicó que dicha acción se realiza con fundamento en la normativa vigen"&amp;"te en materia de prestación del servicio de drenaje y alcantarillado y cumplimiento fiscal en el Estado de México. Señalaron que esta situación representa un grave incumplimiento que afecta directamente la operación del sistema hidráulico municipal, por l"&amp;"o que se han iniciado acciones firmes para recuperar adeudos históricos y garantizar el uso responsable de los servicios de agua y drenaje en el municipio. Días anteriores al ayuntamiento restringió los servicios a una tintorería, a una universidad Insurg"&amp;"entes y una empresa llamada Coacalco Park los cuales solo tenían una sola toma de agua y drenaje y debían más de un millón 300 mil pesos. El gobierno de Ecatepec exhorta a los empresarios y microempresarios a regularizar los servicios de sus  establecimie"&amp;"ntos, y que no habrá tolerancia al incumplimiento, especialmente cuando se trata de servicios esenciales. No hay etiquetas asociadas a éste artículo.")</f>
        <v>El gobierno de Ecatepec restringió el servicio de agua y drenaje a una tienda de comercio Oxxo y a la Clínica Hacienda Santa Clara por no no pagar y hacer caso omiso para su regularización, autoridades exhortaron a empresarios a regularizar sus establecimientos. Esta tarde el personal de Sapase y de Ejecución Fiscal acudieron a la tienda Oxxo ubicada en la Avenida México 127, colonia Jardines de Cerro Gordo donde colocaron sellos de restricción de servicios de drenaje y agua. Los funcionarios detallaron con anterioridad que se les había emitido un citatorio para acudir a las oficinas de Sapase a revisar su situación ante la falta de pagos y regularización. Sin embargo, ante la omisión, se procedió a la colocación de dichos sellos con el folio DCF/UNO/016/2025, número de cuenta 164053, así como la restricción de los servicios de drenaje y agua. “Ya se les había notificado, hicieron caso omiso y no acudieron a Sapase Por eso se les restringió, la encargada dice que no sabía nada, que es nueva”, comentaron. Paralelamente el personal de Sapase y del ayuntamiento en la calle Mar del Norte casi esquina con Golfo Corinto en la colonia Prados de Santa Clara, colocaron sellos de restricción de servicios a la Clínica Hacienda Santa Clara ante la falta de pago y omisión de regularización. Dicha clínica es un Centro de Rehabilitación el cual, de acuerdo con su página de Facebook, cuenta con alberca y múltiples áreas. El personal del ayuntamiento explicó que dicha acción se realiza con fundamento en la normativa vigente en materia de prestación del servicio de drenaje y alcantarillado y cumplimiento fiscal en el Estado de México. Señalaron que esta situación representa un grave incumplimiento que afecta directamente la operación del sistema hidráulico municipal, por lo que se han iniciado acciones firmes para recuperar adeudos históricos y garantizar el uso responsable de los servicios de agua y drenaje en el municipio. Días anteriores al ayuntamiento restringió los servicios a una tintorería, a una universidad Insurgentes y una empresa llamada Coacalco Park los cuales solo tenían una sola toma de agua y drenaje y debían más de un millón 300 mil pesos. El gobierno de Ecatepec exhorta a los empresarios y microempresarios a regularizar los servicios de sus  establecimientos, y que no habrá tolerancia al incumplimiento, especialmente cuando se trata de servicios esenciales. No hay etiquetas asociadas a éste artículo.</v>
      </c>
      <c r="O164" s="15">
        <f>IFERROR(__xludf.DUMMYFUNCTION("""COMPUTED_VALUE"""),0.3613)</f>
        <v>0.3613</v>
      </c>
      <c r="P164" s="2"/>
      <c r="Q164" s="17">
        <f>IFERROR(__xludf.DUMMYFUNCTION("""COMPUTED_VALUE"""),8.5)</f>
        <v>8.5</v>
      </c>
      <c r="R164" s="2" t="str">
        <f>IFERROR(__xludf.DUMMYFUNCTION("""COMPUTED_VALUE"""),"High")</f>
        <v>High</v>
      </c>
      <c r="S164" s="17">
        <f>IFERROR(__xludf.DUMMYFUNCTION("""COMPUTED_VALUE"""),5.5)</f>
        <v>5.5</v>
      </c>
      <c r="T164" s="17">
        <f>IFERROR(__xludf.DUMMYFUNCTION("""COMPUTED_VALUE"""),0.0)</f>
        <v>0</v>
      </c>
      <c r="U164" s="14">
        <f>IFERROR(__xludf.DUMMYFUNCTION("""COMPUTED_VALUE"""),2.0)</f>
        <v>2</v>
      </c>
      <c r="V164" s="14" t="s">
        <v>1186</v>
      </c>
      <c r="W164" s="2" t="s">
        <v>190</v>
      </c>
      <c r="X164" s="2" t="s">
        <v>190</v>
      </c>
      <c r="Y164" s="13"/>
      <c r="Z164" s="14">
        <v>0.0</v>
      </c>
      <c r="AA164" s="14">
        <v>0.0</v>
      </c>
      <c r="AB164" s="14">
        <v>0.0</v>
      </c>
      <c r="AC164" s="14">
        <v>0.0</v>
      </c>
      <c r="AD164" s="2">
        <v>0.0</v>
      </c>
      <c r="AE164" s="2">
        <v>0.0</v>
      </c>
      <c r="AF164" s="2" t="s">
        <v>1186</v>
      </c>
      <c r="AG164" s="2" t="s">
        <v>1208</v>
      </c>
      <c r="AH164" s="2">
        <v>0.0</v>
      </c>
    </row>
    <row r="165" ht="15.75" customHeight="1">
      <c r="A165" s="2" t="str">
        <f>IFERROR(__xludf.DUMMYFUNCTION("""COMPUTED_VALUE"""),"Diario Portal")</f>
        <v>Diario Portal</v>
      </c>
      <c r="B165" s="12" t="str">
        <f>IFERROR(__xludf.DUMMYFUNCTION("""COMPUTED_VALUE"""),"Logra Toluca   la reducción  en robos de  vehículo más  contundente a  nivel nacional")</f>
        <v>Logra Toluca   la reducción  en robos de  vehículo más  contundente a  nivel nacional</v>
      </c>
      <c r="C165" s="13" t="str">
        <f>IFERROR(__xludf.DUMMYFUNCTION("""COMPUTED_VALUE"""),"Sin Fecha")</f>
        <v>Sin Fecha</v>
      </c>
      <c r="D165" s="14">
        <f>IFERROR(__xludf.DUMMYFUNCTION("""COMPUTED_VALUE"""),2.0)</f>
        <v>2</v>
      </c>
      <c r="E165" s="15">
        <f>IFERROR(__xludf.DUMMYFUNCTION("""COMPUTED_VALUE"""),0.0)</f>
        <v>0</v>
      </c>
      <c r="F165" s="2" t="str">
        <f>IFERROR(__xludf.DUMMYFUNCTION("""COMPUTED_VALUE"""),"Neutral")</f>
        <v>Neutral</v>
      </c>
      <c r="G165" s="15">
        <f>IFERROR(__xludf.DUMMYFUNCTION("""COMPUTED_VALUE"""),0.5393)</f>
        <v>0.5393</v>
      </c>
      <c r="H165" s="2" t="str">
        <f>IFERROR(__xludf.DUMMYFUNCTION("""COMPUTED_VALUE"""),"Operativo policial o detención")</f>
        <v>Operativo policial o detención</v>
      </c>
      <c r="I165" s="2" t="str">
        <f>IFERROR(__xludf.DUMMYFUNCTION("""COMPUTED_VALUE"""),"N/A")</f>
        <v>N/A</v>
      </c>
      <c r="J165" s="2" t="str">
        <f>IFERROR(__xludf.DUMMYFUNCTION("""COMPUTED_VALUE"""),"Monitoreo general.")</f>
        <v>Monitoreo general.</v>
      </c>
      <c r="K165" s="2" t="str">
        <f>IFERROR(__xludf.DUMMYFUNCTION("""COMPUTED_VALUE"""),"Toluca")</f>
        <v>Toluca</v>
      </c>
      <c r="L165" s="2" t="str">
        <f>IFERROR(__xludf.DUMMYFUNCTION("""COMPUTED_VALUE"""),"Estado de México")</f>
        <v>Estado de México</v>
      </c>
      <c r="M165" s="16" t="str">
        <f>IFERROR(__xludf.DUMMYFUNCTION("""COMPUTED_VALUE"""),"https://diarioportal.com/seguridad-y-justicia/logra-toluca-la-reduccion-en-robos-de-vehiculo-mas-contundente-a-nivel-nacional")</f>
        <v>https://diarioportal.com/seguridad-y-justicia/logra-toluca-la-reduccion-en-robos-de-vehiculo-mas-contundente-a-nivel-nacional</v>
      </c>
      <c r="N165" s="2" t="str">
        <f>IFERROR(__xludf.DUMMYFUNCTION("""COMPUTED_VALUE"""),"Toluca obtuvo el primer lugar nacional en la disminución porcentual del robo de vehículos, al registrar una reducción del 56.57%, informó el presidente municipal, Ricardo Moreno Bastida. Agregó que esta cifra coloca a la capital mexiquense por encima de c"&amp;"iudades como Mérida, Chihuahua, San Luis Potosí, Mexicali, León, Monterrey, Querétaro, Tijuana y Guadalajara, todas con poblaciones superiores a los 900 mil habitantes. Incluso, dijo, Toluca desplazó a municipios mexiquenses con mayor densidad poblacional"&amp;", como Nezahualcóyotl y Ecatepec, tradicionalmente ubicados por encima en los índices de reducción de delitos. Moreno Bastida explicó que los resultados obedecen al trabajo coordinado entre los tres órdenes de gobierno, acción que han permitido fortalecer"&amp;" las labores de inteligencia, mejorar los tiempos de respuesta y optimizar los patrullajes preventivos en zonas de mayor incidencia. Finalmente, puntualizó que otro factor que ha sido determinante en la reducción de manera sostenida de este delito es la d"&amp;"esarticulación de más de diez bandas dedicadas al robo de automotores, acción que también contribuyó a mejorar la percepción de seguridad entre la ciudadanía. No hay etiquetas asociadas a éste artículo.")</f>
        <v>Toluca obtuvo el primer lugar nacional en la disminución porcentual del robo de vehículos, al registrar una reducción del 56.57%, informó el presidente municipal, Ricardo Moreno Bastida. Agregó que esta cifra coloca a la capital mexiquense por encima de ciudades como Mérida, Chihuahua, San Luis Potosí, Mexicali, León, Monterrey, Querétaro, Tijuana y Guadalajara, todas con poblaciones superiores a los 900 mil habitantes. Incluso, dijo, Toluca desplazó a municipios mexiquenses con mayor densidad poblacional, como Nezahualcóyotl y Ecatepec, tradicionalmente ubicados por encima en los índices de reducción de delitos. Moreno Bastida explicó que los resultados obedecen al trabajo coordinado entre los tres órdenes de gobierno, acción que han permitido fortalecer las labores de inteligencia, mejorar los tiempos de respuesta y optimizar los patrullajes preventivos en zonas de mayor incidencia. Finalmente, puntualizó que otro factor que ha sido determinante en la reducción de manera sostenida de este delito es la desarticulación de más de diez bandas dedicadas al robo de automotores, acción que también contribuyó a mejorar la percepción de seguridad entre la ciudadanía. No hay etiquetas asociadas a éste artículo.</v>
      </c>
      <c r="O165" s="15">
        <f>IFERROR(__xludf.DUMMYFUNCTION("""COMPUTED_VALUE"""),0.26)</f>
        <v>0.26</v>
      </c>
      <c r="P165" s="2"/>
      <c r="Q165" s="17">
        <f>IFERROR(__xludf.DUMMYFUNCTION("""COMPUTED_VALUE"""),8.5)</f>
        <v>8.5</v>
      </c>
      <c r="R165" s="2" t="str">
        <f>IFERROR(__xludf.DUMMYFUNCTION("""COMPUTED_VALUE"""),"High")</f>
        <v>High</v>
      </c>
      <c r="S165" s="17">
        <f>IFERROR(__xludf.DUMMYFUNCTION("""COMPUTED_VALUE"""),3.5)</f>
        <v>3.5</v>
      </c>
      <c r="T165" s="17">
        <f>IFERROR(__xludf.DUMMYFUNCTION("""COMPUTED_VALUE"""),0.0)</f>
        <v>0</v>
      </c>
      <c r="U165" s="14">
        <f>IFERROR(__xludf.DUMMYFUNCTION("""COMPUTED_VALUE"""),2.0)</f>
        <v>2</v>
      </c>
      <c r="V165" s="14" t="s">
        <v>1186</v>
      </c>
      <c r="W165" s="2" t="s">
        <v>190</v>
      </c>
      <c r="X165" s="2" t="s">
        <v>190</v>
      </c>
      <c r="Y165" s="13"/>
      <c r="Z165" s="14">
        <v>0.0</v>
      </c>
      <c r="AA165" s="14">
        <v>0.0</v>
      </c>
      <c r="AB165" s="14">
        <v>0.0</v>
      </c>
      <c r="AC165" s="14">
        <v>0.0</v>
      </c>
      <c r="AD165" s="2">
        <v>0.0</v>
      </c>
      <c r="AE165" s="2">
        <v>0.0</v>
      </c>
      <c r="AF165" s="2" t="s">
        <v>1186</v>
      </c>
      <c r="AG165" s="2" t="s">
        <v>1216</v>
      </c>
      <c r="AH165" s="2">
        <v>0.0</v>
      </c>
    </row>
    <row r="166" ht="15.75" customHeight="1">
      <c r="A166" s="2" t="str">
        <f>IFERROR(__xludf.DUMMYFUNCTION("""COMPUTED_VALUE"""),"Diario Portal")</f>
        <v>Diario Portal</v>
      </c>
      <c r="B166" s="12" t="str">
        <f>IFERROR(__xludf.DUMMYFUNCTION("""COMPUTED_VALUE"""),"Sólo mujeres  policías de  tránsito serán  habilitadas  para levantar  infracciones")</f>
        <v>Sólo mujeres  policías de  tránsito serán  habilitadas  para levantar  infracciones</v>
      </c>
      <c r="C166" s="13" t="str">
        <f>IFERROR(__xludf.DUMMYFUNCTION("""COMPUTED_VALUE"""),"Sin Fecha")</f>
        <v>Sin Fecha</v>
      </c>
      <c r="D166" s="14">
        <f>IFERROR(__xludf.DUMMYFUNCTION("""COMPUTED_VALUE"""),2.0)</f>
        <v>2</v>
      </c>
      <c r="E166" s="15">
        <f>IFERROR(__xludf.DUMMYFUNCTION("""COMPUTED_VALUE"""),0.0)</f>
        <v>0</v>
      </c>
      <c r="F166" s="2" t="str">
        <f>IFERROR(__xludf.DUMMYFUNCTION("""COMPUTED_VALUE"""),"Neutral")</f>
        <v>Neutral</v>
      </c>
      <c r="G166" s="15">
        <f>IFERROR(__xludf.DUMMYFUNCTION("""COMPUTED_VALUE"""),0.6674)</f>
        <v>0.6674</v>
      </c>
      <c r="H166" s="2" t="str">
        <f>IFERROR(__xludf.DUMMYFUNCTION("""COMPUTED_VALUE"""),"Operativo policial o detención")</f>
        <v>Operativo policial o detención</v>
      </c>
      <c r="I166" s="2" t="str">
        <f>IFERROR(__xludf.DUMMYFUNCTION("""COMPUTED_VALUE"""),"N/A")</f>
        <v>N/A</v>
      </c>
      <c r="J166" s="2" t="str">
        <f>IFERROR(__xludf.DUMMYFUNCTION("""COMPUTED_VALUE"""),"Monitoreo general.")</f>
        <v>Monitoreo general.</v>
      </c>
      <c r="K166" s="2" t="str">
        <f>IFERROR(__xludf.DUMMYFUNCTION("""COMPUTED_VALUE"""),"Estado de México")</f>
        <v>Estado de México</v>
      </c>
      <c r="L166" s="2" t="str">
        <f>IFERROR(__xludf.DUMMYFUNCTION("""COMPUTED_VALUE"""),"Estado de México")</f>
        <v>Estado de México</v>
      </c>
      <c r="M166" s="16" t="str">
        <f>IFERROR(__xludf.DUMMYFUNCTION("""COMPUTED_VALUE"""),"https://diarioportal.com/seguridad-y-justicia/solo-mujeres-policias-de-transito-seran-habilitadas-para-levantar-infracciones")</f>
        <v>https://diarioportal.com/seguridad-y-justicia/solo-mujeres-policias-de-transito-seran-habilitadas-para-levantar-infracciones</v>
      </c>
      <c r="N166" s="2" t="str">
        <f>IFERROR(__xludf.DUMMYFUNCTION("""COMPUTED_VALUE"""),"El próximo 25 de noviembre, con la entrada en vigor de la reforma al Reglamento de Tránsito del Estado de México, las agentes de tránsito únicamente van a aplicar la infracción mínima a quienes comentan alguna falta en calles mexiquenses. De acuerdo con l"&amp;"a publicación del Periódico Oficial Gaceta del Gobierno, la Secretaría de Seguridad del Estado de México (SSEM), conforme al artículo 122, tiene un lapso no mayor a un año desde de la puesta en marcha del ordenamiento para crear un sistema o base de datos"&amp;" sobre las multas cometidas por infractores. Una vez concluido, en ese tiempo o antes, la dependencia estará en posibilidad de aplicar las sanciones de rango medio y máximo previstas. Recordar que, en un ánimo colaborativo con quien cumpla su sanción, la "&amp;"nueva normativa elimina las multas fijas y las sustituye por rango mínimo, medio y máximo, según el historial de infracciones no liquidadas del conductor. De esta forma, quien cumple paga menos y quien acumula sanciones, paga más. Es importante mencionar "&amp;"que dicho sistema tendrá que contar con mecanismos de interoperabilidad con los ayuntamientos, es decir, que tenga la capacidad para intercambiar datos y compartir información, lo anterior se va a establecer mediante convenios de coordinación para homolog"&amp;"ar procedimientos y fortalecer la gestión administrativa en la materia. Asimismo, las Secretarías de Seguridad y de Movilidad brindarán a los ayuntamientos la asesoría y capacitación necesarias para facilitar su interconexión y la operación técnica del si"&amp;"stema. No hay etiquetas asociadas a éste artículo.")</f>
        <v>El próximo 25 de noviembre, con la entrada en vigor de la reforma al Reglamento de Tránsito del Estado de México, las agentes de tránsito únicamente van a aplicar la infracción mínima a quienes comentan alguna falta en calles mexiquenses. De acuerdo con la publicación del Periódico Oficial Gaceta del Gobierno, la Secretaría de Seguridad del Estado de México (SSEM), conforme al artículo 122, tiene un lapso no mayor a un año desde de la puesta en marcha del ordenamiento para crear un sistema o base de datos sobre las multas cometidas por infractores. Una vez concluido, en ese tiempo o antes, la dependencia estará en posibilidad de aplicar las sanciones de rango medio y máximo previstas. Recordar que, en un ánimo colaborativo con quien cumpla su sanción, la nueva normativa elimina las multas fijas y las sustituye por rango mínimo, medio y máximo, según el historial de infracciones no liquidadas del conductor. De esta forma, quien cumple paga menos y quien acumula sanciones, paga más. Es importante mencionar que dicho sistema tendrá que contar con mecanismos de interoperabilidad con los ayuntamientos, es decir, que tenga la capacidad para intercambiar datos y compartir información, lo anterior se va a establecer mediante convenios de coordinación para homologar procedimientos y fortalecer la gestión administrativa en la materia. Asimismo, las Secretarías de Seguridad y de Movilidad brindarán a los ayuntamientos la asesoría y capacitación necesarias para facilitar su interconexión y la operación técnica del sistema. No hay etiquetas asociadas a éste artículo.</v>
      </c>
      <c r="O166" s="15">
        <f>IFERROR(__xludf.DUMMYFUNCTION("""COMPUTED_VALUE"""),0.5801)</f>
        <v>0.5801</v>
      </c>
      <c r="P166" s="2"/>
      <c r="Q166" s="17">
        <f>IFERROR(__xludf.DUMMYFUNCTION("""COMPUTED_VALUE"""),5.0)</f>
        <v>5</v>
      </c>
      <c r="R166" s="2" t="str">
        <f>IFERROR(__xludf.DUMMYFUNCTION("""COMPUTED_VALUE"""),"High")</f>
        <v>High</v>
      </c>
      <c r="S166" s="17">
        <f>IFERROR(__xludf.DUMMYFUNCTION("""COMPUTED_VALUE"""),2.0)</f>
        <v>2</v>
      </c>
      <c r="T166" s="17">
        <f>IFERROR(__xludf.DUMMYFUNCTION("""COMPUTED_VALUE"""),0.0)</f>
        <v>0</v>
      </c>
      <c r="U166" s="14">
        <f>IFERROR(__xludf.DUMMYFUNCTION("""COMPUTED_VALUE"""),2.0)</f>
        <v>2</v>
      </c>
      <c r="V166" s="14" t="s">
        <v>1186</v>
      </c>
      <c r="W166" s="2" t="s">
        <v>190</v>
      </c>
      <c r="X166" s="2" t="s">
        <v>190</v>
      </c>
      <c r="Y166" s="13"/>
      <c r="Z166" s="14">
        <v>0.0</v>
      </c>
      <c r="AA166" s="14">
        <v>0.0</v>
      </c>
      <c r="AB166" s="14">
        <v>0.0</v>
      </c>
      <c r="AC166" s="14">
        <v>0.0</v>
      </c>
      <c r="AD166" s="2">
        <v>0.0</v>
      </c>
      <c r="AE166" s="2">
        <v>0.0</v>
      </c>
      <c r="AF166" s="2" t="s">
        <v>1186</v>
      </c>
      <c r="AG166" s="2" t="s">
        <v>1202</v>
      </c>
      <c r="AH166" s="2">
        <v>0.0</v>
      </c>
    </row>
    <row r="167" ht="15.75" customHeight="1">
      <c r="A167" s="2" t="str">
        <f>IFERROR(__xludf.DUMMYFUNCTION("""COMPUTED_VALUE"""),"Diario Portal")</f>
        <v>Diario Portal</v>
      </c>
      <c r="B167" s="12" t="str">
        <f>IFERROR(__xludf.DUMMYFUNCTION("""COMPUTED_VALUE"""),"Impiden robos por más de 500 mil pesos y detienen a 155 personas en operativos por Buen Fin")</f>
        <v>Impiden robos por más de 500 mil pesos y detienen a 155 personas en operativos por Buen Fin</v>
      </c>
      <c r="C167" s="13" t="str">
        <f>IFERROR(__xludf.DUMMYFUNCTION("""COMPUTED_VALUE"""),"2025-11-18 19:14:25")</f>
        <v>2025-11-18 19:14:25</v>
      </c>
      <c r="D167" s="14">
        <f>IFERROR(__xludf.DUMMYFUNCTION("""COMPUTED_VALUE"""),5.0)</f>
        <v>5</v>
      </c>
      <c r="E167" s="15">
        <f>IFERROR(__xludf.DUMMYFUNCTION("""COMPUTED_VALUE"""),-0.5058)</f>
        <v>-0.5058</v>
      </c>
      <c r="F167" s="2" t="str">
        <f>IFERROR(__xludf.DUMMYFUNCTION("""COMPUTED_VALUE"""),"Negativo")</f>
        <v>Negativo</v>
      </c>
      <c r="G167" s="15">
        <f>IFERROR(__xludf.DUMMYFUNCTION("""COMPUTED_VALUE"""),0.5058)</f>
        <v>0.5058</v>
      </c>
      <c r="H167" s="2" t="str">
        <f>IFERROR(__xludf.DUMMYFUNCTION("""COMPUTED_VALUE"""),"Delito violento, robo o asalto")</f>
        <v>Delito violento, robo o asalto</v>
      </c>
      <c r="I167" s="2" t="str">
        <f>IFERROR(__xludf.DUMMYFUNCTION("""COMPUTED_VALUE"""),"robo con violencia")</f>
        <v>robo con violencia</v>
      </c>
      <c r="J167" s="2" t="str">
        <f>IFERROR(__xludf.DUMMYFUNCTION("""COMPUTED_VALUE"""),"Prevención Nocturna: Alerta de zona de riesgo.")</f>
        <v>Prevención Nocturna: Alerta de zona de riesgo.</v>
      </c>
      <c r="K167" s="2" t="str">
        <f>IFERROR(__xludf.DUMMYFUNCTION("""COMPUTED_VALUE"""),"Estado de México")</f>
        <v>Estado de México</v>
      </c>
      <c r="L167" s="2" t="str">
        <f>IFERROR(__xludf.DUMMYFUNCTION("""COMPUTED_VALUE"""),"Estado de México")</f>
        <v>Estado de México</v>
      </c>
      <c r="M167" s="16" t="str">
        <f>IFERROR(__xludf.DUMMYFUNCTION("""COMPUTED_VALUE"""),"https://diarioportal.com/seguridad-y-justicia/impiden-robos-por-mas-de-500-mil-pesos-y-detienen-a-155-personas-en-operativos-por-buen-fin")</f>
        <v>https://diarioportal.com/seguridad-y-justicia/impiden-robos-por-mas-de-500-mil-pesos-y-detienen-a-155-personas-en-operativos-por-buen-fin</v>
      </c>
      <c r="N167" s="2" t="str">
        <f>IFERROR(__xludf.DUMMYFUNCTION("""COMPUTED_VALUE"""),"Durante el operativo implementado por el Buen Fin 2025 se registró un total de 155 personas detenidas por presunta comisión de diversos delitos, así como la recuperación de más de 120 mil pesos en mercancía y casi medio millón de pesos en efectivo. De acu"&amp;"erdo con la Secretaría de Seguridad del Estado de México (SSEM), de las personas aseguradas, 24 estuvieron relacionadas a delitos de alto impacto como robo con violencia, extorsión, delitos contra la salud, secuestro exprés, robo a comercio, así como port"&amp;"ación, tráfico y acopio de armas prohibidas, además de y 131 personas detenidas por delitos convencionales. Durante los cinco días en que se desarrolló dicho operativo, fueron recuperados 120 mil 343 pesos en mercancía y 496 mil 279 pesos en dinero en efe"&amp;"ctivo. Los aseguramientos involucraron artículos que habían sido sustraídos sin pago o detectados en procesos de revisión al momento de la salida de los establecimientos. También fueron aseguradas 12 armas blancas, dos réplicas de pistola, un par de armas"&amp;" cortas y diversos cartuchos, así como el aseguramiento de sustancias prohibidas. De igual manera, fueron remitidos 36 vehículos sin reporte de robo, de los cuáles, 15 son automóviles, 18 motocicletas y tres tractocamiones. El despliegue operativo que se "&amp;"implementó del 13 al 17 de noviembre contó con un estado de fuerza por parte de la SSEM de tres mil 290 elementos, 255 unidades motorizadas, 25 binomios equinos y 25 caninos. La cobertura se registró en 410 centros comerciales, 576 instituciones bancarias"&amp;" y dos mil 413 cajeros automáticos. Cabe mencionar que en acciones fueron apoyadas con las cámaras de videovigilancia, monitoreadas a través del Centro de Control, Comando, Comunicación, Cómputo y Calidad (C5) con sede en Toluca y Ecatepec. No hay etiquet"&amp;"as asociadas a éste artículo.")</f>
        <v>Durante el operativo implementado por el Buen Fin 2025 se registró un total de 155 personas detenidas por presunta comisión de diversos delitos, así como la recuperación de más de 120 mil pesos en mercancía y casi medio millón de pesos en efectivo. De acuerdo con la Secretaría de Seguridad del Estado de México (SSEM), de las personas aseguradas, 24 estuvieron relacionadas a delitos de alto impacto como robo con violencia, extorsión, delitos contra la salud, secuestro exprés, robo a comercio, así como portación, tráfico y acopio de armas prohibidas, además de y 131 personas detenidas por delitos convencionales. Durante los cinco días en que se desarrolló dicho operativo, fueron recuperados 120 mil 343 pesos en mercancía y 496 mil 279 pesos en dinero en efectivo. Los aseguramientos involucraron artículos que habían sido sustraídos sin pago o detectados en procesos de revisión al momento de la salida de los establecimientos. También fueron aseguradas 12 armas blancas, dos réplicas de pistola, un par de armas cortas y diversos cartuchos, así como el aseguramiento de sustancias prohibidas. De igual manera, fueron remitidos 36 vehículos sin reporte de robo, de los cuáles, 15 son automóviles, 18 motocicletas y tres tractocamiones. El despliegue operativo que se implementó del 13 al 17 de noviembre contó con un estado de fuerza por parte de la SSEM de tres mil 290 elementos, 255 unidades motorizadas, 25 binomios equinos y 25 caninos. La cobertura se registró en 410 centros comerciales, 576 instituciones bancarias y dos mil 413 cajeros automáticos. Cabe mencionar que en acciones fueron apoyadas con las cámaras de videovigilancia, monitoreadas a través del Centro de Control, Comando, Comunicación, Cómputo y Calidad (C5) con sede en Toluca y Ecatepec. No hay etiquetas asociadas a éste artículo.</v>
      </c>
      <c r="O167" s="15">
        <f>IFERROR(__xludf.DUMMYFUNCTION("""COMPUTED_VALUE"""),1.0)</f>
        <v>1</v>
      </c>
      <c r="P167" s="2"/>
      <c r="Q167" s="17">
        <f>IFERROR(__xludf.DUMMYFUNCTION("""COMPUTED_VALUE"""),5.0)</f>
        <v>5</v>
      </c>
      <c r="R167" s="2" t="str">
        <f>IFERROR(__xludf.DUMMYFUNCTION("""COMPUTED_VALUE"""),"Medium")</f>
        <v>Medium</v>
      </c>
      <c r="S167" s="17">
        <f>IFERROR(__xludf.DUMMYFUNCTION("""COMPUTED_VALUE"""),1.0)</f>
        <v>1</v>
      </c>
      <c r="T167" s="17">
        <f>IFERROR(__xludf.DUMMYFUNCTION("""COMPUTED_VALUE"""),0.0)</f>
        <v>0</v>
      </c>
      <c r="U167" s="14">
        <f>IFERROR(__xludf.DUMMYFUNCTION("""COMPUTED_VALUE"""),2.0)</f>
        <v>2</v>
      </c>
      <c r="V167" s="14">
        <v>2025.0</v>
      </c>
      <c r="W167" s="2" t="s">
        <v>1206</v>
      </c>
      <c r="X167" s="2" t="s">
        <v>1218</v>
      </c>
      <c r="Y167" s="13" t="s">
        <v>681</v>
      </c>
      <c r="Z167" s="14">
        <v>0.0</v>
      </c>
      <c r="AA167" s="14">
        <v>0.0</v>
      </c>
      <c r="AB167" s="14">
        <v>0.0</v>
      </c>
      <c r="AC167" s="14">
        <v>0.0</v>
      </c>
      <c r="AD167" s="2">
        <v>0.0</v>
      </c>
      <c r="AE167" s="2">
        <v>1.0</v>
      </c>
      <c r="AF167" s="2">
        <v>11.0</v>
      </c>
      <c r="AG167" s="2" t="s">
        <v>1202</v>
      </c>
      <c r="AH167" s="2">
        <v>0.0</v>
      </c>
    </row>
    <row r="168" ht="15.75" customHeight="1">
      <c r="A168" s="2" t="str">
        <f>IFERROR(__xludf.DUMMYFUNCTION("""COMPUTED_VALUE"""),"Diario Portal")</f>
        <v>Diario Portal</v>
      </c>
      <c r="B168" s="12" t="str">
        <f>IFERROR(__xludf.DUMMYFUNCTION("""COMPUTED_VALUE"""),"Van contra  abusos de  autoridad y  corrupción  con reforma  a la FGJEM")</f>
        <v>Van contra  abusos de  autoridad y  corrupción  con reforma  a la FGJEM</v>
      </c>
      <c r="C168" s="13" t="str">
        <f>IFERROR(__xludf.DUMMYFUNCTION("""COMPUTED_VALUE"""),"Sin Fecha")</f>
        <v>Sin Fecha</v>
      </c>
      <c r="D168" s="14">
        <f>IFERROR(__xludf.DUMMYFUNCTION("""COMPUTED_VALUE"""),1.0)</f>
        <v>1</v>
      </c>
      <c r="E168" s="15">
        <f>IFERROR(__xludf.DUMMYFUNCTION("""COMPUTED_VALUE"""),-0.8156)</f>
        <v>-0.8156</v>
      </c>
      <c r="F168" s="2" t="str">
        <f>IFERROR(__xludf.DUMMYFUNCTION("""COMPUTED_VALUE"""),"Negativo")</f>
        <v>Negativo</v>
      </c>
      <c r="G168" s="15">
        <f>IFERROR(__xludf.DUMMYFUNCTION("""COMPUTED_VALUE"""),0.8156)</f>
        <v>0.8156</v>
      </c>
      <c r="H168" s="2" t="str">
        <f>IFERROR(__xludf.DUMMYFUNCTION("""COMPUTED_VALUE"""),"Otros temas generales")</f>
        <v>Otros temas generales</v>
      </c>
      <c r="I168" s="2" t="str">
        <f>IFERROR(__xludf.DUMMYFUNCTION("""COMPUTED_VALUE"""),"N/A")</f>
        <v>N/A</v>
      </c>
      <c r="J168" s="2" t="str">
        <f>IFERROR(__xludf.DUMMYFUNCTION("""COMPUTED_VALUE"""),"Descartar / Baja prioridad.")</f>
        <v>Descartar / Baja prioridad.</v>
      </c>
      <c r="K168" s="2" t="str">
        <f>IFERROR(__xludf.DUMMYFUNCTION("""COMPUTED_VALUE"""),"Estado de México")</f>
        <v>Estado de México</v>
      </c>
      <c r="L168" s="2" t="str">
        <f>IFERROR(__xludf.DUMMYFUNCTION("""COMPUTED_VALUE"""),"Estado de México")</f>
        <v>Estado de México</v>
      </c>
      <c r="M168" s="16" t="str">
        <f>IFERROR(__xludf.DUMMYFUNCTION("""COMPUTED_VALUE"""),"https://diarioportal.com/seguridad-y-justicia/van-contra-abusos-de-autoridad-y-corrupcion-con-reforma-a-la-fgjem")</f>
        <v>https://diarioportal.com/seguridad-y-justicia/van-contra-abusos-de-autoridad-y-corrupcion-con-reforma-a-la-fgjem</v>
      </c>
      <c r="N168" s="2" t="str">
        <f>IFERROR(__xludf.DUMMYFUNCTION("""COMPUTED_VALUE"""),"Tras señalar que la Fiscalía General de Justicia del Estado de México (FGJEM) opera bajo “un modelo rancio, acartonado y con muchas irregularidades”, el diputado Octavio Martínez Vargas, presidente de la comisión Para el Seguimiento al Plan de Desarrollo "&amp;"del Estado de México, anunció que en próximos días presentará una iniciativa para una nueva Ley Orgánica de la Fiscalía Mexiquense. Durante el desarrollo del foro Análisis para reformar la Ley de Amnistía del Estado de México, advirtió que mientras el Pod"&amp;"er Judicial avanza con nuevas magistraturas, jueces, órganos disciplinarios y mecanismos de administración, la FGJEM mantiene prácticas que derivan en fabricación de delitos, inconsistencias procesales y abusos documentados en todo el territorio mexiquens"&amp;"e. “No puede seguir funcionando un viejo esquema de Fiscalía en un nuevo gobierno y un nuevo Poder Judicial”, afirmó. Adelantó que la iniciativa que presentará busca transformar a la institución a través de una reingeniería administrativa integral, contro"&amp;"les internos eficaces, responsabilidades claras para sancionar conductas indebidas, así como la alineación con el eje uno del Plan de Desarrollo estatal: Cero Corrupción, Estado de Derecho, Gobierno del Pueblo y para el Pueblo. La propuesta surge, dijo, a"&amp;" partir de las denuncias y testimonios de víctimas que narran omisiones, negligencias y corrupción dentro de la Fiscalía Mexiquense. Tras resaltar que en la Ley de Amnistía estatal las víctimas irán al centro del análisis, Martínez Vargas destacó que la p"&amp;"oblación penitenciaria creció de 18 mil personas en 2015 a 39 mil en 2025, sin mejoras proporcionales en infraestructura o procesos de investigación. Recordó que el Congreso Mexiquense ya tipificó diversas conductas, entre ellas, el despojo que ahora es d"&amp;"elito grave, los montachoques que ya tendrán una penalización específica, la usura que fue incorporada al Código Penal y esta por aprobarse el delito de fabricación de delito para servidores públicos de la FGJEM y del Poder Judicial. Resaltó que este foro"&amp;" debe ser el inicio de soluciones, por lo que reconoció el esfuerzo de quienes viajaron desde múltiples municipios y aseguró que el Congreso trabajará para materializar reformas concretas, tanto a la Ley de Amnistía como a la estructura de la Fiscalía Mex"&amp;"iquense. “Hoy inicia una ruta para corregir injusticias y responder a lo que las víctimas han vivido durante años”, concluyó. Cabe señalar que al foro asistieron familiares de personas privadas de la libertad, defensores públicos, organizaciones civiles y"&amp;" especialistas en la materia. No hay etiquetas asociadas a éste artículo.")</f>
        <v>Tras señalar que la Fiscalía General de Justicia del Estado de México (FGJEM) opera bajo “un modelo rancio, acartonado y con muchas irregularidades”, el diputado Octavio Martínez Vargas, presidente de la comisión Para el Seguimiento al Plan de Desarrollo del Estado de México, anunció que en próximos días presentará una iniciativa para una nueva Ley Orgánica de la Fiscalía Mexiquense. Durante el desarrollo del foro Análisis para reformar la Ley de Amnistía del Estado de México, advirtió que mientras el Poder Judicial avanza con nuevas magistraturas, jueces, órganos disciplinarios y mecanismos de administración, la FGJEM mantiene prácticas que derivan en fabricación de delitos, inconsistencias procesales y abusos documentados en todo el territorio mexiquense. “No puede seguir funcionando un viejo esquema de Fiscalía en un nuevo gobierno y un nuevo Poder Judicial”, afirmó. Adelantó que la iniciativa que presentará busca transformar a la institución a través de una reingeniería administrativa integral, controles internos eficaces, responsabilidades claras para sancionar conductas indebidas, así como la alineación con el eje uno del Plan de Desarrollo estatal: Cero Corrupción, Estado de Derecho, Gobierno del Pueblo y para el Pueblo. La propuesta surge, dijo, a partir de las denuncias y testimonios de víctimas que narran omisiones, negligencias y corrupción dentro de la Fiscalía Mexiquense. Tras resaltar que en la Ley de Amnistía estatal las víctimas irán al centro del análisis, Martínez Vargas destacó que la población penitenciaria creció de 18 mil personas en 2015 a 39 mil en 2025, sin mejoras proporcionales en infraestructura o procesos de investigación. Recordó que el Congreso Mexiquense ya tipificó diversas conductas, entre ellas, el despojo que ahora es delito grave, los montachoques que ya tendrán una penalización específica, la usura que fue incorporada al Código Penal y esta por aprobarse el delito de fabricación de delito para servidores públicos de la FGJEM y del Poder Judicial. Resaltó que este foro debe ser el inicio de soluciones, por lo que reconoció el esfuerzo de quienes viajaron desde múltiples municipios y aseguró que el Congreso trabajará para materializar reformas concretas, tanto a la Ley de Amnistía como a la estructura de la Fiscalía Mexiquense. “Hoy inicia una ruta para corregir injusticias y responder a lo que las víctimas han vivido durante años”, concluyó. Cabe señalar que al foro asistieron familiares de personas privadas de la libertad, defensores públicos, organizaciones civiles y especialistas en la materia. No hay etiquetas asociadas a éste artículo.</v>
      </c>
      <c r="O168" s="15">
        <f>IFERROR(__xludf.DUMMYFUNCTION("""COMPUTED_VALUE"""),0.42)</f>
        <v>0.42</v>
      </c>
      <c r="P168" s="2"/>
      <c r="Q168" s="17">
        <f>IFERROR(__xludf.DUMMYFUNCTION("""COMPUTED_VALUE"""),5.0)</f>
        <v>5</v>
      </c>
      <c r="R168" s="2" t="str">
        <f>IFERROR(__xludf.DUMMYFUNCTION("""COMPUTED_VALUE"""),"Medium")</f>
        <v>Medium</v>
      </c>
      <c r="S168" s="17">
        <f>IFERROR(__xludf.DUMMYFUNCTION("""COMPUTED_VALUE"""),1.0)</f>
        <v>1</v>
      </c>
      <c r="T168" s="17">
        <f>IFERROR(__xludf.DUMMYFUNCTION("""COMPUTED_VALUE"""),0.0)</f>
        <v>0</v>
      </c>
      <c r="U168" s="14">
        <f>IFERROR(__xludf.DUMMYFUNCTION("""COMPUTED_VALUE"""),2.0)</f>
        <v>2</v>
      </c>
      <c r="V168" s="14" t="s">
        <v>1186</v>
      </c>
      <c r="W168" s="2" t="s">
        <v>190</v>
      </c>
      <c r="X168" s="2" t="s">
        <v>190</v>
      </c>
      <c r="Y168" s="13"/>
      <c r="Z168" s="14">
        <v>0.0</v>
      </c>
      <c r="AA168" s="14">
        <v>0.0</v>
      </c>
      <c r="AB168" s="14">
        <v>0.0</v>
      </c>
      <c r="AC168" s="14">
        <v>0.0</v>
      </c>
      <c r="AD168" s="2">
        <v>0.0</v>
      </c>
      <c r="AE168" s="2">
        <v>0.0</v>
      </c>
      <c r="AF168" s="2" t="s">
        <v>1186</v>
      </c>
      <c r="AG168" s="2" t="s">
        <v>1202</v>
      </c>
      <c r="AH168" s="2">
        <v>0.0</v>
      </c>
    </row>
    <row r="169" ht="15.75" customHeight="1">
      <c r="A169" s="2" t="str">
        <f>IFERROR(__xludf.DUMMYFUNCTION("""COMPUTED_VALUE"""),"Diario Portal")</f>
        <v>Diario Portal</v>
      </c>
      <c r="B169" s="12" t="str">
        <f>IFERROR(__xludf.DUMMYFUNCTION("""COMPUTED_VALUE"""),"Cochinero  de Vilchis  en Ecatepec : detectan  gasto de  1,516 mdp  sin justificar  durante su  gestión en  ayuntamiento")</f>
        <v>Cochinero  de Vilchis  en Ecatepec : detectan  gasto de  1,516 mdp  sin justificar  durante su  gestión en  ayuntamiento</v>
      </c>
      <c r="C169" s="13" t="str">
        <f>IFERROR(__xludf.DUMMYFUNCTION("""COMPUTED_VALUE"""),"Sin Fecha")</f>
        <v>Sin Fecha</v>
      </c>
      <c r="D169" s="14">
        <f>IFERROR(__xludf.DUMMYFUNCTION("""COMPUTED_VALUE"""),1.0)</f>
        <v>1</v>
      </c>
      <c r="E169" s="15">
        <f>IFERROR(__xludf.DUMMYFUNCTION("""COMPUTED_VALUE"""),-0.7474)</f>
        <v>-0.7474</v>
      </c>
      <c r="F169" s="2" t="str">
        <f>IFERROR(__xludf.DUMMYFUNCTION("""COMPUTED_VALUE"""),"Negativo")</f>
        <v>Negativo</v>
      </c>
      <c r="G169" s="15">
        <f>IFERROR(__xludf.DUMMYFUNCTION("""COMPUTED_VALUE"""),0.7474)</f>
        <v>0.7474</v>
      </c>
      <c r="H169" s="2" t="str">
        <f>IFERROR(__xludf.DUMMYFUNCTION("""COMPUTED_VALUE"""),"Otros temas generales")</f>
        <v>Otros temas generales</v>
      </c>
      <c r="I169" s="2" t="str">
        <f>IFERROR(__xludf.DUMMYFUNCTION("""COMPUTED_VALUE"""),"N/A")</f>
        <v>N/A</v>
      </c>
      <c r="J169" s="2" t="str">
        <f>IFERROR(__xludf.DUMMYFUNCTION("""COMPUTED_VALUE"""),"Descartar / Baja prioridad.")</f>
        <v>Descartar / Baja prioridad.</v>
      </c>
      <c r="K169" s="2" t="str">
        <f>IFERROR(__xludf.DUMMYFUNCTION("""COMPUTED_VALUE"""),"Ecatepec")</f>
        <v>Ecatepec</v>
      </c>
      <c r="L169" s="2" t="str">
        <f>IFERROR(__xludf.DUMMYFUNCTION("""COMPUTED_VALUE"""),"Estado de México")</f>
        <v>Estado de México</v>
      </c>
      <c r="M169" s="16" t="str">
        <f>IFERROR(__xludf.DUMMYFUNCTION("""COMPUTED_VALUE"""),"https://diarioportal.com/seguridad-y-justicia/cochinero-de-vilchis-en-ecatepec-detectan-gasto-de-1516-mdp-sin-justificar-durante-su-gestion-en-ayuntamiento")</f>
        <v>https://diarioportal.com/seguridad-y-justicia/cochinero-de-vilchis-en-ecatepec-detectan-gasto-de-1516-mdp-sin-justificar-durante-su-gestion-en-ayuntamiento</v>
      </c>
      <c r="N169" s="2" t="str">
        <f>IFERROR(__xludf.DUMMYFUNCTION("""COMPUTED_VALUE"""),"Dos auditorías realizadas por el Órgano Superior de Fiscalización del Estado de México (OSFEM) revelaron irregularidades por un monto conjunto de mil 516 millones 801 pesos en el gobierno municipal de Ecatepec, durante el periodo 2024 que encabezó el exal"&amp;"calde, Fernando Vilchis Contreras. De acuerdo con el documento, las severas anomalías financieras fueron en 69 observaciones relacionadas con el Sistema Anticorrupción, durante el periodo 2024 que encabezó el hoy diputado federal por el PT Fernado Vilchis"&amp;" y el presidente interino Jesús Palacios. Entre las anomalías financieras destacan la erogación de recursos sin la existencia de contratos y sin comprobar que los servicios u obras se hayan realizado, utilización de partidas de gasto incorrectas, traspaso"&amp;"s presupuestarios externos, modificación al presupuesto, falta de documentación financiera original comprobatoria y justificativa del gasto, verificación de los registros contables y la inexistencia ejecución de los trabajos objeto del contrato. Las audit"&amp;"orías corresponden al 'Estado de Situación Financiera', donde se auditaron 944 millones 367 mil pesos y en la auditoría de 'Inversión Física' se auditaron 572 millones 434 mil pesos del presupuesto anual que en 2024 ascendió a 6 mil 786 millones 970.6 pes"&amp;"os. Además, una auditoría se advierte que el análisis financiero se concluye que el ayuntamiento ejerció indebidamente recursos públicos, superiores a lo señalado, además de que durante la ejecución de los trabajos de auditoría, no contó con evidencia leg"&amp;"al que compruebe y justifique la aplicación del supuesto normativo. En efecto las auditorías en conjunto equivalen a un monto de mil 516 millones 801 pesos, de las cuales no contó con evidencia documental legal que compruebe las fuentes de ingresos y el m"&amp;"onto específico para cubrir el balance presupuestario negativo. Asimismo en el documento de la auditoría de 'Inversión Física' se detectaron 50 anomalías entre las que destacan la adquirió de mezcla asfáltica en caliente, bacheo de pavimento de concreto, "&amp;"emulsión asfáltica para bacheo y programa de reciclado de vialidades, que adquirió y pagó. También hay observaciones en las que supuestamente adquirió luminarias Tlahuilli del programa de alumbrado público donde se detectó que se erogó indebidamente recur"&amp;"sos públicos financieros propios ya que no se contó con ningún elemento legal comprobatorio o justificativo original que acredite la existencia del contrato. Otros rubros donde hubo anomalías son el servicio de cambio de caja de inspección con botonera de"&amp;" cabina y cable viajero de un elevador que se ubica en palacio municipal, renta de vactor para trabajos de desazolve, renta de malacate. Así como el mantenimiento preventivo de 3 elevadores ubicados en el interior de palacio municipal, rehabilitación de p"&amp;"arque público en la colonia Mexicalco y la rehabilitación de pavimento con asfalto de calle Melchor Ocampo en colonia Petroquímica 1. Se detectaron anomalías en la rehabilitación de parque público, colonia Lomas de Atzolco y Texalpa y deportiva de Obrero "&amp;"Jajalpa, en la rehabilitación de pavimento en San Pedro Xalostoc, la construcción de techado en área de impartición de educación física en CBTIS No. 29, colonia Ejidal Emiliano Zapata. En la segunda auditoría 'Estado de Situación Financiera' se encontraro"&amp;"n 19 anomalías financieras en la adquisición de enseres de oficina, productos alimenticios para personas, productos alimenticios para animales, material y enseres de limpieza, materiales, accesorios y suministros médico, combustibles, lubricantes y aditiv"&amp;"os los cuales no contaron con un contrato ni hubo evidencia de que lo adquirido haya sido entregado. Por último, también se señaló que en el arrendamiento de vehículos se concluyó que el ayuntamiento ejerció indebidamente recursos públicos, en virtud de q"&amp;"ue durante la ejecución de los trabajos de auditoría no se contó con la evidencia legal comprobatoria y justificativa, que acredite la entrega de los bienes o servicios; ademàs de que no hubo un contrato. No hay etiquetas asociadas a éste artículo.")</f>
        <v>Dos auditorías realizadas por el Órgano Superior de Fiscalización del Estado de México (OSFEM) revelaron irregularidades por un monto conjunto de mil 516 millones 801 pesos en el gobierno municipal de Ecatepec, durante el periodo 2024 que encabezó el exalcalde, Fernando Vilchis Contreras. De acuerdo con el documento, las severas anomalías financieras fueron en 69 observaciones relacionadas con el Sistema Anticorrupción, durante el periodo 2024 que encabezó el hoy diputado federal por el PT Fernado Vilchis y el presidente interino Jesús Palacios. Entre las anomalías financieras destacan la erogación de recursos sin la existencia de contratos y sin comprobar que los servicios u obras se hayan realizado, utilización de partidas de gasto incorrectas, traspasos presupuestarios externos, modificación al presupuesto, falta de documentación financiera original comprobatoria y justificativa del gasto, verificación de los registros contables y la inexistencia ejecución de los trabajos objeto del contrato. Las auditorías corresponden al 'Estado de Situación Financiera', donde se auditaron 944 millones 367 mil pesos y en la auditoría de 'Inversión Física' se auditaron 572 millones 434 mil pesos del presupuesto anual que en 2024 ascendió a 6 mil 786 millones 970.6 pesos. Además, una auditoría se advierte que el análisis financiero se concluye que el ayuntamiento ejerció indebidamente recursos públicos, superiores a lo señalado, además de que durante la ejecución de los trabajos de auditoría, no contó con evidencia legal que compruebe y justifique la aplicación del supuesto normativo. En efecto las auditorías en conjunto equivalen a un monto de mil 516 millones 801 pesos, de las cuales no contó con evidencia documental legal que compruebe las fuentes de ingresos y el monto específico para cubrir el balance presupuestario negativo. Asimismo en el documento de la auditoría de 'Inversión Física' se detectaron 50 anomalías entre las que destacan la adquirió de mezcla asfáltica en caliente, bacheo de pavimento de concreto, emulsión asfáltica para bacheo y programa de reciclado de vialidades, que adquirió y pagó. También hay observaciones en las que supuestamente adquirió luminarias Tlahuilli del programa de alumbrado público donde se detectó que se erogó indebidamente recursos públicos financieros propios ya que no se contó con ningún elemento legal comprobatorio o justificativo original que acredite la existencia del contrato. Otros rubros donde hubo anomalías son el servicio de cambio de caja de inspección con botonera de cabina y cable viajero de un elevador que se ubica en palacio municipal, renta de vactor para trabajos de desazolve, renta de malacate. Así como el mantenimiento preventivo de 3 elevadores ubicados en el interior de palacio municipal, rehabilitación de parque público en la colonia Mexicalco y la rehabilitación de pavimento con asfalto de calle Melchor Ocampo en colonia Petroquímica 1. Se detectaron anomalías en la rehabilitación de parque público, colonia Lomas de Atzolco y Texalpa y deportiva de Obrero Jajalpa, en la rehabilitación de pavimento en San Pedro Xalostoc, la construcción de techado en área de impartición de educación física en CBTIS No. 29, colonia Ejidal Emiliano Zapata. En la segunda auditoría 'Estado de Situación Financiera' se encontraron 19 anomalías financieras en la adquisición de enseres de oficina, productos alimenticios para personas, productos alimenticios para animales, material y enseres de limpieza, materiales, accesorios y suministros médico, combustibles, lubricantes y aditivos los cuales no contaron con un contrato ni hubo evidencia de que lo adquirido haya sido entregado. Por último, también se señaló que en el arrendamiento de vehículos se concluyó que el ayuntamiento ejerció indebidamente recursos públicos, en virtud de que durante la ejecución de los trabajos de auditoría no se contó con la evidencia legal comprobatoria y justificativa, que acredite la entrega de los bienes o servicios; ademàs de que no hubo un contrato. No hay etiquetas asociadas a éste artículo.</v>
      </c>
      <c r="O169" s="15">
        <f>IFERROR(__xludf.DUMMYFUNCTION("""COMPUTED_VALUE"""),0.3651)</f>
        <v>0.3651</v>
      </c>
      <c r="P169" s="2"/>
      <c r="Q169" s="17">
        <f>IFERROR(__xludf.DUMMYFUNCTION("""COMPUTED_VALUE"""),8.5)</f>
        <v>8.5</v>
      </c>
      <c r="R169" s="2" t="str">
        <f>IFERROR(__xludf.DUMMYFUNCTION("""COMPUTED_VALUE"""),"High")</f>
        <v>High</v>
      </c>
      <c r="S169" s="17">
        <f>IFERROR(__xludf.DUMMYFUNCTION("""COMPUTED_VALUE"""),3.5)</f>
        <v>3.5</v>
      </c>
      <c r="T169" s="17">
        <f>IFERROR(__xludf.DUMMYFUNCTION("""COMPUTED_VALUE"""),0.0)</f>
        <v>0</v>
      </c>
      <c r="U169" s="14">
        <f>IFERROR(__xludf.DUMMYFUNCTION("""COMPUTED_VALUE"""),2.0)</f>
        <v>2</v>
      </c>
      <c r="V169" s="14" t="s">
        <v>1186</v>
      </c>
      <c r="W169" s="2" t="s">
        <v>190</v>
      </c>
      <c r="X169" s="2" t="s">
        <v>190</v>
      </c>
      <c r="Y169" s="13"/>
      <c r="Z169" s="14">
        <v>0.0</v>
      </c>
      <c r="AA169" s="14">
        <v>0.0</v>
      </c>
      <c r="AB169" s="14">
        <v>0.0</v>
      </c>
      <c r="AC169" s="14">
        <v>0.0</v>
      </c>
      <c r="AD169" s="2">
        <v>0.0</v>
      </c>
      <c r="AE169" s="2">
        <v>0.0</v>
      </c>
      <c r="AF169" s="2" t="s">
        <v>1186</v>
      </c>
      <c r="AG169" s="2" t="s">
        <v>1208</v>
      </c>
      <c r="AH169" s="2">
        <v>0.0</v>
      </c>
    </row>
    <row r="170" ht="15.75" customHeight="1">
      <c r="A170" s="2" t="str">
        <f>IFERROR(__xludf.DUMMYFUNCTION("""COMPUTED_VALUE"""),"Diario Portal")</f>
        <v>Diario Portal</v>
      </c>
      <c r="B170" s="12" t="str">
        <f>IFERROR(__xludf.DUMMYFUNCTION("""COMPUTED_VALUE"""),"Abren proceso  penal contra  el exdirector  del TRIJAEM  por presunta  participación   en el desvío de   más de 32 mdp")</f>
        <v>Abren proceso  penal contra  el exdirector  del TRIJAEM  por presunta  participación   en el desvío de   más de 32 mdp</v>
      </c>
      <c r="C170" s="13" t="str">
        <f>IFERROR(__xludf.DUMMYFUNCTION("""COMPUTED_VALUE"""),"Sin Fecha")</f>
        <v>Sin Fecha</v>
      </c>
      <c r="D170" s="14">
        <f>IFERROR(__xludf.DUMMYFUNCTION("""COMPUTED_VALUE"""),1.0)</f>
        <v>1</v>
      </c>
      <c r="E170" s="15">
        <f>IFERROR(__xludf.DUMMYFUNCTION("""COMPUTED_VALUE"""),0.0)</f>
        <v>0</v>
      </c>
      <c r="F170" s="2" t="str">
        <f>IFERROR(__xludf.DUMMYFUNCTION("""COMPUTED_VALUE"""),"Neutral")</f>
        <v>Neutral</v>
      </c>
      <c r="G170" s="15">
        <f>IFERROR(__xludf.DUMMYFUNCTION("""COMPUTED_VALUE"""),0.511)</f>
        <v>0.511</v>
      </c>
      <c r="H170" s="2" t="str">
        <f>IFERROR(__xludf.DUMMYFUNCTION("""COMPUTED_VALUE"""),"Otros temas generales")</f>
        <v>Otros temas generales</v>
      </c>
      <c r="I170" s="2" t="str">
        <f>IFERROR(__xludf.DUMMYFUNCTION("""COMPUTED_VALUE"""),"N/A")</f>
        <v>N/A</v>
      </c>
      <c r="J170" s="2" t="str">
        <f>IFERROR(__xludf.DUMMYFUNCTION("""COMPUTED_VALUE"""),"Descartar / Baja prioridad.")</f>
        <v>Descartar / Baja prioridad.</v>
      </c>
      <c r="K170" s="2" t="str">
        <f>IFERROR(__xludf.DUMMYFUNCTION("""COMPUTED_VALUE"""),"Estado de México")</f>
        <v>Estado de México</v>
      </c>
      <c r="L170" s="2" t="str">
        <f>IFERROR(__xludf.DUMMYFUNCTION("""COMPUTED_VALUE"""),"Estado de México")</f>
        <v>Estado de México</v>
      </c>
      <c r="M170" s="16" t="str">
        <f>IFERROR(__xludf.DUMMYFUNCTION("""COMPUTED_VALUE"""),"https://diarioportal.com/seguridad-y-justicia/abren-proceso-penal-contra-el-exdirector-del-trijaem-por-presunta-participacion-en-el-desvio-de-mas-de-32-mdp")</f>
        <v>https://diarioportal.com/seguridad-y-justicia/abren-proceso-penal-contra-el-exdirector-del-trijaem-por-presunta-participacion-en-el-desvio-de-mas-de-32-mdp</v>
      </c>
      <c r="N170" s="2" t="str">
        <f>IFERROR(__xludf.DUMMYFUNCTION("""COMPUTED_VALUE"""),"Un juez del Poder Judicial vinculó a proceso a Tomás 'N', exdirector de Administración del Tribunal de Justicia Administrativa del Estado de México (TRIJAEM), investigado por su probable intervención en el hecho delictivo de abuso de confianza en agravio "&amp;"de dicho órgano autónomo. Luego de analizar los datos aportados por la Fiscalía General de Justicia del Estado de México (FGJEM), la autoridad judicial determinó la posible participación de Tomás 'N' en este ilícito, por lo que concedió un plazo de dos me"&amp;"ses para el cierre de investigación complementaria y la medida cautelar de prisión preventiva. De acuerdo con las investigaciones, los hechos se registraron el 1 de diciembre de 2023, cuando, en su carácter de Director de Administración del TRIJAEM, presu"&amp;"miblemente aprovechó la confianza y la responsabilidad conferidas a su cargo para disponer indebidamente de recursos públicos y realizar transferencias electrónicas a cuentas de terceros, en conjunto con Omar 'N', entonces jefe del Departamento de Servici"&amp;"os Financieros y otros involucrados. Ese día, entre las 12:09 y las 14:14 horas., fueron realizadas 29 operaciones electrónicas con cargo a la cuenta institucional de Tribunal, por un monto total de 32 millones 482 mil 330 pesos, sin autorización o justif"&amp;"icación legal alguna, de estas operaciones, 25 fueron realizadas con el dispositivo de seguridad bancario tipo token 002 asignado a Tomás 'N', y cuatro más con el token 003, utilizado por Omar 'N'. Por ello, la Fiscalía Mexiquense solicitó información y d"&amp;"iversa documentación a la institución que maneja la cuenta bancaria relacionada con los mismos, adicionalmente solicitó información a la Unidad de Inteligencia Financiera (UIF), así como a la Comisión Nacional Bancaria y de Valores (CNBV), de igual forma "&amp;"analizaron datos con respecto a las cuentas a donde fueron depositados los recursos, así como diversas entrevistas recabadas por el Agente del Ministerio Público. Los actos de investigación lograron establecer que las 29 transferencias electrónicas realiz"&amp;"adas desde la cuenta del TRIJAEM  fueron a cuentas bancarias de beneficiarios que no son empleados ni proveedores, además de que dos de las cuentas receptoras fueron aperturadas el 28 de noviembre de 2023, es decir, tres días antes de que recibieran las t"&amp;"ransferencias, lo que es un indicio relevante de que fueron creadas exclusivamente para recibir y dispersar los recursos sustraídos. Sobre el resto de las cuentas beneficiarias, la FGJEM indicó que aún está en trámite la obtención de información sobre la "&amp;"fecha de apertura, pero se ha acreditado que todas las cuentas fueron dadas de alta en el portal bancario institucional como beneficiarias de transferencias del TRIJAEM el mismo día y con diferencia de pocos minutos entre cada registro, lo cual evidencia "&amp;"una clara coordinación para realizar las operaciones en un corto lapso de tiempo con el fin de dificultar su rastreo y control. No hay etiquetas asociadas a éste artículo.")</f>
        <v>Un juez del Poder Judicial vinculó a proceso a Tomás 'N', exdirector de Administración del Tribunal de Justicia Administrativa del Estado de México (TRIJAEM), investigado por su probable intervención en el hecho delictivo de abuso de confianza en agravio de dicho órgano autónomo. Luego de analizar los datos aportados por la Fiscalía General de Justicia del Estado de México (FGJEM), la autoridad judicial determinó la posible participación de Tomás 'N' en este ilícito, por lo que concedió un plazo de dos meses para el cierre de investigación complementaria y la medida cautelar de prisión preventiva. De acuerdo con las investigaciones, los hechos se registraron el 1 de diciembre de 2023, cuando, en su carácter de Director de Administración del TRIJAEM, presumiblemente aprovechó la confianza y la responsabilidad conferidas a su cargo para disponer indebidamente de recursos públicos y realizar transferencias electrónicas a cuentas de terceros, en conjunto con Omar 'N', entonces jefe del Departamento de Servicios Financieros y otros involucrados. Ese día, entre las 12:09 y las 14:14 horas., fueron realizadas 29 operaciones electrónicas con cargo a la cuenta institucional de Tribunal, por un monto total de 32 millones 482 mil 330 pesos, sin autorización o justificación legal alguna, de estas operaciones, 25 fueron realizadas con el dispositivo de seguridad bancario tipo token 002 asignado a Tomás 'N', y cuatro más con el token 003, utilizado por Omar 'N'. Por ello, la Fiscalía Mexiquense solicitó información y diversa documentación a la institución que maneja la cuenta bancaria relacionada con los mismos, adicionalmente solicitó información a la Unidad de Inteligencia Financiera (UIF), así como a la Comisión Nacional Bancaria y de Valores (CNBV), de igual forma analizaron datos con respecto a las cuentas a donde fueron depositados los recursos, así como diversas entrevistas recabadas por el Agente del Ministerio Público. Los actos de investigación lograron establecer que las 29 transferencias electrónicas realizadas desde la cuenta del TRIJAEM  fueron a cuentas bancarias de beneficiarios que no son empleados ni proveedores, además de que dos de las cuentas receptoras fueron aperturadas el 28 de noviembre de 2023, es decir, tres días antes de que recibieran las transferencias, lo que es un indicio relevante de que fueron creadas exclusivamente para recibir y dispersar los recursos sustraídos. Sobre el resto de las cuentas beneficiarias, la FGJEM indicó que aún está en trámite la obtención de información sobre la fecha de apertura, pero se ha acreditado que todas las cuentas fueron dadas de alta en el portal bancario institucional como beneficiarias de transferencias del TRIJAEM el mismo día y con diferencia de pocos minutos entre cada registro, lo cual evidencia una clara coordinación para realizar las operaciones en un corto lapso de tiempo con el fin de dificultar su rastreo y control. No hay etiquetas asociadas a éste artículo.</v>
      </c>
      <c r="O170" s="15">
        <f>IFERROR(__xludf.DUMMYFUNCTION("""COMPUTED_VALUE"""),0.3873)</f>
        <v>0.3873</v>
      </c>
      <c r="P170" s="2"/>
      <c r="Q170" s="17">
        <f>IFERROR(__xludf.DUMMYFUNCTION("""COMPUTED_VALUE"""),5.0)</f>
        <v>5</v>
      </c>
      <c r="R170" s="2" t="str">
        <f>IFERROR(__xludf.DUMMYFUNCTION("""COMPUTED_VALUE"""),"High")</f>
        <v>High</v>
      </c>
      <c r="S170" s="17">
        <f>IFERROR(__xludf.DUMMYFUNCTION("""COMPUTED_VALUE"""),2.0)</f>
        <v>2</v>
      </c>
      <c r="T170" s="17">
        <f>IFERROR(__xludf.DUMMYFUNCTION("""COMPUTED_VALUE"""),0.0)</f>
        <v>0</v>
      </c>
      <c r="U170" s="14">
        <f>IFERROR(__xludf.DUMMYFUNCTION("""COMPUTED_VALUE"""),2.0)</f>
        <v>2</v>
      </c>
      <c r="V170" s="14" t="s">
        <v>1186</v>
      </c>
      <c r="W170" s="2" t="s">
        <v>190</v>
      </c>
      <c r="X170" s="2" t="s">
        <v>190</v>
      </c>
      <c r="Y170" s="13"/>
      <c r="Z170" s="14">
        <v>0.0</v>
      </c>
      <c r="AA170" s="14">
        <v>0.0</v>
      </c>
      <c r="AB170" s="14">
        <v>0.0</v>
      </c>
      <c r="AC170" s="14">
        <v>0.0</v>
      </c>
      <c r="AD170" s="2">
        <v>0.0</v>
      </c>
      <c r="AE170" s="2">
        <v>0.0</v>
      </c>
      <c r="AF170" s="2" t="s">
        <v>1186</v>
      </c>
      <c r="AG170" s="2" t="s">
        <v>1202</v>
      </c>
      <c r="AH170" s="2">
        <v>0.0</v>
      </c>
    </row>
    <row r="171" ht="15.75" customHeight="1">
      <c r="A171" s="2" t="str">
        <f>IFERROR(__xludf.DUMMYFUNCTION("""COMPUTED_VALUE"""),"Diario Portal")</f>
        <v>Diario Portal</v>
      </c>
      <c r="B171" s="12" t="str">
        <f>IFERROR(__xludf.DUMMYFUNCTION("""COMPUTED_VALUE"""),"Egresa la 1ª  generación  de policías  de proximidad  del Edomex,  reforzarán la  seguridad en  municipios  con mayor  índice delictivo")</f>
        <v>Egresa la 1ª  generación  de policías  de proximidad  del Edomex,  reforzarán la  seguridad en  municipios  con mayor  índice delictivo</v>
      </c>
      <c r="C171" s="13" t="str">
        <f>IFERROR(__xludf.DUMMYFUNCTION("""COMPUTED_VALUE"""),"Sin Fecha")</f>
        <v>Sin Fecha</v>
      </c>
      <c r="D171" s="14">
        <f>IFERROR(__xludf.DUMMYFUNCTION("""COMPUTED_VALUE"""),2.0)</f>
        <v>2</v>
      </c>
      <c r="E171" s="15">
        <f>IFERROR(__xludf.DUMMYFUNCTION("""COMPUTED_VALUE"""),0.72)</f>
        <v>0.72</v>
      </c>
      <c r="F171" s="2" t="str">
        <f>IFERROR(__xludf.DUMMYFUNCTION("""COMPUTED_VALUE"""),"Positivo")</f>
        <v>Positivo</v>
      </c>
      <c r="G171" s="15">
        <f>IFERROR(__xludf.DUMMYFUNCTION("""COMPUTED_VALUE"""),0.72)</f>
        <v>0.72</v>
      </c>
      <c r="H171" s="2" t="str">
        <f>IFERROR(__xludf.DUMMYFUNCTION("""COMPUTED_VALUE"""),"Operativo policial o detención")</f>
        <v>Operativo policial o detención</v>
      </c>
      <c r="I171" s="2" t="str">
        <f>IFERROR(__xludf.DUMMYFUNCTION("""COMPUTED_VALUE"""),"N/A")</f>
        <v>N/A</v>
      </c>
      <c r="J171" s="2" t="str">
        <f>IFERROR(__xludf.DUMMYFUNCTION("""COMPUTED_VALUE"""),"Monitoreo general.")</f>
        <v>Monitoreo general.</v>
      </c>
      <c r="K171" s="2" t="str">
        <f>IFERROR(__xludf.DUMMYFUNCTION("""COMPUTED_VALUE"""),"Estado de México")</f>
        <v>Estado de México</v>
      </c>
      <c r="L171" s="2" t="str">
        <f>IFERROR(__xludf.DUMMYFUNCTION("""COMPUTED_VALUE"""),"Estado de México")</f>
        <v>Estado de México</v>
      </c>
      <c r="M171" s="16" t="str">
        <f>IFERROR(__xludf.DUMMYFUNCTION("""COMPUTED_VALUE"""),"https://diarioportal.com/seguridad-y-justicia/egresa-la-1-generacion-de-policias-de-proximidad-del-edomex-reforzaran-la-seguridad-en-municipios-con-mayor-indice-delictivo")</f>
        <v>https://diarioportal.com/seguridad-y-justicia/egresa-la-1-generacion-de-policias-de-proximidad-del-edomex-reforzaran-la-seguridad-en-municipios-con-mayor-indice-delictivo</v>
      </c>
      <c r="N171" s="2" t="str">
        <f>IFERROR(__xludf.DUMMYFUNCTION("""COMPUTED_VALUE"""),"El Estado de México consolidó un avance significativo en la profesionalización de sus fuerzas de seguridad con la graduación de los primeros 148 policías de proximidad, egresados del Curso de Formación Inicial diseñado para combinar orden, disciplina y pr"&amp;"ecisión operativa con un enfoque de atención directa a la ciudadanía. La gobernadora Delfina Gómez Álvarez encabezó la ceremonia de clausura de esta primera generación, que se integrará a una unidad especial enfocada en atender municipios prioritarios med"&amp;"iante acciones de prevención, acompañamiento y respuesta inmediata. Durante seis meses, el grupo recibió formación intensiva en el Centro de Adiestramiento Especializado de la Policía Militar, completando mil 109 horas de instrucción estructuradas en: • I"&amp;"nstrucción física y disciplina institucional Este esquema permite que la disciplina adquirida fortalezca la actuación responsable, el orden y el sentido del servicio, mientras que la capacitación en proximidad social refuerza habilidades de diálogo, media"&amp;"ción y atención directa a la comunidad. La combinación de ambos componentes consolida una policía más preparada, profesional y cercana. Presencia especializada en zonas de atención prioritaria Esta generación será desplegada en zonas estratégicas con mayo"&amp;"r incidencia delictiva para apoyar labores de prevención, mejorar la convivencia y ofrecer una respuesta más ágil ante situaciones de riesgo. El programa forma parte del eje transversal 'Construcción de la Paz y Seguridad', que impulsa una fuerza estatal "&amp;"más capacitada y con herramientas modernas para servir a los 125 municipios y a los casi 18 millones de habitantes del Estado de México. Al finalizar la demostración operativa, la gobernadora felicitó personalmente a las familias del nuevo personal polici"&amp;"al. En el evento también estuvieron presentes el secretario general de gobierno, Horacio Duarte Olivares; el Comandante de la Guardia Nacional, General de División Hernán Cortés Hernández; el Titular de la Secretaría de Seguridad estatal, Cristóbal Castañ"&amp;"eda Camarillo; el Comandante de la 37 Zona Militar, General de Brigada Lucio Vergara Gómez; el Comandante de la 22 Zona Militar, General de Brigada Armando López Esquivel; el Fiscal General de Justicia del Estado de México, José Luis Cervantes Martínez; y"&amp;" la Secretaria Técnica de la Mesa de Paz, Maricela López Urbina. No hay etiquetas asociadas a éste artículo.")</f>
        <v>El Estado de México consolidó un avance significativo en la profesionalización de sus fuerzas de seguridad con la graduación de los primeros 148 policías de proximidad, egresados del Curso de Formación Inicial diseñado para combinar orden, disciplina y precisión operativa con un enfoque de atención directa a la ciudadanía. La gobernadora Delfina Gómez Álvarez encabezó la ceremonia de clausura de esta primera generación, que se integrará a una unidad especial enfocada en atender municipios prioritarios mediante acciones de prevención, acompañamiento y respuesta inmediata. Durante seis meses, el grupo recibió formación intensiva en el Centro de Adiestramiento Especializado de la Policía Militar, completando mil 109 horas de instrucción estructuradas en: • Instrucción física y disciplina institucional Este esquema permite que la disciplina adquirida fortalezca la actuación responsable, el orden y el sentido del servicio, mientras que la capacitación en proximidad social refuerza habilidades de diálogo, mediación y atención directa a la comunidad. La combinación de ambos componentes consolida una policía más preparada, profesional y cercana. Presencia especializada en zonas de atención prioritaria Esta generación será desplegada en zonas estratégicas con mayor incidencia delictiva para apoyar labores de prevención, mejorar la convivencia y ofrecer una respuesta más ágil ante situaciones de riesgo. El programa forma parte del eje transversal 'Construcción de la Paz y Seguridad', que impulsa una fuerza estatal más capacitada y con herramientas modernas para servir a los 125 municipios y a los casi 18 millones de habitantes del Estado de México. Al finalizar la demostración operativa, la gobernadora felicitó personalmente a las familias del nuevo personal policial. En el evento también estuvieron presentes el secretario general de gobierno, Horacio Duarte Olivares; el Comandante de la Guardia Nacional, General de División Hernán Cortés Hernández; el Titular de la Secretaría de Seguridad estatal, Cristóbal Castañeda Camarillo; el Comandante de la 37 Zona Militar, General de Brigada Lucio Vergara Gómez; el Comandante de la 22 Zona Militar, General de Brigada Armando López Esquivel; el Fiscal General de Justicia del Estado de México, José Luis Cervantes Martínez; y la Secretaria Técnica de la Mesa de Paz, Maricela López Urbina. No hay etiquetas asociadas a éste artículo.</v>
      </c>
      <c r="O171" s="15">
        <f>IFERROR(__xludf.DUMMYFUNCTION("""COMPUTED_VALUE"""),0.3616)</f>
        <v>0.3616</v>
      </c>
      <c r="P171" s="2"/>
      <c r="Q171" s="17">
        <f>IFERROR(__xludf.DUMMYFUNCTION("""COMPUTED_VALUE"""),8.0)</f>
        <v>8</v>
      </c>
      <c r="R171" s="2" t="str">
        <f>IFERROR(__xludf.DUMMYFUNCTION("""COMPUTED_VALUE"""),"High")</f>
        <v>High</v>
      </c>
      <c r="S171" s="17">
        <f>IFERROR(__xludf.DUMMYFUNCTION("""COMPUTED_VALUE"""),4.0)</f>
        <v>4</v>
      </c>
      <c r="T171" s="17">
        <f>IFERROR(__xludf.DUMMYFUNCTION("""COMPUTED_VALUE"""),0.0)</f>
        <v>0</v>
      </c>
      <c r="U171" s="14">
        <f>IFERROR(__xludf.DUMMYFUNCTION("""COMPUTED_VALUE"""),2.0)</f>
        <v>2</v>
      </c>
      <c r="V171" s="14" t="s">
        <v>1186</v>
      </c>
      <c r="W171" s="2" t="s">
        <v>190</v>
      </c>
      <c r="X171" s="2" t="s">
        <v>190</v>
      </c>
      <c r="Y171" s="13"/>
      <c r="Z171" s="14">
        <v>0.0</v>
      </c>
      <c r="AA171" s="14">
        <v>0.0</v>
      </c>
      <c r="AB171" s="14">
        <v>0.0</v>
      </c>
      <c r="AC171" s="14">
        <v>0.0</v>
      </c>
      <c r="AD171" s="2">
        <v>0.0</v>
      </c>
      <c r="AE171" s="2">
        <v>0.0</v>
      </c>
      <c r="AF171" s="2" t="s">
        <v>1186</v>
      </c>
      <c r="AG171" s="2" t="s">
        <v>1202</v>
      </c>
      <c r="AH171" s="2">
        <v>0.0</v>
      </c>
    </row>
    <row r="172" ht="15.75" customHeight="1">
      <c r="A172" s="2" t="str">
        <f>IFERROR(__xludf.DUMMYFUNCTION("""COMPUTED_VALUE"""),"Diario Portal")</f>
        <v>Diario Portal</v>
      </c>
      <c r="B172" s="12" t="str">
        <f>IFERROR(__xludf.DUMMYFUNCTION("""COMPUTED_VALUE"""),"Estrategia de seguridad de la Mesa de Paz efectiva en EdoMéx; baja 32% homicidio doloso en lo que va del año")</f>
        <v>Estrategia de seguridad de la Mesa de Paz efectiva en EdoMéx; baja 32% homicidio doloso en lo que va del año</v>
      </c>
      <c r="C172" s="13" t="str">
        <f>IFERROR(__xludf.DUMMYFUNCTION("""COMPUTED_VALUE"""),"2025-11-17 12:57:51")</f>
        <v>2025-11-17 12:57:51</v>
      </c>
      <c r="D172" s="14">
        <f>IFERROR(__xludf.DUMMYFUNCTION("""COMPUTED_VALUE"""),4.0)</f>
        <v>4</v>
      </c>
      <c r="E172" s="15">
        <f>IFERROR(__xludf.DUMMYFUNCTION("""COMPUTED_VALUE"""),0.0)</f>
        <v>0</v>
      </c>
      <c r="F172" s="2" t="str">
        <f>IFERROR(__xludf.DUMMYFUNCTION("""COMPUTED_VALUE"""),"Neutral")</f>
        <v>Neutral</v>
      </c>
      <c r="G172" s="15">
        <f>IFERROR(__xludf.DUMMYFUNCTION("""COMPUTED_VALUE"""),0.5781)</f>
        <v>0.5781</v>
      </c>
      <c r="H172" s="2" t="str">
        <f>IFERROR(__xludf.DUMMYFUNCTION("""COMPUTED_VALUE"""),"Delito violento, robo o asalto")</f>
        <v>Delito violento, robo o asalto</v>
      </c>
      <c r="I172" s="2" t="str">
        <f>IFERROR(__xludf.DUMMYFUNCTION("""COMPUTED_VALUE"""),"homicidio")</f>
        <v>homicidio</v>
      </c>
      <c r="J172" s="2" t="str">
        <f>IFERROR(__xludf.DUMMYFUNCTION("""COMPUTED_VALUE"""),"Prevención PAX: Contactos de confianza.")</f>
        <v>Prevención PAX: Contactos de confianza.</v>
      </c>
      <c r="K172" s="2" t="str">
        <f>IFERROR(__xludf.DUMMYFUNCTION("""COMPUTED_VALUE"""),"Estado de México")</f>
        <v>Estado de México</v>
      </c>
      <c r="L172" s="2" t="str">
        <f>IFERROR(__xludf.DUMMYFUNCTION("""COMPUTED_VALUE"""),"Estado de México")</f>
        <v>Estado de México</v>
      </c>
      <c r="M172" s="16" t="str">
        <f>IFERROR(__xludf.DUMMYFUNCTION("""COMPUTED_VALUE"""),"https://diarioportal.com/seguridad-y-justicia/estrategia-de-seguridad-de-la-mesa-de-paz-efectiva-en-edomex-baja-32-homicidio-doloso-en-lo-que-va-del-ano")</f>
        <v>https://diarioportal.com/seguridad-y-justicia/estrategia-de-seguridad-de-la-mesa-de-paz-efectiva-en-edomex-baja-32-homicidio-doloso-en-lo-que-va-del-ano</v>
      </c>
      <c r="N172" s="2" t="str">
        <f>IFERROR(__xludf.DUMMYFUNCTION("""COMPUTED_VALUE"""),"Resultado de la estrategia de seguridad coordinada en la Mesa de Paz que encabeza diariamente la Gobernadora Delfina Gómez Álvarez, en el Estado de México disminuyó 32% el delito de homicidio doloso, de enero a la fecha, en comparación con el mismo period"&amp;"o del 2024, de acuerdo con información de la Fiscalía General de Justicia en la entidad (FGJEM). “Esta mañana presidí la Mesa de Paz en #Huehuetoca. En esta reunión, la Fiscalía General de Justicia del Estado de México compartió que en el #EdoMéx se prese"&amp;"nta una disminución del 32 % en el delito de homicidio doloso en lo que va del año y en comparación a 2024. Con acciones coordinadas, avanzamos en la ruta de la paz para las familias mexiquenses”, dijo la Gobernadora Delfina Gómez en sus redes sociales. L"&amp;"a baja en este delito de alto impacto, es respuesta al trabajo coordinado de los tres niveles de gobierno, el cual se fortalece con la capacitación y equipamiento de policías para mejorar la vigilancia en los 125 municipios mexiquenses, transformando la e"&amp;"ntidad en un lugar que impulsa el desarrollo integral de sus habitantes. En la Mesa 216 del año participaron Horacio Duarte Olivares, Secretario General de Gobierno; Cristóbal Castañeda Camarillo, Secretario de Seguridad; Maricela López Urbina, Secretaria"&amp;" Técnica de la Mesa de Paz; José Luis Cervantes Martínez, Fiscal General de Justicia del Estado de México; así como representantes de la Defensa, Marina, Guardia Nacional y el Centro Nacional de Inteligencia. No hay etiquetas asociadas a éste artículo.")</f>
        <v>Resultado de la estrategia de seguridad coordinada en la Mesa de Paz que encabeza diariamente la Gobernadora Delfina Gómez Álvarez, en el Estado de México disminuyó 32% el delito de homicidio doloso, de enero a la fecha, en comparación con el mismo periodo del 2024, de acuerdo con información de la Fiscalía General de Justicia en la entidad (FGJEM). “Esta mañana presidí la Mesa de Paz en #Huehuetoca. En esta reunión, la Fiscalía General de Justicia del Estado de México compartió que en el #EdoMéx se presenta una disminución del 32 % en el delito de homicidio doloso en lo que va del año y en comparación a 2024. Con acciones coordinadas, avanzamos en la ruta de la paz para las familias mexiquenses”, dijo la Gobernadora Delfina Gómez en sus redes sociales. La baja en este delito de alto impacto, es respuesta al trabajo coordinado de los tres niveles de gobierno, el cual se fortalece con la capacitación y equipamiento de policías para mejorar la vigilancia en los 125 municipios mexiquenses, transformando la entidad en un lugar que impulsa el desarrollo integral de sus habitantes. En la Mesa 216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v>
      </c>
      <c r="O172" s="15">
        <f>IFERROR(__xludf.DUMMYFUNCTION("""COMPUTED_VALUE"""),1.0)</f>
        <v>1</v>
      </c>
      <c r="P172" s="2"/>
      <c r="Q172" s="17">
        <f>IFERROR(__xludf.DUMMYFUNCTION("""COMPUTED_VALUE"""),8.0)</f>
        <v>8</v>
      </c>
      <c r="R172" s="2" t="str">
        <f>IFERROR(__xludf.DUMMYFUNCTION("""COMPUTED_VALUE"""),"High")</f>
        <v>High</v>
      </c>
      <c r="S172" s="17">
        <f>IFERROR(__xludf.DUMMYFUNCTION("""COMPUTED_VALUE"""),4.0)</f>
        <v>4</v>
      </c>
      <c r="T172" s="17">
        <f>IFERROR(__xludf.DUMMYFUNCTION("""COMPUTED_VALUE"""),0.0)</f>
        <v>0</v>
      </c>
      <c r="U172" s="14">
        <f>IFERROR(__xludf.DUMMYFUNCTION("""COMPUTED_VALUE"""),2.0)</f>
        <v>2</v>
      </c>
      <c r="V172" s="14">
        <v>2025.0</v>
      </c>
      <c r="W172" s="2" t="s">
        <v>1206</v>
      </c>
      <c r="X172" s="2" t="s">
        <v>1169</v>
      </c>
      <c r="Y172" s="13" t="s">
        <v>698</v>
      </c>
      <c r="Z172" s="14">
        <v>0.0</v>
      </c>
      <c r="AA172" s="14">
        <v>0.0</v>
      </c>
      <c r="AB172" s="14">
        <v>0.0</v>
      </c>
      <c r="AC172" s="14">
        <v>0.0</v>
      </c>
      <c r="AD172" s="2">
        <v>0.0</v>
      </c>
      <c r="AE172" s="2">
        <v>1.0</v>
      </c>
      <c r="AF172" s="2">
        <v>11.0</v>
      </c>
      <c r="AG172" s="2" t="s">
        <v>1202</v>
      </c>
      <c r="AH172" s="2">
        <v>0.0</v>
      </c>
    </row>
    <row r="173" ht="15.75" customHeight="1">
      <c r="A173" s="2" t="str">
        <f>IFERROR(__xludf.DUMMYFUNCTION("""COMPUTED_VALUE"""),"Diario Portal")</f>
        <v>Diario Portal</v>
      </c>
      <c r="B173" s="12" t="str">
        <f>IFERROR(__xludf.DUMMYFUNCTION("""COMPUTED_VALUE"""),"Concentran  4 municipios  mayoría de   reportes por   intento de   ciberdelitos  en Edomex")</f>
        <v>Concentran  4 municipios  mayoría de   reportes por   intento de   ciberdelitos  en Edomex</v>
      </c>
      <c r="C173" s="13" t="str">
        <f>IFERROR(__xludf.DUMMYFUNCTION("""COMPUTED_VALUE"""),"Sin Fecha")</f>
        <v>Sin Fecha</v>
      </c>
      <c r="D173" s="14">
        <f>IFERROR(__xludf.DUMMYFUNCTION("""COMPUTED_VALUE"""),5.0)</f>
        <v>5</v>
      </c>
      <c r="E173" s="15">
        <f>IFERROR(__xludf.DUMMYFUNCTION("""COMPUTED_VALUE"""),-0.4921)</f>
        <v>-0.4921</v>
      </c>
      <c r="F173" s="2" t="str">
        <f>IFERROR(__xludf.DUMMYFUNCTION("""COMPUTED_VALUE"""),"Negativo")</f>
        <v>Negativo</v>
      </c>
      <c r="G173" s="15">
        <f>IFERROR(__xludf.DUMMYFUNCTION("""COMPUTED_VALUE"""),0.4921)</f>
        <v>0.4921</v>
      </c>
      <c r="H173" s="2" t="str">
        <f>IFERROR(__xludf.DUMMYFUNCTION("""COMPUTED_VALUE"""),"Acoso o agresión sexual")</f>
        <v>Acoso o agresión sexual</v>
      </c>
      <c r="I173" s="2" t="str">
        <f>IFERROR(__xludf.DUMMYFUNCTION("""COMPUTED_VALUE"""),"acoso")</f>
        <v>acoso</v>
      </c>
      <c r="J173" s="2" t="str">
        <f>IFERROR(__xludf.DUMMYFUNCTION("""COMPUTED_VALUE"""),"INTEGRIDAD / GÉNERO: Cero Tolerancia.")</f>
        <v>INTEGRIDAD / GÉNERO: Cero Tolerancia.</v>
      </c>
      <c r="K173" s="2" t="str">
        <f>IFERROR(__xludf.DUMMYFUNCTION("""COMPUTED_VALUE"""),"Estado de México")</f>
        <v>Estado de México</v>
      </c>
      <c r="L173" s="2" t="str">
        <f>IFERROR(__xludf.DUMMYFUNCTION("""COMPUTED_VALUE"""),"Estado de México")</f>
        <v>Estado de México</v>
      </c>
      <c r="M173" s="16" t="str">
        <f>IFERROR(__xludf.DUMMYFUNCTION("""COMPUTED_VALUE"""),"https://diarioportal.com/seguridad-y-justicia/concentran-4-municipios-mayoria-de-reportes-por-intento-de-ciberdelitos-en-edomex")</f>
        <v>https://diarioportal.com/seguridad-y-justicia/concentran-4-municipios-mayoria-de-reportes-por-intento-de-ciberdelitos-en-edomex</v>
      </c>
      <c r="N173" s="2" t="str">
        <f>IFERROR(__xludf.DUMMYFUNCTION("""COMPUTED_VALUE"""),"Al atender y dar seguimiento a diversas llamadas relacionadas con hechos delictivos, del 1 de enero al 11 de noviembre de 2025, la Policía Cibernética de la Secretaría de Seguridad del Estado de México (SSEM) han atendido 18 mil 768 denuncias. De acuerdo "&amp;"con los registros las causas que más se reciben son por cobranza ilegítima a través de amenazas con 4 mil 307 reportes, por acoso cibernético 4 mil 48 casos, 2 mil 387 denuncias por robo de contraseña, mil 599 por fraudes a comercio electrónico y mil 470 "&amp;"por extorsión cibernética; en conjunto representan un 74% del total. Además, los municipios con mayores reportes generados son Ecatepec con mil 759 casos, Toluca con mil 737 denuncias, Naucalpan 972, Nezahualcóyotl con 902 casos y Cuautitlán Izcalli con 8"&amp;"59 reportes. Además, sobre llamadas fraudulentas que aparentemente provienen del extranjero, ha atendido 80 reportes. Del total de denuncias reportadas, con respecto al género y edad, detectaron que dos mil 947 víctimas son mujeres dentro del rango de eda"&amp;"d de 30 a 37 años y mil 614 son hombres de entre 38 a 49 años. Ante estos casos, esta área de la dependencia estatal, a través de su personal, brinda asesoría y asistencia a fin de orientar a los usuarios sobre cómo actuar y evitar ser afectados por dicha"&amp;"s actividades ilícitas. Entre las recomendaciones emitidas a los ciudadanos, pide cuidar la información que se publica en redes sociales, cuidar las contraseñas de con quién se comparten y en presencia de quién se accede a sus cuentas; evitar compartir co"&amp;"ntraseñas y accesos a cuentas; así como proteger las cuentas personales al verificar y monitorear su uso e identificar si están vinculados dispositivos desconocidos. También, pide no creer en ofertas que suelen ser engañosas, que aparecen en algunos sitio"&amp;"s web o en apps que las publicitan; además de tener cuidado con los sitios engañoso al verificar antes de hacer clic en los hipervínculos o enlaces adjuntos, ya que de forma oculta podrían dirigir a un sitio malicioso. La dependencia estatal hizo un llama"&amp;"do a la ciudadanía a comunicarse de inmediato en caso de que se presente una situación que atente contra su integridad y patrimonio, por lo que los canales de denuncia son el número telefónico 722 275 83 33 y el correo electrónico cibernética.edomex@ssedo"&amp;"mex.gob.mx. Finalmente, la SSEM indicó que con estas acciones trabaja para garantizar la seguridad de los mexiquenses en todos los ámbitos y previene actos ilícitos que laceran a la sociedad. No hay etiquetas asociadas a éste artículo.")</f>
        <v>Al atender y dar seguimiento a diversas llamadas relacionadas con hechos delictivos, del 1 de enero al 11 de noviembre de 2025, la Policía Cibernética de la Secretaría de Seguridad del Estado de México (SSEM) han atendido 18 mil 768 denuncias. De acuerdo con los registros las causas que más se reciben son por cobranza ilegítima a través de amenazas con 4 mil 307 reportes, por acoso cibernético 4 mil 48 casos, 2 mil 387 denuncias por robo de contraseña, mil 599 por fraudes a comercio electrónico y mil 470 por extorsión cibernética; en conjunto representan un 74% del total. Además, los municipios con mayores reportes generados son Ecatepec con mil 759 casos, Toluca con mil 737 denuncias, Naucalpan 972, Nezahualcóyotl con 902 casos y Cuautitlán Izcalli con 859 reportes. Además, sobre llamadas fraudulentas que aparentemente provienen del extranjero, ha atendido 80 reportes. Del total de denuncias reportadas, con respecto al género y edad, detectaron que dos mil 947 víctimas son mujeres dentro del rango de edad de 30 a 37 años y mil 614 son hombres de entre 38 a 49 años. Ante estos casos, esta área de la dependencia estatal, a través de su personal, brinda asesoría y asistencia a fin de orientar a los usuarios sobre cómo actuar y evitar ser afectados por dichas actividades ilícitas. Entre las recomendaciones emitidas a los ciudadanos, pide cuidar la información que se publica en redes sociales, cuidar las contraseñas de con quién se comparten y en presencia de quién se accede a sus cuentas; evitar compartir contraseñas y accesos a cuentas; así como proteger las cuentas personales al verificar y monitorear su uso e identificar si están vinculados dispositivos desconocidos. También, pide no creer en ofertas que suelen ser engañosas, que aparecen en algunos sitios web o en apps que las publicitan; además de tener cuidado con los sitios engañoso al verificar antes de hacer clic en los hipervínculos o enlaces adjuntos, ya que de forma oculta podrían dirigir a un sitio malicioso. La dependencia estatal hizo un llamado a la ciudadanía a comunicarse de inmediato en caso de que se presente una situación que atente contra su integridad y patrimonio, por lo que los canales de denuncia son el número telefónico 722 275 83 33 y el correo electrónico cibernética.edomex@ssedomex.gob.mx. Finalmente, la SSEM indicó que con estas acciones trabaja para garantizar la seguridad de los mexiquenses en todos los ámbitos y previene actos ilícitos que laceran a la sociedad. No hay etiquetas asociadas a éste artículo.</v>
      </c>
      <c r="O173" s="15">
        <f>IFERROR(__xludf.DUMMYFUNCTION("""COMPUTED_VALUE"""),1.0)</f>
        <v>1</v>
      </c>
      <c r="P173" s="2"/>
      <c r="Q173" s="17">
        <f>IFERROR(__xludf.DUMMYFUNCTION("""COMPUTED_VALUE"""),8.0)</f>
        <v>8</v>
      </c>
      <c r="R173" s="2" t="str">
        <f>IFERROR(__xludf.DUMMYFUNCTION("""COMPUTED_VALUE"""),"High")</f>
        <v>High</v>
      </c>
      <c r="S173" s="17">
        <f>IFERROR(__xludf.DUMMYFUNCTION("""COMPUTED_VALUE"""),3.0)</f>
        <v>3</v>
      </c>
      <c r="T173" s="17">
        <f>IFERROR(__xludf.DUMMYFUNCTION("""COMPUTED_VALUE"""),0.0)</f>
        <v>0</v>
      </c>
      <c r="U173" s="14">
        <f>IFERROR(__xludf.DUMMYFUNCTION("""COMPUTED_VALUE"""),2.0)</f>
        <v>2</v>
      </c>
      <c r="V173" s="14" t="s">
        <v>1186</v>
      </c>
      <c r="W173" s="2" t="s">
        <v>190</v>
      </c>
      <c r="X173" s="2" t="s">
        <v>190</v>
      </c>
      <c r="Y173" s="13"/>
      <c r="Z173" s="14">
        <v>0.0</v>
      </c>
      <c r="AA173" s="14">
        <v>0.0</v>
      </c>
      <c r="AB173" s="14">
        <v>0.0</v>
      </c>
      <c r="AC173" s="14">
        <v>0.0</v>
      </c>
      <c r="AD173" s="2">
        <v>0.0</v>
      </c>
      <c r="AE173" s="2">
        <v>1.0</v>
      </c>
      <c r="AF173" s="2" t="s">
        <v>1186</v>
      </c>
      <c r="AG173" s="2" t="s">
        <v>1202</v>
      </c>
      <c r="AH173" s="2">
        <v>0.0</v>
      </c>
    </row>
    <row r="174" ht="15.75" customHeight="1">
      <c r="A174" s="2" t="str">
        <f>IFERROR(__xludf.DUMMYFUNCTION("""COMPUTED_VALUE"""),"Diario Portal")</f>
        <v>Diario Portal</v>
      </c>
      <c r="B174" s="12" t="str">
        <f>IFERROR(__xludf.DUMMYFUNCTION("""COMPUTED_VALUE"""),"Despliegan 900 elementos policiales para resguardar la seguridad durante Buen Fin en Toluca")</f>
        <v>Despliegan 900 elementos policiales para resguardar la seguridad durante Buen Fin en Toluca</v>
      </c>
      <c r="C174" s="13" t="str">
        <f>IFERROR(__xludf.DUMMYFUNCTION("""COMPUTED_VALUE"""),"2025-11-13 19:11:18")</f>
        <v>2025-11-13 19:11:18</v>
      </c>
      <c r="D174" s="14">
        <f>IFERROR(__xludf.DUMMYFUNCTION("""COMPUTED_VALUE"""),1.0)</f>
        <v>1</v>
      </c>
      <c r="E174" s="15">
        <f>IFERROR(__xludf.DUMMYFUNCTION("""COMPUTED_VALUE"""),0.5985)</f>
        <v>0.5985</v>
      </c>
      <c r="F174" s="2" t="str">
        <f>IFERROR(__xludf.DUMMYFUNCTION("""COMPUTED_VALUE"""),"Positivo")</f>
        <v>Positivo</v>
      </c>
      <c r="G174" s="15">
        <f>IFERROR(__xludf.DUMMYFUNCTION("""COMPUTED_VALUE"""),0.5985)</f>
        <v>0.5985</v>
      </c>
      <c r="H174" s="2" t="str">
        <f>IFERROR(__xludf.DUMMYFUNCTION("""COMPUTED_VALUE"""),"Otros temas generales")</f>
        <v>Otros temas generales</v>
      </c>
      <c r="I174" s="2" t="str">
        <f>IFERROR(__xludf.DUMMYFUNCTION("""COMPUTED_VALUE"""),"N/A")</f>
        <v>N/A</v>
      </c>
      <c r="J174" s="2" t="str">
        <f>IFERROR(__xludf.DUMMYFUNCTION("""COMPUTED_VALUE"""),"Descartar / Baja prioridad.")</f>
        <v>Descartar / Baja prioridad.</v>
      </c>
      <c r="K174" s="2" t="str">
        <f>IFERROR(__xludf.DUMMYFUNCTION("""COMPUTED_VALUE"""),"Toluca")</f>
        <v>Toluca</v>
      </c>
      <c r="L174" s="2" t="str">
        <f>IFERROR(__xludf.DUMMYFUNCTION("""COMPUTED_VALUE"""),"Estado de México")</f>
        <v>Estado de México</v>
      </c>
      <c r="M174" s="16" t="str">
        <f>IFERROR(__xludf.DUMMYFUNCTION("""COMPUTED_VALUE"""),"https://diarioportal.com/seguridad-y-justicia/despliegan-900-elementos-policiales-para-resguardar-la-seguridad-durante-buen-fin-en-toluca")</f>
        <v>https://diarioportal.com/seguridad-y-justicia/despliegan-900-elementos-policiales-para-resguardar-la-seguridad-durante-buen-fin-en-toluca</v>
      </c>
      <c r="N174" s="2" t="str">
        <f>IFERROR(__xludf.DUMMYFUNCTION("""COMPUTED_VALUE"""),"Con el objetivo de brindar seguridad a la población, orden vial y desarrollo tranquilo de las actividades comerciales durante uno de los fines de semana más esperados del año, el gobierno Municipal de Toluca puso en marcha el Operativo Buen Fin 2025 en la"&amp;"s instalaciones de conocida plaza comercial. El dispositivo instruido por el presidente municipal, Ricardo Moreno Bastida contempla el despliegue de más de 900 elementos, el uso de 800 cámaras de videovigilancia, cuatro torres de monitoreo y drones táctic"&amp;"os que reforzarán la supervisión aérea y la respuesta operativa en tiempo real. El operativo que inició a partir de este jueves 13 y concluirá el próximo lunes 17 de noviembre, tiene como misión proteger la integridad física y patrimonial de los ciudadano"&amp;"s, visitantes y comerciantes, además de garantizar la movilidad segura en las principales avenidas y zonas comerciales del municipio. En las acciones participarán 500 elementos de la Dirección Operativa y 400 de la Dirección de Sustentabilidad Vial, quien"&amp;"es realizarán patrullajes preventivos y labores de control vehicular en los puntos de mayor afluencia. A estas tareas se suman efectivos de la Secretaría de Seguridad del Estado de México (SSEM) y de la Guardia Nacional, con el propósito de reforzar la co"&amp;"bertura y fortalecer la coordinación interinstitucional para brindar mayor protección a la población. Las labores de vigilancia se concentrarán en avenidas estratégicas como Vicente Villada, Nicolás Bravo, Mariano Matamoros, Galeana, Allende, Hidalgo, 5 d"&amp;"e Febrero, Independencia y Morelos, donde también permanecerá en alerta el grupo Troyanos, especializado en reacción inmediata ante cualquier eventualidad. El Centro de Mando Municipal coordinará el dispositivo mediante 800 cámaras de videovigilancia, cua"&amp;"tro torres móviles y drones tácticos, herramientas tecnológicas que permitirán monitorear el desarrollo de las actividades comerciales y garantizar una respuesta oportuna ante cualquier incidente, se recuerda los números de emergencia 911 y denuncia anóni"&amp;"ma 089. No hay etiquetas asociadas a éste artículo.")</f>
        <v>Con el objetivo de brindar seguridad a la población, orden vial y desarrollo tranquilo de las actividades comerciales durante uno de los fines de semana más esperados del año, el gobierno Municipal de Toluca puso en marcha el Operativo Buen Fin 2025 en las instalaciones de conocida plaza comercial. El dispositivo instruido por el presidente municipal, Ricardo Moreno Bastida contempla el despliegue de más de 900 elementos, el uso de 800 cámaras de videovigilancia, cuatro torres de monitoreo y drones tácticos que reforzarán la supervisión aérea y la respuesta operativa en tiempo real. El operativo que inició a partir de este jueves 13 y concluirá el próximo lunes 17 de noviembre, tiene como misión proteger la integridad física y patrimonial de los ciudadanos, visitantes y comerciantes, además de garantizar la movilidad segura en las principales avenidas y zonas comerciales del municipio. En las acciones participarán 500 elementos de la Dirección Operativa y 400 de la Dirección de Sustentabilidad Vial, quienes realizarán patrullajes preventivos y labores de control vehicular en los puntos de mayor afluencia. A estas tareas se suman efectivos de la Secretaría de Seguridad del Estado de México (SSEM) y de la Guardia Nacional, con el propósito de reforzar la cobertura y fortalecer la coordinación interinstitucional para brindar mayor protección a la población. Las labores de vigilancia se concentrarán en avenidas estratégicas como Vicente Villada, Nicolás Bravo, Mariano Matamoros, Galeana, Allende, Hidalgo, 5 de Febrero, Independencia y Morelos, donde también permanecerá en alerta el grupo Troyanos, especializado en reacción inmediata ante cualquier eventualidad. El Centro de Mando Municipal coordinará el dispositivo mediante 800 cámaras de videovigilancia, cuatro torres móviles y drones tácticos, herramientas tecnológicas que permitirán monitorear el desarrollo de las actividades comerciales y garantizar una respuesta oportuna ante cualquier incidente, se recuerda los números de emergencia 911 y denuncia anónima 089. No hay etiquetas asociadas a éste artículo.</v>
      </c>
      <c r="O174" s="15">
        <f>IFERROR(__xludf.DUMMYFUNCTION("""COMPUTED_VALUE"""),0.3824)</f>
        <v>0.3824</v>
      </c>
      <c r="P174" s="2"/>
      <c r="Q174" s="17">
        <f>IFERROR(__xludf.DUMMYFUNCTION("""COMPUTED_VALUE"""),8.5)</f>
        <v>8.5</v>
      </c>
      <c r="R174" s="2" t="str">
        <f>IFERROR(__xludf.DUMMYFUNCTION("""COMPUTED_VALUE"""),"High")</f>
        <v>High</v>
      </c>
      <c r="S174" s="17">
        <f>IFERROR(__xludf.DUMMYFUNCTION("""COMPUTED_VALUE"""),5.5)</f>
        <v>5.5</v>
      </c>
      <c r="T174" s="17">
        <f>IFERROR(__xludf.DUMMYFUNCTION("""COMPUTED_VALUE"""),0.0)</f>
        <v>0</v>
      </c>
      <c r="U174" s="14">
        <f>IFERROR(__xludf.DUMMYFUNCTION("""COMPUTED_VALUE"""),2.0)</f>
        <v>2</v>
      </c>
      <c r="V174" s="14">
        <v>2025.0</v>
      </c>
      <c r="W174" s="2" t="s">
        <v>1206</v>
      </c>
      <c r="X174" s="2" t="s">
        <v>1201</v>
      </c>
      <c r="Y174" s="13" t="s">
        <v>706</v>
      </c>
      <c r="Z174" s="14">
        <v>0.0</v>
      </c>
      <c r="AA174" s="14">
        <v>0.0</v>
      </c>
      <c r="AB174" s="14">
        <v>0.0</v>
      </c>
      <c r="AC174" s="14">
        <v>0.0</v>
      </c>
      <c r="AD174" s="2">
        <v>0.0</v>
      </c>
      <c r="AE174" s="2">
        <v>0.0</v>
      </c>
      <c r="AF174" s="2">
        <v>11.0</v>
      </c>
      <c r="AG174" s="2" t="s">
        <v>1216</v>
      </c>
      <c r="AH174" s="2">
        <v>0.0</v>
      </c>
    </row>
    <row r="175" ht="15.75" customHeight="1">
      <c r="A175" s="2" t="str">
        <f>IFERROR(__xludf.DUMMYFUNCTION("""COMPUTED_VALUE"""),"Diario Portal")</f>
        <v>Diario Portal</v>
      </c>
      <c r="B175" s="12" t="str">
        <f>IFERROR(__xludf.DUMMYFUNCTION("""COMPUTED_VALUE"""),"Baja 31% el  promedio  diario de  homicidios  del Edomex  en 10 meses")</f>
        <v>Baja 31% el  promedio  diario de  homicidios  del Edomex  en 10 meses</v>
      </c>
      <c r="C175" s="13" t="str">
        <f>IFERROR(__xludf.DUMMYFUNCTION("""COMPUTED_VALUE"""),"Sin Fecha")</f>
        <v>Sin Fecha</v>
      </c>
      <c r="D175" s="14">
        <f>IFERROR(__xludf.DUMMYFUNCTION("""COMPUTED_VALUE"""),4.0)</f>
        <v>4</v>
      </c>
      <c r="E175" s="15">
        <f>IFERROR(__xludf.DUMMYFUNCTION("""COMPUTED_VALUE"""),0.0)</f>
        <v>0</v>
      </c>
      <c r="F175" s="2" t="str">
        <f>IFERROR(__xludf.DUMMYFUNCTION("""COMPUTED_VALUE"""),"Neutral")</f>
        <v>Neutral</v>
      </c>
      <c r="G175" s="15">
        <f>IFERROR(__xludf.DUMMYFUNCTION("""COMPUTED_VALUE"""),0.4467)</f>
        <v>0.4467</v>
      </c>
      <c r="H175" s="2" t="str">
        <f>IFERROR(__xludf.DUMMYFUNCTION("""COMPUTED_VALUE"""),"Delito violento, robo o asalto")</f>
        <v>Delito violento, robo o asalto</v>
      </c>
      <c r="I175" s="2" t="str">
        <f>IFERROR(__xludf.DUMMYFUNCTION("""COMPUTED_VALUE"""),"homicidio")</f>
        <v>homicidio</v>
      </c>
      <c r="J175" s="2" t="str">
        <f>IFERROR(__xludf.DUMMYFUNCTION("""COMPUTED_VALUE"""),"Prevención PAX: Contactos de confianza.")</f>
        <v>Prevención PAX: Contactos de confianza.</v>
      </c>
      <c r="K175" s="2" t="str">
        <f>IFERROR(__xludf.DUMMYFUNCTION("""COMPUTED_VALUE"""),"Estado de México")</f>
        <v>Estado de México</v>
      </c>
      <c r="L175" s="2" t="str">
        <f>IFERROR(__xludf.DUMMYFUNCTION("""COMPUTED_VALUE"""),"Estado de México")</f>
        <v>Estado de México</v>
      </c>
      <c r="M175" s="16" t="str">
        <f>IFERROR(__xludf.DUMMYFUNCTION("""COMPUTED_VALUE"""),"https://diarioportal.com/seguridad-y-justicia/baja-31-el-promedio-diario-de-homicidios-del-edomex-en-10-meses")</f>
        <v>https://diarioportal.com/seguridad-y-justicia/baja-31-el-promedio-diario-de-homicidios-del-edomex-en-10-meses</v>
      </c>
      <c r="N175" s="2" t="str">
        <f>IFERROR(__xludf.DUMMYFUNCTION("""COMPUTED_VALUE"""),"Gracias a las estrategias de seguridad de la Mesa de Paz, encabezada por la gobernadora Delfina Gómez Álvarez, en el Estado de México se logró una disminución del 31% en el promedio diario de homicidios dolosos, de enero a octubre del 2025, en comparación"&amp;" con el mismo periodo del año pasado. “El trabajo coordinado nos permite avanzar en la construcción de entornos seguros. Hoy, en la Mesa de Paz se destacó que el #EdoMéx presenta una disminución de 31.2% del promedio diario de homicidio doloso, durante en"&amp;"ero a octubre, en comparación al mismo periodo de 2024”, indicó la Gobernadora Delfina en sus redes sociales. De acuerdo con información del Secretariado Ejecutivo del Sistema Nacional de Seguridad Pública (SESNSP), la entidad se posiciona en el octavo lu"&amp;"gar a nivel nacional de los 26 estados del país que han avanzado en la baja del promedio diario de este ilícito de alto impacto. El resultado deriva del trabajo coordinado de los tres niveles de gobierno, quienes a diario promueven acciones para brindar s"&amp;"eguridad y mejorar la calidad de vida de las y los mexiquenses en los 125 municipios, transformando al Estado de México en un lugar digno para vivir, transitar, estudiar, trabajar e invertir. En la Mesa 214 del año participaron Horacio Duarte Olivares, Se"&amp;"cretario General de Gobierno; Cristóbal Castañeda Camarillo, Secretario de Seguridad; Maricela López Urbina, Secretaria Técnica de la Mesa de Paz; José Luis Cervantes Martínez, Fiscal General de Justicia del Estado de México; así como representantes de la"&amp;" Defensa, Marina, Guardia Nacional y el Centro Nacional de Inteligencia. No hay etiquetas asociadas a éste artículo.")</f>
        <v>Gracias a las estrategias de seguridad de la Mesa de Paz, encabezada por la gobernadora Delfina Gómez Álvarez, en el Estado de México se logró una disminución del 31% en el promedio diario de homicidios dolosos, de enero a octubre del 2025, en comparación con el mismo periodo del año pasado. “El trabajo coordinado nos permite avanzar en la construcción de entornos seguros. Hoy, en la Mesa de Paz se destacó que el #EdoMéx presenta una disminución de 31.2% del promedio diario de homicidio doloso, durante enero a octubre, en comparación al mismo periodo de 2024”, indicó la Gobernadora Delfina en sus redes sociales. De acuerdo con información del Secretariado Ejecutivo del Sistema Nacional de Seguridad Pública (SESNSP), la entidad se posiciona en el octavo lugar a nivel nacional de los 26 estados del país que han avanzado en la baja del promedio diario de este ilícito de alto impacto. El resultado deriva del trabajo coordinado de los tres niveles de gobierno, quienes a diario promueven acciones para brindar seguridad y mejorar la calidad de vida de las y los mexiquenses en los 125 municipios, transformando al Estado de México en un lugar digno para vivir, transitar, estudiar, trabajar e invertir. En la Mesa 214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v>
      </c>
      <c r="O175" s="15">
        <f>IFERROR(__xludf.DUMMYFUNCTION("""COMPUTED_VALUE"""),1.0)</f>
        <v>1</v>
      </c>
      <c r="P175" s="2"/>
      <c r="Q175" s="17">
        <f>IFERROR(__xludf.DUMMYFUNCTION("""COMPUTED_VALUE"""),8.0)</f>
        <v>8</v>
      </c>
      <c r="R175" s="2" t="str">
        <f>IFERROR(__xludf.DUMMYFUNCTION("""COMPUTED_VALUE"""),"High")</f>
        <v>High</v>
      </c>
      <c r="S175" s="17">
        <f>IFERROR(__xludf.DUMMYFUNCTION("""COMPUTED_VALUE"""),4.0)</f>
        <v>4</v>
      </c>
      <c r="T175" s="17">
        <f>IFERROR(__xludf.DUMMYFUNCTION("""COMPUTED_VALUE"""),0.0)</f>
        <v>0</v>
      </c>
      <c r="U175" s="14">
        <f>IFERROR(__xludf.DUMMYFUNCTION("""COMPUTED_VALUE"""),2.0)</f>
        <v>2</v>
      </c>
      <c r="V175" s="14" t="s">
        <v>1186</v>
      </c>
      <c r="W175" s="2" t="s">
        <v>190</v>
      </c>
      <c r="X175" s="2" t="s">
        <v>190</v>
      </c>
      <c r="Y175" s="13"/>
      <c r="Z175" s="14">
        <v>0.0</v>
      </c>
      <c r="AA175" s="14">
        <v>0.0</v>
      </c>
      <c r="AB175" s="14">
        <v>0.0</v>
      </c>
      <c r="AC175" s="14">
        <v>0.0</v>
      </c>
      <c r="AD175" s="2">
        <v>0.0</v>
      </c>
      <c r="AE175" s="2">
        <v>1.0</v>
      </c>
      <c r="AF175" s="2" t="s">
        <v>1186</v>
      </c>
      <c r="AG175" s="2" t="s">
        <v>1202</v>
      </c>
      <c r="AH175" s="2">
        <v>0.0</v>
      </c>
    </row>
    <row r="176" ht="15.75" customHeight="1">
      <c r="A176" s="2" t="str">
        <f>IFERROR(__xludf.DUMMYFUNCTION("""COMPUTED_VALUE"""),"Diario Portal")</f>
        <v>Diario Portal</v>
      </c>
      <c r="B176" s="12" t="str">
        <f>IFERROR(__xludf.DUMMYFUNCTION("""COMPUTED_VALUE"""),"Alcaldesa de Capulhuac detenida por violentar a trabajadora puede elegir un sustituto")</f>
        <v>Alcaldesa de Capulhuac detenida por violentar a trabajadora puede elegir un sustituto</v>
      </c>
      <c r="C176" s="13" t="str">
        <f>IFERROR(__xludf.DUMMYFUNCTION("""COMPUTED_VALUE"""),"2025-11-12 18:58:28")</f>
        <v>2025-11-12 18:58:28</v>
      </c>
      <c r="D176" s="14">
        <f>IFERROR(__xludf.DUMMYFUNCTION("""COMPUTED_VALUE"""),2.0)</f>
        <v>2</v>
      </c>
      <c r="E176" s="15">
        <f>IFERROR(__xludf.DUMMYFUNCTION("""COMPUTED_VALUE"""),0.0)</f>
        <v>0</v>
      </c>
      <c r="F176" s="2" t="str">
        <f>IFERROR(__xludf.DUMMYFUNCTION("""COMPUTED_VALUE"""),"Neutral")</f>
        <v>Neutral</v>
      </c>
      <c r="G176" s="15">
        <f>IFERROR(__xludf.DUMMYFUNCTION("""COMPUTED_VALUE"""),0.4945)</f>
        <v>0.4945</v>
      </c>
      <c r="H176" s="2" t="str">
        <f>IFERROR(__xludf.DUMMYFUNCTION("""COMPUTED_VALUE"""),"Operativo policial o detención")</f>
        <v>Operativo policial o detención</v>
      </c>
      <c r="I176" s="2" t="str">
        <f>IFERROR(__xludf.DUMMYFUNCTION("""COMPUTED_VALUE"""),"N/A")</f>
        <v>N/A</v>
      </c>
      <c r="J176" s="2" t="str">
        <f>IFERROR(__xludf.DUMMYFUNCTION("""COMPUTED_VALUE"""),"Monitoreo general.")</f>
        <v>Monitoreo general.</v>
      </c>
      <c r="K176" s="2" t="str">
        <f>IFERROR(__xludf.DUMMYFUNCTION("""COMPUTED_VALUE"""),"Toluca")</f>
        <v>Toluca</v>
      </c>
      <c r="L176" s="2" t="str">
        <f>IFERROR(__xludf.DUMMYFUNCTION("""COMPUTED_VALUE"""),"Estado de México")</f>
        <v>Estado de México</v>
      </c>
      <c r="M176" s="16" t="str">
        <f>IFERROR(__xludf.DUMMYFUNCTION("""COMPUTED_VALUE"""),"https://diarioportal.com/seguridad-y-justicia/alcaldesa-de-capulhuac-detenida-por-violentar-a-trabajadora-puede-elegir-un-sustituto")</f>
        <v>https://diarioportal.com/seguridad-y-justicia/alcaldesa-de-capulhuac-detenida-por-violentar-a-trabajadora-puede-elegir-un-sustituto</v>
      </c>
      <c r="N176" s="2" t="str">
        <f>IFERROR(__xludf.DUMMYFUNCTION("""COMPUTED_VALUE"""),"Aunque Selenne ‘N’, alcaldesa constitucional de Capulhuac, pero con licencia, sigue encarcelada por agredir física y psicológicamente a una trabajadora del DIF municipal, los magistrados de la Sala Regional Toluca del Tribunal Electoral del Poder Judicial"&amp;" de la Federación (TEPJF) determinaron que tiene facultades para proponer a su sustituto en la presidencia municipal. Los magistrados confirmaron la resolución emitida por el Tribunal Electoral del Estado de México (TEEM) que señala que aunque sigue encar"&amp;"celada todavía no ha recibido una sentenciada firme, por lo que no ha perdido sus derechos políticos-electorales. Reiteraron que mantiene las atribuciones legales derivadas de su encargo, entre ellas la de presentar propuestas ante el cuerpo edilicio, por"&amp;" lo que la alcaldesa con licencia solicitó que Jesús Galicia García, cuarto regidor, asuma las riendas del Ayuntamiento como presidente municipal. El TEPJF consideró que no existe impedimento jurídico para que la alcaldesa con licencia ejerza esta faculta"&amp;"d, pues el proceso penal que enfrenta no suspende sus derechos políticos-electorales hasta que se emita una resolución definitiva por parte de la autoridad judicial competente. Es de recordar que Selenne ‘N’ fue vinculada a proceso derivado de una denunci"&amp;"a interpuesta por una presunta agresión en contra de una servidora pública municipal, hechos que ocurrieron el pasado 2 de mayo, sin embargo, los magistrados reiteraron que dicho proceso no constituye causal automática de suspensión del ejercicio de sus d"&amp;"erechos político-electorales y tampoco de sus facultades administrativas como presidenta municipal electa. Hasta antes de la resolución, el cargo de alcaldesa era desempeñado por Sarita Arellano Hernández, tercera regidora del ayuntamiento, quien fungía c"&amp;"omo presidenta municipal por ministerio de ley durante la licencia de Selenne ‘N’. No hay etiquetas asociadas a éste artículo.")</f>
        <v>Aunque Selenne ‘N’, alcaldesa constitucional de Capulhuac, pero con licencia, sigue encarcelada por agredir física y psicológicamente a una trabajadora del DIF municipal, los magistrados de la Sala Regional Toluca del Tribunal Electoral del Poder Judicial de la Federación (TEPJF) determinaron que tiene facultades para proponer a su sustituto en la presidencia municipal. Los magistrados confirmaron la resolución emitida por el Tribunal Electoral del Estado de México (TEEM) que señala que aunque sigue encarcelada todavía no ha recibido una sentenciada firme, por lo que no ha perdido sus derechos políticos-electorales. Reiteraron que mantiene las atribuciones legales derivadas de su encargo, entre ellas la de presentar propuestas ante el cuerpo edilicio, por lo que la alcaldesa con licencia solicitó que Jesús Galicia García, cuarto regidor, asuma las riendas del Ayuntamiento como presidente municipal. El TEPJF consideró que no existe impedimento jurídico para que la alcaldesa con licencia ejerza esta facultad, pues el proceso penal que enfrenta no suspende sus derechos políticos-electorales hasta que se emita una resolución definitiva por parte de la autoridad judicial competente. Es de recordar que Selenne ‘N’ fue vinculada a proceso derivado de una denuncia interpuesta por una presunta agresión en contra de una servidora pública municipal, hechos que ocurrieron el pasado 2 de mayo, sin embargo, los magistrados reiteraron que dicho proceso no constituye causal automática de suspensión del ejercicio de sus derechos político-electorales y tampoco de sus facultades administrativas como presidenta municipal electa. Hasta antes de la resolución, el cargo de alcaldesa era desempeñado por Sarita Arellano Hernández, tercera regidora del ayuntamiento, quien fungía como presidenta municipal por ministerio de ley durante la licencia de Selenne ‘N’. No hay etiquetas asociadas a éste artículo.</v>
      </c>
      <c r="O176" s="15">
        <f>IFERROR(__xludf.DUMMYFUNCTION("""COMPUTED_VALUE"""),0.3846)</f>
        <v>0.3846</v>
      </c>
      <c r="P176" s="2"/>
      <c r="Q176" s="17">
        <f>IFERROR(__xludf.DUMMYFUNCTION("""COMPUTED_VALUE"""),4.0)</f>
        <v>4</v>
      </c>
      <c r="R176" s="2" t="str">
        <f>IFERROR(__xludf.DUMMYFUNCTION("""COMPUTED_VALUE"""),"Medium")</f>
        <v>Medium</v>
      </c>
      <c r="S176" s="17">
        <f>IFERROR(__xludf.DUMMYFUNCTION("""COMPUTED_VALUE"""),1.0)</f>
        <v>1</v>
      </c>
      <c r="T176" s="17">
        <f>IFERROR(__xludf.DUMMYFUNCTION("""COMPUTED_VALUE"""),0.0)</f>
        <v>0</v>
      </c>
      <c r="U176" s="14">
        <f>IFERROR(__xludf.DUMMYFUNCTION("""COMPUTED_VALUE"""),2.0)</f>
        <v>2</v>
      </c>
      <c r="V176" s="14">
        <v>2025.0</v>
      </c>
      <c r="W176" s="2" t="s">
        <v>1206</v>
      </c>
      <c r="X176" s="2" t="s">
        <v>1203</v>
      </c>
      <c r="Y176" s="13" t="s">
        <v>713</v>
      </c>
      <c r="Z176" s="14">
        <v>0.0</v>
      </c>
      <c r="AA176" s="14">
        <v>0.0</v>
      </c>
      <c r="AB176" s="14">
        <v>0.0</v>
      </c>
      <c r="AC176" s="14">
        <v>0.0</v>
      </c>
      <c r="AD176" s="2">
        <v>0.0</v>
      </c>
      <c r="AE176" s="2">
        <v>0.0</v>
      </c>
      <c r="AF176" s="2">
        <v>11.0</v>
      </c>
      <c r="AG176" s="2" t="s">
        <v>1216</v>
      </c>
      <c r="AH176" s="2">
        <v>0.0</v>
      </c>
    </row>
    <row r="177" ht="15.75" customHeight="1">
      <c r="A177" s="2" t="str">
        <f>IFERROR(__xludf.DUMMYFUNCTION("""COMPUTED_VALUE"""),"Diario Portal")</f>
        <v>Diario Portal</v>
      </c>
      <c r="B177" s="12" t="str">
        <f>IFERROR(__xludf.DUMMYFUNCTION("""COMPUTED_VALUE"""),"Piden retrasar  entrada en   escuelas ante  frío intenso")</f>
        <v>Piden retrasar  entrada en   escuelas ante  frío intenso</v>
      </c>
      <c r="C177" s="13" t="str">
        <f>IFERROR(__xludf.DUMMYFUNCTION("""COMPUTED_VALUE"""),"Sin Fecha")</f>
        <v>Sin Fecha</v>
      </c>
      <c r="D177" s="14">
        <f>IFERROR(__xludf.DUMMYFUNCTION("""COMPUTED_VALUE"""),2.0)</f>
        <v>2</v>
      </c>
      <c r="E177" s="15">
        <f>IFERROR(__xludf.DUMMYFUNCTION("""COMPUTED_VALUE"""),0.0)</f>
        <v>0</v>
      </c>
      <c r="F177" s="2" t="str">
        <f>IFERROR(__xludf.DUMMYFUNCTION("""COMPUTED_VALUE"""),"Neutral")</f>
        <v>Neutral</v>
      </c>
      <c r="G177" s="15">
        <f>IFERROR(__xludf.DUMMYFUNCTION("""COMPUTED_VALUE"""),0.5522)</f>
        <v>0.5522</v>
      </c>
      <c r="H177" s="2" t="str">
        <f>IFERROR(__xludf.DUMMYFUNCTION("""COMPUTED_VALUE"""),"Operativo policial o detención")</f>
        <v>Operativo policial o detención</v>
      </c>
      <c r="I177" s="2" t="str">
        <f>IFERROR(__xludf.DUMMYFUNCTION("""COMPUTED_VALUE"""),"N/A")</f>
        <v>N/A</v>
      </c>
      <c r="J177" s="2" t="str">
        <f>IFERROR(__xludf.DUMMYFUNCTION("""COMPUTED_VALUE"""),"Monitoreo general.")</f>
        <v>Monitoreo general.</v>
      </c>
      <c r="K177" s="2" t="str">
        <f>IFERROR(__xludf.DUMMYFUNCTION("""COMPUTED_VALUE"""),"Estado de México")</f>
        <v>Estado de México</v>
      </c>
      <c r="L177" s="2" t="str">
        <f>IFERROR(__xludf.DUMMYFUNCTION("""COMPUTED_VALUE"""),"Estado de México")</f>
        <v>Estado de México</v>
      </c>
      <c r="M177" s="16" t="str">
        <f>IFERROR(__xludf.DUMMYFUNCTION("""COMPUTED_VALUE"""),"https://diarioportal.com/seguridad-y-justicia/piden-retrasar-entrada-en-escuelas-ante-frio-intenso")</f>
        <v>https://diarioportal.com/seguridad-y-justicia/piden-retrasar-entrada-en-escuelas-ante-frio-intenso</v>
      </c>
      <c r="N177" s="2" t="str">
        <f>IFERROR(__xludf.DUMMYFUNCTION("""COMPUTED_VALUE"""),"Ante las bajas temperaturas en la entidad mexiquense, la Unión Nacional de Padres de Familia del Estado de México solicitó a las autoridades de la Secretaría de Educación, Ciencia, Tecnología e Innovación estatal retrasar el horario escolar de entrada de "&amp;"los alumnos de preescolar y primaria. El representante de la Unión de Padres, Javier Agustín Velasco, agregó que dicha petición tiene el propósito de prevenir enfermedades respiratorias entre los estudiantes y evitar riesgos durante los traslados matutino"&amp;"s. Señaló que el frío ha sido especialmente severo este año y podría intensificarse en las próximas semanas, por lo que mantiene alertas a las comunidades ubicadas en zonas altas donde las temperaturas han descendido hasta los cero grados centígrados, lo "&amp;"que ha generado heladas, niebla y complicaciones para el transporte escolar. Indicó que padres de familia y docentes han reportado una disminución significativa en la asistencia escolar, particularmente en municipios de alta montaña como Toluca, Zinacante"&amp;"pec, San José del Rincón, Villa Victoria, Amanalco, Temascaltepec y El Oro, donde el clima ha afectado la salud de los niños porque se han incrementado los casos de gripe, faringitis y bronquitis. Agustín Velasco precisó que si bien la Secretaría de Educa"&amp;"ción estatal recientemente implementó el horario de invierno que retrasa 30 minutos la entrada y salida en los niveles de preescolar, primaria y secundaria, esta medida resulta insuficiente ante el actual descenso de temperaturas, por lo que propone ampli"&amp;"ar el horario flexible en las regiones más frías de la entidad. Indicó que, de acuerdo con los reportes de padres de familia, muchos estudiantes deben salir de casa antes de las siete de la mañana, horario en el que el frío es más intenso, por lo que lleg"&amp;"ar a clases representa un riesgo adicional para su salud, además algunos planteles carecen de instalaciones adecuadas para enfrentar las condiciones invernales, lo que agrava el malestar entre los alumnos. Por último, dijo, en la organización esperan una "&amp;"respuesta oficial de la Secretaría de Educación, Ciencia, Tecnología e Innovación del Estado de México en los próximos días, para definir si se aplicarán ajustes temporales en los horarios de ingreso y salida, especialmente en las zonas con temperaturas m"&amp;"ás extremas del territorio mexiquense. No hay etiquetas asociadas a éste artículo.")</f>
        <v>Ante las bajas temperaturas en la entidad mexiquense, la Unión Nacional de Padres de Familia del Estado de México solicitó a las autoridades de la Secretaría de Educación, Ciencia, Tecnología e Innovación estatal retrasar el horario escolar de entrada de los alumnos de preescolar y primaria. El representante de la Unión de Padres, Javier Agustín Velasco, agregó que dicha petición tiene el propósito de prevenir enfermedades respiratorias entre los estudiantes y evitar riesgos durante los traslados matutinos. Señaló que el frío ha sido especialmente severo este año y podría intensificarse en las próximas semanas, por lo que mantiene alertas a las comunidades ubicadas en zonas altas donde las temperaturas han descendido hasta los cero grados centígrados, lo que ha generado heladas, niebla y complicaciones para el transporte escolar. Indicó que padres de familia y docentes han reportado una disminución significativa en la asistencia escolar, particularmente en municipios de alta montaña como Toluca, Zinacantepec, San José del Rincón, Villa Victoria, Amanalco, Temascaltepec y El Oro, donde el clima ha afectado la salud de los niños porque se han incrementado los casos de gripe, faringitis y bronquitis. Agustín Velasco precisó que si bien la Secretaría de Educación estatal recientemente implementó el horario de invierno que retrasa 30 minutos la entrada y salida en los niveles de preescolar, primaria y secundaria, esta medida resulta insuficiente ante el actual descenso de temperaturas, por lo que propone ampliar el horario flexible en las regiones más frías de la entidad. Indicó que, de acuerdo con los reportes de padres de familia, muchos estudiantes deben salir de casa antes de las siete de la mañana, horario en el que el frío es más intenso, por lo que llegar a clases representa un riesgo adicional para su salud, además algunos planteles carecen de instalaciones adecuadas para enfrentar las condiciones invernales, lo que agrava el malestar entre los alumnos. Por último, dijo, en la organización esperan una respuesta oficial de la Secretaría de Educación, Ciencia, Tecnología e Innovación del Estado de México en los próximos días, para definir si se aplicarán ajustes temporales en los horarios de ingreso y salida, especialmente en las zonas con temperaturas más extremas del territorio mexiquense. No hay etiquetas asociadas a éste artículo.</v>
      </c>
      <c r="O177" s="15">
        <f>IFERROR(__xludf.DUMMYFUNCTION("""COMPUTED_VALUE"""),0.4348)</f>
        <v>0.4348</v>
      </c>
      <c r="P177" s="2"/>
      <c r="Q177" s="17">
        <f>IFERROR(__xludf.DUMMYFUNCTION("""COMPUTED_VALUE"""),5.0)</f>
        <v>5</v>
      </c>
      <c r="R177" s="2" t="str">
        <f>IFERROR(__xludf.DUMMYFUNCTION("""COMPUTED_VALUE"""),"Low")</f>
        <v>Low</v>
      </c>
      <c r="S177" s="17">
        <f>IFERROR(__xludf.DUMMYFUNCTION("""COMPUTED_VALUE"""),0.0)</f>
        <v>0</v>
      </c>
      <c r="T177" s="17">
        <f>IFERROR(__xludf.DUMMYFUNCTION("""COMPUTED_VALUE"""),0.0)</f>
        <v>0</v>
      </c>
      <c r="U177" s="14">
        <f>IFERROR(__xludf.DUMMYFUNCTION("""COMPUTED_VALUE"""),2.0)</f>
        <v>2</v>
      </c>
      <c r="V177" s="14" t="s">
        <v>1186</v>
      </c>
      <c r="W177" s="2" t="s">
        <v>190</v>
      </c>
      <c r="X177" s="2" t="s">
        <v>190</v>
      </c>
      <c r="Y177" s="13"/>
      <c r="Z177" s="14">
        <v>0.0</v>
      </c>
      <c r="AA177" s="14">
        <v>0.0</v>
      </c>
      <c r="AB177" s="14">
        <v>0.0</v>
      </c>
      <c r="AC177" s="14">
        <v>0.0</v>
      </c>
      <c r="AD177" s="2">
        <v>0.0</v>
      </c>
      <c r="AE177" s="2">
        <v>0.0</v>
      </c>
      <c r="AF177" s="2" t="s">
        <v>1186</v>
      </c>
      <c r="AG177" s="2" t="s">
        <v>1202</v>
      </c>
      <c r="AH177" s="2">
        <v>0.0</v>
      </c>
    </row>
    <row r="178" ht="15.75" customHeight="1">
      <c r="A178" s="2" t="str">
        <f>IFERROR(__xludf.DUMMYFUNCTION("""COMPUTED_VALUE"""),"Diario Portal")</f>
        <v>Diario Portal</v>
      </c>
      <c r="B178" s="12" t="str">
        <f>IFERROR(__xludf.DUMMYFUNCTION("""COMPUTED_VALUE"""),"Azucena da  banderazo   a operativo   de seguridad  en Ecatepec  por Bien Fin")</f>
        <v>Azucena da  banderazo   a operativo   de seguridad  en Ecatepec  por Bien Fin</v>
      </c>
      <c r="C178" s="13" t="str">
        <f>IFERROR(__xludf.DUMMYFUNCTION("""COMPUTED_VALUE"""),"Sin Fecha")</f>
        <v>Sin Fecha</v>
      </c>
      <c r="D178" s="14">
        <f>IFERROR(__xludf.DUMMYFUNCTION("""COMPUTED_VALUE"""),2.0)</f>
        <v>2</v>
      </c>
      <c r="E178" s="15">
        <f>IFERROR(__xludf.DUMMYFUNCTION("""COMPUTED_VALUE"""),0.4495)</f>
        <v>0.4495</v>
      </c>
      <c r="F178" s="2" t="str">
        <f>IFERROR(__xludf.DUMMYFUNCTION("""COMPUTED_VALUE"""),"Positivo")</f>
        <v>Positivo</v>
      </c>
      <c r="G178" s="15">
        <f>IFERROR(__xludf.DUMMYFUNCTION("""COMPUTED_VALUE"""),0.4495)</f>
        <v>0.4495</v>
      </c>
      <c r="H178" s="2" t="str">
        <f>IFERROR(__xludf.DUMMYFUNCTION("""COMPUTED_VALUE"""),"Operativo policial o detención")</f>
        <v>Operativo policial o detención</v>
      </c>
      <c r="I178" s="2" t="str">
        <f>IFERROR(__xludf.DUMMYFUNCTION("""COMPUTED_VALUE"""),"N/A")</f>
        <v>N/A</v>
      </c>
      <c r="J178" s="2" t="str">
        <f>IFERROR(__xludf.DUMMYFUNCTION("""COMPUTED_VALUE"""),"Monitoreo general.")</f>
        <v>Monitoreo general.</v>
      </c>
      <c r="K178" s="2" t="str">
        <f>IFERROR(__xludf.DUMMYFUNCTION("""COMPUTED_VALUE"""),"Ecatepec")</f>
        <v>Ecatepec</v>
      </c>
      <c r="L178" s="2" t="str">
        <f>IFERROR(__xludf.DUMMYFUNCTION("""COMPUTED_VALUE"""),"Estado de México")</f>
        <v>Estado de México</v>
      </c>
      <c r="M178" s="16" t="str">
        <f>IFERROR(__xludf.DUMMYFUNCTION("""COMPUTED_VALUE"""),"https://diarioportal.com/seguridad-y-justicia/azucena-da-banderazo-a-operativo-de-seguridad-en-ecatepec-por-bien-fin")</f>
        <v>https://diarioportal.com/seguridad-y-justicia/azucena-da-banderazo-a-operativo-de-seguridad-en-ecatepec-por-bien-fin</v>
      </c>
      <c r="N178" s="2" t="str">
        <f>IFERROR(__xludf.DUMMYFUNCTION("""COMPUTED_VALUE"""),"Más de Mil elementos de policía municipal, estatal, Marina y Guardia Nacional vigilarán la seguridad de los habitantes del municipio de Ecatepec en este próximo Buen Fin, el operativo de seguridad se llevará a cabo del 11 al 17 de noviembre. La presidenta"&amp;" municipal, Azucena Cisneros Coss, informó que el operativo tiene la intención de brindar seguridad a las familias que acuden a plazas y zonas comerciales y evitar actos delictivos. El banderazo se llevó a cabo en el Centro Comercial Las Américas. Partici"&amp;"pan cerca de mil elementos de la policía municipal, estatal, Marina y Guardia Nacional. Ahí Cisneros Coss explicó que el dispositivo de seguridad se implementa en los principales centros comerciales como son Patio Ecatepec, Plaza Ecatepec Plaza Cerro Gord"&amp;"o, Pabellón Ecatepec, Gran Patio Ecatepec, Centro Las Américas, Paseo Ventura, Super Plaza Ecatepec, Plaza Aragón y Center Plaza. Así como mercados, tianguis, sucursales bancarias y avenidas principales como Vía Morelos, Avenida Central, López Portillo po"&amp;"r mencionar algunas. Las autoridades de esta localidad recomendaron a los vecinos a verificar que los productos que se adquiera estén en óptimas condiciones, informarse de las políticas de garantía, devolución y cancelación de los productos, guardar siemp"&amp;"re los comprobantes de compra, si se paga en efectivo, revisar que los billetes tengan textura y relieves para confirmar su autenticidad. No hay etiquetas asociadas a éste artículo.")</f>
        <v>Más de Mil elementos de policía municipal, estatal, Marina y Guardia Nacional vigilarán la seguridad de los habitantes del municipio de Ecatepec en este próximo Buen Fin, el operativo de seguridad se llevará a cabo del 11 al 17 de noviembre. La presidenta municipal, Azucena Cisneros Coss, informó que el operativo tiene la intención de brindar seguridad a las familias que acuden a plazas y zonas comerciales y evitar actos delictivos. El banderazo se llevó a cabo en el Centro Comercial Las Américas. Participan cerca de mil elementos de la policía municipal, estatal, Marina y Guardia Nacional. Ahí Cisneros Coss explicó que el dispositivo de seguridad se implementa en los principales centros comerciales como son Patio Ecatepec, Plaza Ecatepec Plaza Cerro Gordo, Pabellón Ecatepec, Gran Patio Ecatepec, Centro Las Américas, Paseo Ventura, Super Plaza Ecatepec, Plaza Aragón y Center Plaza. Así como mercados, tianguis, sucursales bancarias y avenidas principales como Vía Morelos, Avenida Central, López Portillo por mencionar algunas. Las autoridades de esta localidad recomendaron a los vecinos a verificar que los productos que se adquiera estén en óptimas condiciones, informarse de las políticas de garantía, devolución y cancelación de los productos, guardar siempre los comprobantes de compra, si se paga en efectivo, revisar que los billetes tengan textura y relieves para confirmar su autenticidad. No hay etiquetas asociadas a éste artículo.</v>
      </c>
      <c r="O178" s="15">
        <f>IFERROR(__xludf.DUMMYFUNCTION("""COMPUTED_VALUE"""),0.4076)</f>
        <v>0.4076</v>
      </c>
      <c r="P178" s="2"/>
      <c r="Q178" s="17">
        <f>IFERROR(__xludf.DUMMYFUNCTION("""COMPUTED_VALUE"""),8.5)</f>
        <v>8.5</v>
      </c>
      <c r="R178" s="2" t="str">
        <f>IFERROR(__xludf.DUMMYFUNCTION("""COMPUTED_VALUE"""),"High")</f>
        <v>High</v>
      </c>
      <c r="S178" s="17">
        <f>IFERROR(__xludf.DUMMYFUNCTION("""COMPUTED_VALUE"""),6.5)</f>
        <v>6.5</v>
      </c>
      <c r="T178" s="17">
        <f>IFERROR(__xludf.DUMMYFUNCTION("""COMPUTED_VALUE"""),0.0)</f>
        <v>0</v>
      </c>
      <c r="U178" s="14">
        <f>IFERROR(__xludf.DUMMYFUNCTION("""COMPUTED_VALUE"""),2.0)</f>
        <v>2</v>
      </c>
      <c r="V178" s="14" t="s">
        <v>1186</v>
      </c>
      <c r="W178" s="2" t="s">
        <v>190</v>
      </c>
      <c r="X178" s="2" t="s">
        <v>190</v>
      </c>
      <c r="Y178" s="13"/>
      <c r="Z178" s="14">
        <v>0.0</v>
      </c>
      <c r="AA178" s="14">
        <v>0.0</v>
      </c>
      <c r="AB178" s="14">
        <v>0.0</v>
      </c>
      <c r="AC178" s="14">
        <v>0.0</v>
      </c>
      <c r="AD178" s="2">
        <v>0.0</v>
      </c>
      <c r="AE178" s="2">
        <v>0.0</v>
      </c>
      <c r="AF178" s="2" t="s">
        <v>1186</v>
      </c>
      <c r="AG178" s="2" t="s">
        <v>1208</v>
      </c>
      <c r="AH178" s="2">
        <v>0.0</v>
      </c>
    </row>
    <row r="179" ht="15.75" customHeight="1">
      <c r="A179" s="2" t="str">
        <f>IFERROR(__xludf.DUMMYFUNCTION("""COMPUTED_VALUE"""),"Diario Portal")</f>
        <v>Diario Portal</v>
      </c>
      <c r="B179" s="12" t="str">
        <f>IFERROR(__xludf.DUMMYFUNCTION("""COMPUTED_VALUE"""),"Se registran  42% menos  homicidios  diarios en  el Edomex")</f>
        <v>Se registran  42% menos  homicidios  diarios en  el Edomex</v>
      </c>
      <c r="C179" s="13" t="str">
        <f>IFERROR(__xludf.DUMMYFUNCTION("""COMPUTED_VALUE"""),"Sin Fecha")</f>
        <v>Sin Fecha</v>
      </c>
      <c r="D179" s="14">
        <f>IFERROR(__xludf.DUMMYFUNCTION("""COMPUTED_VALUE"""),4.0)</f>
        <v>4</v>
      </c>
      <c r="E179" s="15">
        <f>IFERROR(__xludf.DUMMYFUNCTION("""COMPUTED_VALUE"""),0.0)</f>
        <v>0</v>
      </c>
      <c r="F179" s="2" t="str">
        <f>IFERROR(__xludf.DUMMYFUNCTION("""COMPUTED_VALUE"""),"Neutral")</f>
        <v>Neutral</v>
      </c>
      <c r="G179" s="15">
        <f>IFERROR(__xludf.DUMMYFUNCTION("""COMPUTED_VALUE"""),0.503)</f>
        <v>0.503</v>
      </c>
      <c r="H179" s="2" t="str">
        <f>IFERROR(__xludf.DUMMYFUNCTION("""COMPUTED_VALUE"""),"Delito violento, robo o asalto")</f>
        <v>Delito violento, robo o asalto</v>
      </c>
      <c r="I179" s="2" t="str">
        <f>IFERROR(__xludf.DUMMYFUNCTION("""COMPUTED_VALUE"""),"homicidio")</f>
        <v>homicidio</v>
      </c>
      <c r="J179" s="2" t="str">
        <f>IFERROR(__xludf.DUMMYFUNCTION("""COMPUTED_VALUE"""),"Prevención PAX: Contactos de confianza.")</f>
        <v>Prevención PAX: Contactos de confianza.</v>
      </c>
      <c r="K179" s="2" t="str">
        <f>IFERROR(__xludf.DUMMYFUNCTION("""COMPUTED_VALUE"""),"Estado de México")</f>
        <v>Estado de México</v>
      </c>
      <c r="L179" s="2" t="str">
        <f>IFERROR(__xludf.DUMMYFUNCTION("""COMPUTED_VALUE"""),"Estado de México")</f>
        <v>Estado de México</v>
      </c>
      <c r="M179" s="16" t="str">
        <f>IFERROR(__xludf.DUMMYFUNCTION("""COMPUTED_VALUE"""),"https://diarioportal.com/seguridad-y-justicia/se-registran-42-menos-homicidios-diarios-en-el-edomex")</f>
        <v>https://diarioportal.com/seguridad-y-justicia/se-registran-42-menos-homicidios-diarios-en-el-edomex</v>
      </c>
      <c r="N179" s="2" t="str">
        <f>IFERROR(__xludf.DUMMYFUNCTION("""COMPUTED_VALUE"""),"Durante la conferencia matutina de la presidenta Claudia Sheinbaum Pardo, se destacó la reducción del 42% en el promedio diario de homicidios dolosos en el Estado de México, resultado de la estrategia integral de seguridad impulsada en las Mesas de Paz qu"&amp;"e encabeza la gobernadora Delfina Gómez Álvarez. “Presidí la Mesa de Paz de este día, en Palacio de Gobierno, donde dimos seguimiento a la #MañaneraDelPueblo en la cual se compartió que en el Estado de México se registra una disminución de 42% en el prome"&amp;"dio diario de homicidio doloso, de septiembre de 2024 a octubre de 2025. Trabajamos por un #EdoMéx seguro y tranquilo para todas y todos. #ElPoderDeServir”, escribió la gobernadora Delfina Gómez en sus redes sociales. El informe presentado por la Secretar"&amp;"ia Ejecutiva del Sistema Nacional de Seguridad Pública, Marcela Figueroa Franco, mostró que la entidad ha dejado de ocupar los primeros lugares de violencia letal, al pasar del segundo al quinto sitio nacional, con una disminución constante durante los úl"&amp;"timos trece meses. En el comparativo de septiembre de 2024 a octubre de 2025, el Estado de México redujo el promedio diario de 6.63 a 3.87 homicidios, una baja del 42%. El gobierno mexiquense resalta que esta tendencia se debe a la coordinación permanente"&amp;" de la Mesa Paz, integrada por autoridades federales, estatales y municipales, así como a acciones focalizadas en los municipios de mayor incidencia. En la Mesa de Paz número 212 del año participaron Horacio Duarte Olivares, Secretario General de Gobierno"&amp;"; Cristóbal Castañeda Camarillo, Secretario de Seguridad; Maricela López Urbina, Secretaria Técnica de la Mesa de Paz; José Luis Cervantes Martínez, Fiscal General de Justicia del Estado de México; Héctor Macedo García, Presidente del Poder Judicial del E"&amp;"stado de México; Víctor Leopoldo Delgado Pérez, Presidente de la CODHEM, así como representantes de la Defensa, Marina, Guardia Nacional y el Centro Nacional de Inteligencia. No hay etiquetas asociadas a éste artículo.")</f>
        <v>Durante la conferencia matutina de la presidenta Claudia Sheinbaum Pardo, se destacó la reducción del 42% en el promedio diario de homicidios dolosos en el Estado de México, resultado de la estrategia integral de seguridad impulsada en las Mesas de Paz que encabeza la gobernadora Delfina Gómez Álvarez. “Presidí la Mesa de Paz de este día, en Palacio de Gobierno, donde dimos seguimiento a la #MañaneraDelPueblo en la cual se compartió que en el Estado de México se registra una disminución de 42% en el promedio diario de homicidio doloso, de septiembre de 2024 a octubre de 2025. Trabajamos por un #EdoMéx seguro y tranquilo para todas y todos. #ElPoderDeServir”, escribió la gobernadora Delfina Gómez en sus redes sociales. El informe presentado por la Secretaria Ejecutiva del Sistema Nacional de Seguridad Pública, Marcela Figueroa Franco, mostró que la entidad ha dejado de ocupar los primeros lugares de violencia letal, al pasar del segundo al quinto sitio nacional, con una disminución constante durante los últimos trece meses. En el comparativo de septiembre de 2024 a octubre de 2025, el Estado de México redujo el promedio diario de 6.63 a 3.87 homicidios, una baja del 42%. El gobierno mexiquense resalta que esta tendencia se debe a la coordinación permanente de la Mesa Paz, integrada por autoridades federales, estatales y municipales, así como a acciones focalizadas en los municipios de mayor incidencia. En la Mesa de Paz número 212 del año participaron Horacio Duarte Olivares, Secretario General de Gobierno; Cristóbal Castañeda Camarillo, Secretario de Seguridad; Maricela López Urbina, Secretaria Técnica de la Mesa de Paz; José Luis Cervantes Martínez, Fiscal General de Justicia del Estado de México; Héctor Macedo García, Presidente del Poder Judicial del Estado de México; Víctor Leopoldo Delgado Pérez, Presidente de la CODHEM, así como representantes de la Defensa, Marina, Guardia Nacional y el Centro Nacional de Inteligencia. No hay etiquetas asociadas a éste artículo.</v>
      </c>
      <c r="O179" s="15">
        <f>IFERROR(__xludf.DUMMYFUNCTION("""COMPUTED_VALUE"""),1.0)</f>
        <v>1</v>
      </c>
      <c r="P179" s="2"/>
      <c r="Q179" s="17">
        <f>IFERROR(__xludf.DUMMYFUNCTION("""COMPUTED_VALUE"""),8.0)</f>
        <v>8</v>
      </c>
      <c r="R179" s="2" t="str">
        <f>IFERROR(__xludf.DUMMYFUNCTION("""COMPUTED_VALUE"""),"High")</f>
        <v>High</v>
      </c>
      <c r="S179" s="17">
        <f>IFERROR(__xludf.DUMMYFUNCTION("""COMPUTED_VALUE"""),3.0)</f>
        <v>3</v>
      </c>
      <c r="T179" s="17">
        <f>IFERROR(__xludf.DUMMYFUNCTION("""COMPUTED_VALUE"""),0.0)</f>
        <v>0</v>
      </c>
      <c r="U179" s="14">
        <f>IFERROR(__xludf.DUMMYFUNCTION("""COMPUTED_VALUE"""),2.0)</f>
        <v>2</v>
      </c>
      <c r="V179" s="14" t="s">
        <v>1186</v>
      </c>
      <c r="W179" s="2" t="s">
        <v>190</v>
      </c>
      <c r="X179" s="2" t="s">
        <v>190</v>
      </c>
      <c r="Y179" s="13"/>
      <c r="Z179" s="14">
        <v>0.0</v>
      </c>
      <c r="AA179" s="14">
        <v>0.0</v>
      </c>
      <c r="AB179" s="14">
        <v>0.0</v>
      </c>
      <c r="AC179" s="14">
        <v>0.0</v>
      </c>
      <c r="AD179" s="2">
        <v>0.0</v>
      </c>
      <c r="AE179" s="2">
        <v>1.0</v>
      </c>
      <c r="AF179" s="2" t="s">
        <v>1186</v>
      </c>
      <c r="AG179" s="2" t="s">
        <v>1202</v>
      </c>
      <c r="AH179" s="2">
        <v>0.0</v>
      </c>
    </row>
    <row r="180" ht="15.75" customHeight="1">
      <c r="A180" s="2" t="str">
        <f>IFERROR(__xludf.DUMMYFUNCTION("""COMPUTED_VALUE"""),"Diario Portal")</f>
        <v>Diario Portal</v>
      </c>
      <c r="B180" s="12" t="str">
        <f>IFERROR(__xludf.DUMMYFUNCTION("""COMPUTED_VALUE"""),"Detienen al  exdirector  del TRIJAEM  por presunta  participación  en el desvío  de 32 mdp")</f>
        <v>Detienen al  exdirector  del TRIJAEM  por presunta  participación  en el desvío  de 32 mdp</v>
      </c>
      <c r="C180" s="13" t="str">
        <f>IFERROR(__xludf.DUMMYFUNCTION("""COMPUTED_VALUE"""),"Sin Fecha")</f>
        <v>Sin Fecha</v>
      </c>
      <c r="D180" s="14">
        <f>IFERROR(__xludf.DUMMYFUNCTION("""COMPUTED_VALUE"""),2.0)</f>
        <v>2</v>
      </c>
      <c r="E180" s="15">
        <f>IFERROR(__xludf.DUMMYFUNCTION("""COMPUTED_VALUE"""),0.0)</f>
        <v>0</v>
      </c>
      <c r="F180" s="2" t="str">
        <f>IFERROR(__xludf.DUMMYFUNCTION("""COMPUTED_VALUE"""),"Neutral")</f>
        <v>Neutral</v>
      </c>
      <c r="G180" s="15">
        <f>IFERROR(__xludf.DUMMYFUNCTION("""COMPUTED_VALUE"""),0.5031)</f>
        <v>0.5031</v>
      </c>
      <c r="H180" s="2" t="str">
        <f>IFERROR(__xludf.DUMMYFUNCTION("""COMPUTED_VALUE"""),"Operativo policial o detención")</f>
        <v>Operativo policial o detención</v>
      </c>
      <c r="I180" s="2" t="str">
        <f>IFERROR(__xludf.DUMMYFUNCTION("""COMPUTED_VALUE"""),"N/A")</f>
        <v>N/A</v>
      </c>
      <c r="J180" s="2" t="str">
        <f>IFERROR(__xludf.DUMMYFUNCTION("""COMPUTED_VALUE"""),"Monitoreo general.")</f>
        <v>Monitoreo general.</v>
      </c>
      <c r="K180" s="2" t="str">
        <f>IFERROR(__xludf.DUMMYFUNCTION("""COMPUTED_VALUE"""),"Estado de México")</f>
        <v>Estado de México</v>
      </c>
      <c r="L180" s="2" t="str">
        <f>IFERROR(__xludf.DUMMYFUNCTION("""COMPUTED_VALUE"""),"Estado de México")</f>
        <v>Estado de México</v>
      </c>
      <c r="M180" s="16" t="str">
        <f>IFERROR(__xludf.DUMMYFUNCTION("""COMPUTED_VALUE"""),"https://diarioportal.com/seguridad-y-justicia/detienen-al-exdirector-del-trijaem-por-presunta-participacion-en-el-desvio-de-32-mdp")</f>
        <v>https://diarioportal.com/seguridad-y-justicia/detienen-al-exdirector-del-trijaem-por-presunta-participacion-en-el-desvio-de-32-mdp</v>
      </c>
      <c r="N180" s="2" t="str">
        <f>IFERROR(__xludf.DUMMYFUNCTION("""COMPUTED_VALUE"""),"Elementos de la Fiscalía General de Justicia del Estado de México (FGJEM) detuvieron a Tomás 'N', ex director de Administración del Tribunal de Justicia Administrativa del Estado de México (Trijaem). A través de sus redes sociales, la FGJEM dio a conocer "&amp;"que le fue cumplimentada una orden de aprehensión por su probable intervención en el delito de abuso de confianza, en agravio del referido órgano autónomo, ya que presuntamente realizó, en colaboración con otros sujetos, transferencias bancarias por un mo"&amp;"nto de 32 millones 482 mil 330 pesos. De acuerdo con la dependencia, envió dichos recursos a diversos destinatarios mediante el uso de dispositivos electrónicos con los que manejaba la cuenta bancaria del TRIJAEM, con lo que habría aprovechado la confianz"&amp;"a y responsabilidades inherentes a su cargo. Por ello, la Fiscalía Mexiquense continúa la investigación por estos hechos. Cabe señalar que en el pasado mes de agosto fue detenido por este mismo hecho Omar 'N', quien se desempeñó como Jefe del Departamento"&amp;" de Servicios Financieros del Trijaem, acusado por su probable intervención en el delito de abuso de confianza, en agravio de dicho órgano autónomo. Los hechos que se le imputan ocurrieron el 1 de diciembre de 2023, cuando, presuntamente se aprovechó de l"&amp;"a confianza y responsabilidades inherentes a su cargo para intentar realizar transferencias bancarias por la cantidad referida. Después del hecho, el Tribunal de Justicia Administrativa del Estado de México (Trijaem) reconoció el hackeo de una de sus cuen"&amp;"tas bancarias, acción mediante la que, se dijo entonces, fueron sustraídos alrededor de 30 millones de pesos, por lo que presentó una denuncia ante la FGJEM tras detectar movimientos no reconocidos en sus cuentas bancarias. La Fiscalía Mexiquense inició l"&amp;"a carpeta de investigación 496/2023 y en contra de quien resulte responsable, por falsificación y utilización indebida de títulos al portador, documentos de crédito público y documentos relativos al crédito, en agravio de la fe pública Además, lograron el"&amp;" congelamiento inmediato de los movimientos financieros ante la Comisión Nacional Bancaria y de Valores y solicitó, con la intervención del juez, un informe sobre la pertenencia de los números de cuenta receptora. El Trijaem aseguró que la institución ban"&amp;"caria realizó el reintegro total de los recursos comprometidos, evitando un daño patrimonial gracias a que, hasta ese día, no se habían concretado las transferencias y los movimientos se registraban ""en tránsito"". No hay etiquetas asociadas a éste artíc"&amp;"ulo.")</f>
        <v>Elementos de la Fiscalía General de Justicia del Estado de México (FGJEM) detuvieron a Tomás 'N', ex director de Administración del Tribunal de Justicia Administrativa del Estado de México (Trijaem). A través de sus redes sociales, la FGJEM dio a conocer que le fue cumplimentada una orden de aprehensión por su probable intervención en el delito de abuso de confianza, en agravio del referido órgano autónomo, ya que presuntamente realizó, en colaboración con otros sujetos, transferencias bancarias por un monto de 32 millones 482 mil 330 pesos. De acuerdo con la dependencia, envió dichos recursos a diversos destinatarios mediante el uso de dispositivos electrónicos con los que manejaba la cuenta bancaria del TRIJAEM, con lo que habría aprovechado la confianza y responsabilidades inherentes a su cargo. Por ello, la Fiscalía Mexiquense continúa la investigación por estos hechos. Cabe señalar que en el pasado mes de agosto fue detenido por este mismo hecho Omar 'N', quien se desempeñó como Jefe del Departamento de Servicios Financieros del Trijaem, acusado por su probable intervención en el delito de abuso de confianza, en agravio de dicho órgano autónomo. Los hechos que se le imputan ocurrieron el 1 de diciembre de 2023, cuando, presuntamente se aprovechó de la confianza y responsabilidades inherentes a su cargo para intentar realizar transferencias bancarias por la cantidad referida. Después del hecho, el Tribunal de Justicia Administrativa del Estado de México (Trijaem) reconoció el hackeo de una de sus cuentas bancarias, acción mediante la que, se dijo entonces, fueron sustraídos alrededor de 30 millones de pesos, por lo que presentó una denuncia ante la FGJEM tras detectar movimientos no reconocidos en sus cuentas bancarias. La Fiscalía Mexiquense inició la carpeta de investigación 496/2023 y en contra de quien resulte responsable, por falsificación y utilización indebida de títulos al portador, documentos de crédito público y documentos relativos al crédito, en agravio de la fe pública Además, lograron el congelamiento inmediato de los movimientos financieros ante la Comisión Nacional Bancaria y de Valores y solicitó, con la intervención del juez, un informe sobre la pertenencia de los números de cuenta receptora. El Trijaem aseguró que la institución bancaria realizó el reintegro total de los recursos comprometidos, evitando un daño patrimonial gracias a que, hasta ese día, no se habían concretado las transferencias y los movimientos se registraban "en tránsito". No hay etiquetas asociadas a éste artículo.</v>
      </c>
      <c r="O180" s="15">
        <f>IFERROR(__xludf.DUMMYFUNCTION("""COMPUTED_VALUE"""),0.914)</f>
        <v>0.914</v>
      </c>
      <c r="P180" s="2"/>
      <c r="Q180" s="17">
        <f>IFERROR(__xludf.DUMMYFUNCTION("""COMPUTED_VALUE"""),5.0)</f>
        <v>5</v>
      </c>
      <c r="R180" s="2" t="str">
        <f>IFERROR(__xludf.DUMMYFUNCTION("""COMPUTED_VALUE"""),"Medium")</f>
        <v>Medium</v>
      </c>
      <c r="S180" s="17">
        <f>IFERROR(__xludf.DUMMYFUNCTION("""COMPUTED_VALUE"""),1.0)</f>
        <v>1</v>
      </c>
      <c r="T180" s="17">
        <f>IFERROR(__xludf.DUMMYFUNCTION("""COMPUTED_VALUE"""),0.0)</f>
        <v>0</v>
      </c>
      <c r="U180" s="14">
        <f>IFERROR(__xludf.DUMMYFUNCTION("""COMPUTED_VALUE"""),2.0)</f>
        <v>2</v>
      </c>
      <c r="V180" s="14" t="s">
        <v>1186</v>
      </c>
      <c r="W180" s="2" t="s">
        <v>190</v>
      </c>
      <c r="X180" s="2" t="s">
        <v>190</v>
      </c>
      <c r="Y180" s="13"/>
      <c r="Z180" s="14">
        <v>0.0</v>
      </c>
      <c r="AA180" s="14">
        <v>0.0</v>
      </c>
      <c r="AB180" s="14">
        <v>0.0</v>
      </c>
      <c r="AC180" s="14">
        <v>0.0</v>
      </c>
      <c r="AD180" s="2">
        <v>0.0</v>
      </c>
      <c r="AE180" s="2">
        <v>0.0</v>
      </c>
      <c r="AF180" s="2" t="s">
        <v>1186</v>
      </c>
      <c r="AG180" s="2" t="s">
        <v>1202</v>
      </c>
      <c r="AH180" s="2">
        <v>0.0</v>
      </c>
    </row>
    <row r="181" ht="15.75" customHeight="1">
      <c r="A181" s="2" t="str">
        <f>IFERROR(__xludf.DUMMYFUNCTION("""COMPUTED_VALUE"""),"Diario Portal")</f>
        <v>Diario Portal</v>
      </c>
      <c r="B181" s="12" t="str">
        <f>IFERROR(__xludf.DUMMYFUNCTION("""COMPUTED_VALUE"""),"Gobierno de Ecatepec recupera 198 millones de litros de agua que era hichicoleada")</f>
        <v>Gobierno de Ecatepec recupera 198 millones de litros de agua que era hichicoleada</v>
      </c>
      <c r="C181" s="13" t="str">
        <f>IFERROR(__xludf.DUMMYFUNCTION("""COMPUTED_VALUE"""),"2025-11-10 20:00:44")</f>
        <v>2025-11-10 20:00:44</v>
      </c>
      <c r="D181" s="14">
        <f>IFERROR(__xludf.DUMMYFUNCTION("""COMPUTED_VALUE"""),2.0)</f>
        <v>2</v>
      </c>
      <c r="E181" s="15">
        <f>IFERROR(__xludf.DUMMYFUNCTION("""COMPUTED_VALUE"""),-0.5643)</f>
        <v>-0.5643</v>
      </c>
      <c r="F181" s="2" t="str">
        <f>IFERROR(__xludf.DUMMYFUNCTION("""COMPUTED_VALUE"""),"Negativo")</f>
        <v>Negativo</v>
      </c>
      <c r="G181" s="15">
        <f>IFERROR(__xludf.DUMMYFUNCTION("""COMPUTED_VALUE"""),0.5643)</f>
        <v>0.5643</v>
      </c>
      <c r="H181" s="2" t="str">
        <f>IFERROR(__xludf.DUMMYFUNCTION("""COMPUTED_VALUE"""),"Operativo policial o detención")</f>
        <v>Operativo policial o detención</v>
      </c>
      <c r="I181" s="2" t="str">
        <f>IFERROR(__xludf.DUMMYFUNCTION("""COMPUTED_VALUE"""),"N/A")</f>
        <v>N/A</v>
      </c>
      <c r="J181" s="2" t="str">
        <f>IFERROR(__xludf.DUMMYFUNCTION("""COMPUTED_VALUE"""),"Monitoreo general.")</f>
        <v>Monitoreo general.</v>
      </c>
      <c r="K181" s="2" t="str">
        <f>IFERROR(__xludf.DUMMYFUNCTION("""COMPUTED_VALUE"""),"Ecatepec")</f>
        <v>Ecatepec</v>
      </c>
      <c r="L181" s="2" t="str">
        <f>IFERROR(__xludf.DUMMYFUNCTION("""COMPUTED_VALUE"""),"Estado de México")</f>
        <v>Estado de México</v>
      </c>
      <c r="M181" s="16" t="str">
        <f>IFERROR(__xludf.DUMMYFUNCTION("""COMPUTED_VALUE"""),"https://diarioportal.com/seguridad-y-justicia/gobierno-de-ecatepec-recupera-198-millones-de-litros-de-agua-que-era-hichicoleada")</f>
        <v>https://diarioportal.com/seguridad-y-justicia/gobierno-de-ecatepec-recupera-198-millones-de-litros-de-agua-que-era-hichicoleada</v>
      </c>
      <c r="N181" s="2" t="str">
        <f>IFERROR(__xludf.DUMMYFUNCTION("""COMPUTED_VALUE"""),"Huachicoleros en Ecatepec se robaban más de 198 millones de litros de agua al mes, lo que equivale a más de 20 mil pipas de 10 mil litros, así lo informó la presidenta municipal Azucena Cisneros Coss. La presidenta municipal Azucena Cisneros Coss, informó"&amp;" que tras el Operativo Caudal donde se intervinieron 11 inmuebles, y se logró la recuperación de más de 198 millones de litros de agua que se extraían al mes clandestinamente. Dijo que desde el primer día de su gobierno ha realizado el combate firme front"&amp;"al al huachicoleo del agua, el cual fue una de las formas de corrupción más dañinas que ha sufrido el municipio y que gobiernos anteriores lo solaparon. Explicó que gobiernos anteriores como el de Fernando Vilchis Contreras solapaba el robo del agua, el c"&amp;"ual estaba liderados por organizaciones y sindicatos que la comercializaban el líquido a elevados costos. Explicó que tan solo de un pozo extraían 600 mil litros de agua al día, lo que equivale de los 11 tomas alrededor de 198 millones de litros al mes. A"&amp;"seguró que tras la suspensión de dichas tomas clandestinas ahora el caudal mejoró en las zonas y con mayor presión el agua llega a los hogares. Dijo que gracias a todas las acciones más de 300 mil habitantes de Ecatepec, han recuperado el agua por la red "&amp;" y dejó de ser un negocio para solo unos cuantos. “Gracias a todas las acciones más de 300 mil habitantes de Ecatepec, han recuperado el agua por la red, esa era la magnitud del robo, hoy esa agua vuelve a los hogares una demanda histórica que el agua reg"&amp;"rese por la red desde que iniciamos esta transformación con honestidad, hace un año asumimos el compromiso claro que el agua dejara de ser un negocio para unos cuantos y se volviera un derecho pleno de los y las ciudadanas durante décadas”, comentó. Recal"&amp;"có que los vecinos de Ecatepec padecieron abandono, de precariedad y de corrupción; dijo que colonias enteras vivieron 10 y hasta 20 años sin recibir agua por la red. Denunció que hospitales privados, empresas, comercios y vecinos eran obligadas a comprar"&amp;"les pipas irregulares a mayor costo, quienes lucraban con la necesidad del pueblo. Aseguró que en sus primeros diez meses de su gobierno está corrigiendo la injusticia, extorsión y el combate al huachicoleo del agua. Por su parte el director del organismo"&amp;" del agua de Ecatepec Sapase Francisco Reyes Vázquez, detalló que hasta el momento se han intervenido más de 100 puntos de huachicol, donde en algunos puntos se localizaron por lo menos cinco tomas clandestinas. Comentó que la calidad del agua que se abas"&amp;"tecian por medio de pipas no era la mejor por qué no cumplía con la norma técnica PROY-NTE-001-CTAEM-APP-2016, además de que dichos inmuebles no contaban con los permisos correspondientes y trabajaban de manera clandestina. Cisneros Coss, aseguró que se m"&amp;"antiene un operativo integral para desmantelar tomas clandestinas de agua, reforzar la vigilancia y responder de inmediato a cualquier alerta, sin embargo hizo un llamado a los vecinos a denunciar cualquier actividad irregular. No hay etiquetas asociadas "&amp;"a éste artículo.")</f>
        <v>Huachicoleros en Ecatepec se robaban más de 198 millones de litros de agua al mes, lo que equivale a más de 20 mil pipas de 10 mil litros, así lo informó la presidenta municipal Azucena Cisneros Coss. La presidenta municipal Azucena Cisneros Coss, informó que tras el Operativo Caudal donde se intervinieron 11 inmuebles, y se logró la recuperación de más de 198 millones de litros de agua que se extraían al mes clandestinamente. Dijo que desde el primer día de su gobierno ha realizado el combate firme frontal al huachicoleo del agua, el cual fue una de las formas de corrupción más dañinas que ha sufrido el municipio y que gobiernos anteriores lo solaparon. Explicó que gobiernos anteriores como el de Fernando Vilchis Contreras solapaba el robo del agua, el cual estaba liderados por organizaciones y sindicatos que la comercializaban el líquido a elevados costos. Explicó que tan solo de un pozo extraían 600 mil litros de agua al día, lo que equivale de los 11 tomas alrededor de 198 millones de litros al mes. Aseguró que tras la suspensión de dichas tomas clandestinas ahora el caudal mejoró en las zonas y con mayor presión el agua llega a los hogares. Dijo que gracias a todas las acciones más de 300 mil habitantes de Ecatepec, han recuperado el agua por la red  y dejó de ser un negocio para solo unos cuantos. “Gracias a todas las acciones más de 300 mil habitantes de Ecatepec, han recuperado el agua por la red, esa era la magnitud del robo, hoy esa agua vuelve a los hogares una demanda histórica que el agua regrese por la red desde que iniciamos esta transformación con honestidad, hace un año asumimos el compromiso claro que el agua dejara de ser un negocio para unos cuantos y se volviera un derecho pleno de los y las ciudadanas durante décadas”, comentó. Recalcó que los vecinos de Ecatepec padecieron abandono, de precariedad y de corrupción; dijo que colonias enteras vivieron 10 y hasta 20 años sin recibir agua por la red. Denunció que hospitales privados, empresas, comercios y vecinos eran obligadas a comprarles pipas irregulares a mayor costo, quienes lucraban con la necesidad del pueblo. Aseguró que en sus primeros diez meses de su gobierno está corrigiendo la injusticia, extorsión y el combate al huachicoleo del agua. Por su parte el director del organismo del agua de Ecatepec Sapase Francisco Reyes Vázquez, detalló que hasta el momento se han intervenido más de 100 puntos de huachicol, donde en algunos puntos se localizaron por lo menos cinco tomas clandestinas. Comentó que la calidad del agua que se abastecian por medio de pipas no era la mejor por qué no cumplía con la norma técnica PROY-NTE-001-CTAEM-APP-2016, además de que dichos inmuebles no contaban con los permisos correspondientes y trabajaban de manera clandestina. Cisneros Coss, aseguró que se mantiene un operativo integral para desmantelar tomas clandestinas de agua, reforzar la vigilancia y responder de inmediato a cualquier alerta, sin embargo hizo un llamado a los vecinos a denunciar cualquier actividad irregular. No hay etiquetas asociadas a éste artículo.</v>
      </c>
      <c r="O181" s="15">
        <f>IFERROR(__xludf.DUMMYFUNCTION("""COMPUTED_VALUE"""),0.351)</f>
        <v>0.351</v>
      </c>
      <c r="P181" s="2"/>
      <c r="Q181" s="17">
        <f>IFERROR(__xludf.DUMMYFUNCTION("""COMPUTED_VALUE"""),8.5)</f>
        <v>8.5</v>
      </c>
      <c r="R181" s="2" t="str">
        <f>IFERROR(__xludf.DUMMYFUNCTION("""COMPUTED_VALUE"""),"High")</f>
        <v>High</v>
      </c>
      <c r="S181" s="17">
        <f>IFERROR(__xludf.DUMMYFUNCTION("""COMPUTED_VALUE"""),7.5)</f>
        <v>7.5</v>
      </c>
      <c r="T181" s="17">
        <f>IFERROR(__xludf.DUMMYFUNCTION("""COMPUTED_VALUE"""),0.0)</f>
        <v>0</v>
      </c>
      <c r="U181" s="14">
        <f>IFERROR(__xludf.DUMMYFUNCTION("""COMPUTED_VALUE"""),2.0)</f>
        <v>2</v>
      </c>
      <c r="V181" s="14">
        <v>2025.0</v>
      </c>
      <c r="W181" s="2" t="s">
        <v>1206</v>
      </c>
      <c r="X181" s="2" t="s">
        <v>1169</v>
      </c>
      <c r="Y181" s="13" t="s">
        <v>729</v>
      </c>
      <c r="Z181" s="14">
        <v>0.0</v>
      </c>
      <c r="AA181" s="14">
        <v>0.0</v>
      </c>
      <c r="AB181" s="14">
        <v>0.0</v>
      </c>
      <c r="AC181" s="14">
        <v>0.0</v>
      </c>
      <c r="AD181" s="2">
        <v>0.0</v>
      </c>
      <c r="AE181" s="2">
        <v>0.0</v>
      </c>
      <c r="AF181" s="2">
        <v>11.0</v>
      </c>
      <c r="AG181" s="2" t="s">
        <v>1208</v>
      </c>
      <c r="AH181" s="2">
        <v>0.0</v>
      </c>
    </row>
    <row r="182" ht="15.75" customHeight="1">
      <c r="A182" s="2" t="str">
        <f>IFERROR(__xludf.DUMMYFUNCTION("""COMPUTED_VALUE"""),"Diario Portal")</f>
        <v>Diario Portal</v>
      </c>
      <c r="B182" s="12" t="str">
        <f>IFERROR(__xludf.DUMMYFUNCTION("""COMPUTED_VALUE"""),"Sancionarán  a 9 policías  de Toluca por  agresión del  2 de octubre  a periodistas")</f>
        <v>Sancionarán  a 9 policías  de Toluca por  agresión del  2 de octubre  a periodistas</v>
      </c>
      <c r="C182" s="13" t="str">
        <f>IFERROR(__xludf.DUMMYFUNCTION("""COMPUTED_VALUE"""),"Sin Fecha")</f>
        <v>Sin Fecha</v>
      </c>
      <c r="D182" s="14">
        <f>IFERROR(__xludf.DUMMYFUNCTION("""COMPUTED_VALUE"""),3.0)</f>
        <v>3</v>
      </c>
      <c r="E182" s="15">
        <f>IFERROR(__xludf.DUMMYFUNCTION("""COMPUTED_VALUE"""),0.0)</f>
        <v>0</v>
      </c>
      <c r="F182" s="2" t="str">
        <f>IFERROR(__xludf.DUMMYFUNCTION("""COMPUTED_VALUE"""),"Neutral")</f>
        <v>Neutral</v>
      </c>
      <c r="G182" s="15">
        <f>IFERROR(__xludf.DUMMYFUNCTION("""COMPUTED_VALUE"""),0.4941)</f>
        <v>0.4941</v>
      </c>
      <c r="H182" s="2" t="str">
        <f>IFERROR(__xludf.DUMMYFUNCTION("""COMPUTED_VALUE"""),"Protestas o bloqueos viales")</f>
        <v>Protestas o bloqueos viales</v>
      </c>
      <c r="I182" s="2" t="str">
        <f>IFERROR(__xludf.DUMMYFUNCTION("""COMPUTED_VALUE"""),"manifestación")</f>
        <v>manifestación</v>
      </c>
      <c r="J182" s="2" t="str">
        <f>IFERROR(__xludf.DUMMYFUNCTION("""COMPUTED_VALUE"""),"Operaciones: Notificar zonas a evitar (Waze/Maps).")</f>
        <v>Operaciones: Notificar zonas a evitar (Waze/Maps).</v>
      </c>
      <c r="K182" s="2" t="str">
        <f>IFERROR(__xludf.DUMMYFUNCTION("""COMPUTED_VALUE"""),"Toluca")</f>
        <v>Toluca</v>
      </c>
      <c r="L182" s="2" t="str">
        <f>IFERROR(__xludf.DUMMYFUNCTION("""COMPUTED_VALUE"""),"Estado de México")</f>
        <v>Estado de México</v>
      </c>
      <c r="M182" s="16" t="str">
        <f>IFERROR(__xludf.DUMMYFUNCTION("""COMPUTED_VALUE"""),"https://diarioportal.com/seguridad-y-justicia/sancionaran-a-9-policias-de-toluca-por-agresion-del-2-de-octubre-a-periodistas")</f>
        <v>https://diarioportal.com/seguridad-y-justicia/sancionaran-a-9-policias-de-toluca-por-agresion-del-2-de-octubre-a-periodistas</v>
      </c>
      <c r="N182" s="2" t="str">
        <f>IFERROR(__xludf.DUMMYFUNCTION("""COMPUTED_VALUE"""),"Con el objetivo de construir un protocolo de actuación que atienda las particularidades del municipio de Toluca y fortalezca la protección a periodistas, se llevó a cabo una Mesa de Diálogo orientada a la creación de mecanismos, protocolos y políticas púb"&amp;"licas que brinden tanto certeza como seguridad en el desempeño de sus actividades. En un diálogo propuesto por el presidente municipal, Ricardo Moreno Bastida, se llevó a cabo este encuentro entre autoridades estatales, municipales y representantes de med"&amp;"ios de comunicación impresos, electrónicos y digitales, quienes intercambiaron experiencias, inquietudes y propuestas para enriquecer el documento base del protocolo municipal. Uno de los puntos tratados fueron los hechos ocurridos el pasado 2 de octubre,"&amp;" cuando la policía municipal contuvo una manifestación en el centro de la ciudad, por lo que estas aportaciones permitirán fortalecer las acciones institucionales en materia de respeto a la libertad de expresión y de manifestación. También se destacó la i"&amp;"mportancia de capacitar de forma eficaz y permanente al personal policial de Toluca, así como a los servidores públicos municipales en temas de derechos humanos, uso legítimo de la fuerza y respeto a los derechos constitucionales, ello con el propósito de"&amp;" prevenir y mitigar cualquier tipo de violencia en el municipio. Los funcionarios municipales informaron que dan seguimiento a las denuncias interpuestas por comunicadores ante la Comisión de Derechos Humanos del Estado de México (Codhem) y la Unidad de A"&amp;"suntos Internos de la Policía Municipal, por lo cual ya fueron identificados nueve policías agresores, quienes serán sancionados de acuerdo con la Ley de Responsabilidades Administrativas. Destacaron que este ejercicio es una respuesta clara, directa y re"&amp;"sponsable a la exigencia de que en Toluca se ejerza el periodismo con seguridad y dignidad. Cabe señalar que durante el desarrollo de la mesa de trabajo se abordaron tres líneas de acción prioritarias, que son capacitación eficaz y continua para la policí"&amp;"a municipal, la coordinación interinstitucional, así como la implementación de medidas preventivas que eviten cualquier acción que vulnere la integridad física o el desempeño profesional de quienes ejercen la libertad de expresión. No hay etiquetas asocia"&amp;"das a éste artículo.")</f>
        <v>Con el objetivo de construir un protocolo de actuación que atienda las particularidades del municipio de Toluca y fortalezca la protección a periodistas, se llevó a cabo una Mesa de Diálogo orientada a la creación de mecanismos, protocolos y políticas públicas que brinden tanto certeza como seguridad en el desempeño de sus actividades. En un diálogo propuesto por el presidente municipal, Ricardo Moreno Bastida, se llevó a cabo este encuentro entre autoridades estatales, municipales y representantes de medios de comunicación impresos, electrónicos y digitales, quienes intercambiaron experiencias, inquietudes y propuestas para enriquecer el documento base del protocolo municipal. Uno de los puntos tratados fueron los hechos ocurridos el pasado 2 de octubre, cuando la policía municipal contuvo una manifestación en el centro de la ciudad, por lo que estas aportaciones permitirán fortalecer las acciones institucionales en materia de respeto a la libertad de expresión y de manifestación. También se destacó la importancia de capacitar de forma eficaz y permanente al personal policial de Toluca, así como a los servidores públicos municipales en temas de derechos humanos, uso legítimo de la fuerza y respeto a los derechos constitucionales, ello con el propósito de prevenir y mitigar cualquier tipo de violencia en el municipio. Los funcionarios municipales informaron que dan seguimiento a las denuncias interpuestas por comunicadores ante la Comisión de Derechos Humanos del Estado de México (Codhem) y la Unidad de Asuntos Internos de la Policía Municipal, por lo cual ya fueron identificados nueve policías agresores, quienes serán sancionados de acuerdo con la Ley de Responsabilidades Administrativas. Destacaron que este ejercicio es una respuesta clara, directa y responsable a la exigencia de que en Toluca se ejerza el periodismo con seguridad y dignidad. Cabe señalar que durante el desarrollo de la mesa de trabajo se abordaron tres líneas de acción prioritarias, que son capacitación eficaz y continua para la policía municipal, la coordinación interinstitucional, así como la implementación de medidas preventivas que eviten cualquier acción que vulnere la integridad física o el desempeño profesional de quienes ejercen la libertad de expresión. No hay etiquetas asociadas a éste artículo.</v>
      </c>
      <c r="O182" s="15">
        <f>IFERROR(__xludf.DUMMYFUNCTION("""COMPUTED_VALUE"""),1.0)</f>
        <v>1</v>
      </c>
      <c r="P182" s="2"/>
      <c r="Q182" s="17">
        <f>IFERROR(__xludf.DUMMYFUNCTION("""COMPUTED_VALUE"""),8.5)</f>
        <v>8.5</v>
      </c>
      <c r="R182" s="2" t="str">
        <f>IFERROR(__xludf.DUMMYFUNCTION("""COMPUTED_VALUE"""),"High")</f>
        <v>High</v>
      </c>
      <c r="S182" s="17">
        <f>IFERROR(__xludf.DUMMYFUNCTION("""COMPUTED_VALUE"""),5.5)</f>
        <v>5.5</v>
      </c>
      <c r="T182" s="17">
        <f>IFERROR(__xludf.DUMMYFUNCTION("""COMPUTED_VALUE"""),0.0)</f>
        <v>0</v>
      </c>
      <c r="U182" s="14">
        <f>IFERROR(__xludf.DUMMYFUNCTION("""COMPUTED_VALUE"""),2.0)</f>
        <v>2</v>
      </c>
      <c r="V182" s="14" t="s">
        <v>1186</v>
      </c>
      <c r="W182" s="2" t="s">
        <v>190</v>
      </c>
      <c r="X182" s="2" t="s">
        <v>190</v>
      </c>
      <c r="Y182" s="13"/>
      <c r="Z182" s="14">
        <v>0.0</v>
      </c>
      <c r="AA182" s="14">
        <v>0.0</v>
      </c>
      <c r="AB182" s="14">
        <v>0.0</v>
      </c>
      <c r="AC182" s="14">
        <v>0.0</v>
      </c>
      <c r="AD182" s="2">
        <v>0.0</v>
      </c>
      <c r="AE182" s="2">
        <v>0.0</v>
      </c>
      <c r="AF182" s="2" t="s">
        <v>1186</v>
      </c>
      <c r="AG182" s="2" t="s">
        <v>1216</v>
      </c>
      <c r="AH182" s="2">
        <v>0.0</v>
      </c>
    </row>
    <row r="183" ht="15.75" customHeight="1">
      <c r="A183" s="2" t="str">
        <f>IFERROR(__xludf.DUMMYFUNCTION("""COMPUTED_VALUE"""),"Diario Portal")</f>
        <v>Diario Portal</v>
      </c>
      <c r="B183" s="12" t="str">
        <f>IFERROR(__xludf.DUMMYFUNCTION("""COMPUTED_VALUE"""),"Permanecen  a la baja los  crímenes en  Zona Oriente  Edomex con   operación del   Mando Unificado")</f>
        <v>Permanecen  a la baja los  crímenes en  Zona Oriente  Edomex con   operación del   Mando Unificado</v>
      </c>
      <c r="C183" s="13" t="str">
        <f>IFERROR(__xludf.DUMMYFUNCTION("""COMPUTED_VALUE"""),"Sin Fecha")</f>
        <v>Sin Fecha</v>
      </c>
      <c r="D183" s="14">
        <f>IFERROR(__xludf.DUMMYFUNCTION("""COMPUTED_VALUE"""),4.0)</f>
        <v>4</v>
      </c>
      <c r="E183" s="15">
        <f>IFERROR(__xludf.DUMMYFUNCTION("""COMPUTED_VALUE"""),0.0)</f>
        <v>0</v>
      </c>
      <c r="F183" s="2" t="str">
        <f>IFERROR(__xludf.DUMMYFUNCTION("""COMPUTED_VALUE"""),"Neutral")</f>
        <v>Neutral</v>
      </c>
      <c r="G183" s="15">
        <f>IFERROR(__xludf.DUMMYFUNCTION("""COMPUTED_VALUE"""),0.4817)</f>
        <v>0.4817</v>
      </c>
      <c r="H183" s="2" t="str">
        <f>IFERROR(__xludf.DUMMYFUNCTION("""COMPUTED_VALUE"""),"Delito violento, robo o asalto")</f>
        <v>Delito violento, robo o asalto</v>
      </c>
      <c r="I183" s="2" t="str">
        <f>IFERROR(__xludf.DUMMYFUNCTION("""COMPUTED_VALUE"""),"homicidio")</f>
        <v>homicidio</v>
      </c>
      <c r="J183" s="2" t="str">
        <f>IFERROR(__xludf.DUMMYFUNCTION("""COMPUTED_VALUE"""),"Prevención PAX: Contactos de confianza.")</f>
        <v>Prevención PAX: Contactos de confianza.</v>
      </c>
      <c r="K183" s="2" t="str">
        <f>IFERROR(__xludf.DUMMYFUNCTION("""COMPUTED_VALUE"""),"Estado de México")</f>
        <v>Estado de México</v>
      </c>
      <c r="L183" s="2" t="str">
        <f>IFERROR(__xludf.DUMMYFUNCTION("""COMPUTED_VALUE"""),"Estado de México")</f>
        <v>Estado de México</v>
      </c>
      <c r="M183" s="16" t="str">
        <f>IFERROR(__xludf.DUMMYFUNCTION("""COMPUTED_VALUE"""),"https://diarioportal.com/seguridad-y-justicia/permanecen-a-la-baja-los-crimenes-en-zona-oriente-edomex-con-operacion-del-mando-unificado")</f>
        <v>https://diarioportal.com/seguridad-y-justicia/permanecen-a-la-baja-los-crimenes-en-zona-oriente-edomex-con-operacion-del-mando-unificado</v>
      </c>
      <c r="N183" s="2" t="str">
        <f>IFERROR(__xludf.DUMMYFUNCTION("""COMPUTED_VALUE"""),"El Mando Unificado Oriente, impulsado por la gobernadora Delfina Gómez Álvarez y respaldada por la presidenta Claudia Sheinbaum Pardo, cumple 229 días de operación con resultados contundentes en Texcoco; en comparación con el mismo periodo previo a la imp"&amp;"lementación de la Estrategia Operativa en la región, los homicidios dolosos disminuyeron 35% y el robo de vehículos cayó 49%, consolidándose el impacto positivo del despliegue. “Hoy, presidí la Mesa de Paz en mi querido Texcoco, en donde se registra la di"&amp;"sminución del 35 % en homicidio doloso y el 49 % en robo de vehículo, durante los primeros 229 días de la implementación del Mando Unificado Oriente. En coordinación, el gobierno federal, el Estado y los municipios trabajamos con estrategias y acciones pa"&amp;"ra construir entornos de paz para las familias mexiquenses. #ElPoderDeServir”, señaló la gobernadora Delfina Gómez en sus redes sociales. Durante la Mesa de Paz, autoridades de la Secretaría de la Defensa Nacional (Defensa) informaron que en este municipi"&amp;"o del 1 al 8 de noviembre se registró solo un homicidio y cinco robos de automotores, lo que refleja la estrecha coordinación de los tres niveles de gobierno para avanzar en la construcción de entornos seguros para las familias texcocanas. El Mando Unific"&amp;"ado Oriente opera en 15 municipios: Chalco, Chicoloapan, Chimalhuacán, Ecatepec, Ixtapaluca, Cuautitlán Izcalli, Cuautitlán, Naucalpan, Nezahualcóyotl, La Paz, Texcoco, Tlalnepantla, Valle de Chalco, Tultitlán y Coacalco, articulando patrullajes, intelige"&amp;"ncia y presencia territorial. En la Mesa 211 del año participaron Horacio Duarte Olivares, Secretario General de Gobierno; Cristóbal Castañeda Camarillo, Secretario de Seguridad; Maricela López Urbina, Secretaria Técnica de la Mesa de Paz; José Luis Cerva"&amp;"ntes Martínez, Fiscal General de Justicia del Estado de México; así como representantes de la Defensa, Marina, Guardia Nacional y el Centro Nacional de Inteligencia. No hay etiquetas asociadas a éste artículo.")</f>
        <v>El Mando Unificado Oriente, impulsado por la gobernadora Delfina Gómez Álvarez y respaldada por la presidenta Claudia Sheinbaum Pardo, cumple 229 días de operación con resultados contundentes en Texcoco; en comparación con el mismo periodo previo a la implementación de la Estrategia Operativa en la región, los homicidios dolosos disminuyeron 35% y el robo de vehículos cayó 49%, consolidándose el impacto positivo del despliegue. “Hoy, presidí la Mesa de Paz en mi querido Texcoco, en donde se registra la disminución del 35 % en homicidio doloso y el 49 % en robo de vehículo, durante los primeros 229 días de la implementación del Mando Unificado Oriente. En coordinación, el gobierno federal, el Estado y los municipios trabajamos con estrategias y acciones para construir entornos de paz para las familias mexiquenses. #ElPoderDeServir”, señaló la gobernadora Delfina Gómez en sus redes sociales. Durante la Mesa de Paz, autoridades de la Secretaría de la Defensa Nacional (Defensa) informaron que en este municipio del 1 al 8 de noviembre se registró solo un homicidio y cinco robos de automotores, lo que refleja la estrecha coordinación de los tres niveles de gobierno para avanzar en la construcción de entornos seguros para las familias texcocanas. El Mando Unificado Oriente opera en 15 municipios: Chalco, Chicoloapan, Chimalhuacán, Ecatepec, Ixtapaluca, Cuautitlán Izcalli, Cuautitlán, Naucalpan, Nezahualcóyotl, La Paz, Texcoco, Tlalnepantla, Valle de Chalco, Tultitlán y Coacalco, articulando patrullajes, inteligencia y presencia territorial. En la Mesa 211 del año participaron Horacio Duarte Olivares, Secretario General de Gobierno; Cristóbal Castañeda Camarillo, Secretario de Seguridad; Maricela López Urbina, Secretaria Técnica de la Mesa de Paz; José Luis Cervantes Martínez, Fiscal General de Justicia del Estado de México; así como representantes de la Defensa, Marina, Guardia Nacional y el Centro Nacional de Inteligencia. No hay etiquetas asociadas a éste artículo.</v>
      </c>
      <c r="O183" s="15">
        <f>IFERROR(__xludf.DUMMYFUNCTION("""COMPUTED_VALUE"""),1.0)</f>
        <v>1</v>
      </c>
      <c r="P183" s="2"/>
      <c r="Q183" s="17">
        <f>IFERROR(__xludf.DUMMYFUNCTION("""COMPUTED_VALUE"""),6.0)</f>
        <v>6</v>
      </c>
      <c r="R183" s="2" t="str">
        <f>IFERROR(__xludf.DUMMYFUNCTION("""COMPUTED_VALUE"""),"High")</f>
        <v>High</v>
      </c>
      <c r="S183" s="17">
        <f>IFERROR(__xludf.DUMMYFUNCTION("""COMPUTED_VALUE"""),3.0)</f>
        <v>3</v>
      </c>
      <c r="T183" s="17">
        <f>IFERROR(__xludf.DUMMYFUNCTION("""COMPUTED_VALUE"""),0.0)</f>
        <v>0</v>
      </c>
      <c r="U183" s="14">
        <f>IFERROR(__xludf.DUMMYFUNCTION("""COMPUTED_VALUE"""),2.0)</f>
        <v>2</v>
      </c>
      <c r="V183" s="14" t="s">
        <v>1186</v>
      </c>
      <c r="W183" s="2" t="s">
        <v>190</v>
      </c>
      <c r="X183" s="2" t="s">
        <v>190</v>
      </c>
      <c r="Y183" s="13"/>
      <c r="Z183" s="14">
        <v>0.0</v>
      </c>
      <c r="AA183" s="14">
        <v>0.0</v>
      </c>
      <c r="AB183" s="14">
        <v>0.0</v>
      </c>
      <c r="AC183" s="14">
        <v>0.0</v>
      </c>
      <c r="AD183" s="2">
        <v>0.0</v>
      </c>
      <c r="AE183" s="2">
        <v>1.0</v>
      </c>
      <c r="AF183" s="2" t="s">
        <v>1186</v>
      </c>
      <c r="AG183" s="2" t="s">
        <v>1202</v>
      </c>
      <c r="AH183" s="2">
        <v>0.0</v>
      </c>
    </row>
    <row r="184" ht="15.75" customHeight="1">
      <c r="A184" s="2" t="str">
        <f>IFERROR(__xludf.DUMMYFUNCTION("""COMPUTED_VALUE"""),"Diario Portal")</f>
        <v>Diario Portal</v>
      </c>
      <c r="B184" s="12" t="str">
        <f>IFERROR(__xludf.DUMMYFUNCTION("""COMPUTED_VALUE"""),"Policías de Tlalnepantla enfrentan a ladrón armado que robó gasolinera y lo capturan en plena huida")</f>
        <v>Policías de Tlalnepantla enfrentan a ladrón armado que robó gasolinera y lo capturan en plena huida</v>
      </c>
      <c r="C184" s="13" t="str">
        <f>IFERROR(__xludf.DUMMYFUNCTION("""COMPUTED_VALUE"""),"2025-11-10 13:42:00")</f>
        <v>2025-11-10 13:42:00</v>
      </c>
      <c r="D184" s="14">
        <f>IFERROR(__xludf.DUMMYFUNCTION("""COMPUTED_VALUE"""),4.0)</f>
        <v>4</v>
      </c>
      <c r="E184" s="15">
        <f>IFERROR(__xludf.DUMMYFUNCTION("""COMPUTED_VALUE"""),-0.5025)</f>
        <v>-0.5025</v>
      </c>
      <c r="F184" s="2" t="str">
        <f>IFERROR(__xludf.DUMMYFUNCTION("""COMPUTED_VALUE"""),"Negativo")</f>
        <v>Negativo</v>
      </c>
      <c r="G184" s="15">
        <f>IFERROR(__xludf.DUMMYFUNCTION("""COMPUTED_VALUE"""),0.5025)</f>
        <v>0.5025</v>
      </c>
      <c r="H184" s="2" t="str">
        <f>IFERROR(__xludf.DUMMYFUNCTION("""COMPUTED_VALUE"""),"Operativo policial o detención")</f>
        <v>Operativo policial o detención</v>
      </c>
      <c r="I184" s="2" t="str">
        <f>IFERROR(__xludf.DUMMYFUNCTION("""COMPUTED_VALUE"""),"N/A")</f>
        <v>N/A</v>
      </c>
      <c r="J184" s="2" t="str">
        <f>IFERROR(__xludf.DUMMYFUNCTION("""COMPUTED_VALUE"""),"Monitoreo general.")</f>
        <v>Monitoreo general.</v>
      </c>
      <c r="K184" s="2" t="str">
        <f>IFERROR(__xludf.DUMMYFUNCTION("""COMPUTED_VALUE"""),"Tlalnepantla de Baz")</f>
        <v>Tlalnepantla de Baz</v>
      </c>
      <c r="L184" s="2" t="str">
        <f>IFERROR(__xludf.DUMMYFUNCTION("""COMPUTED_VALUE"""),"Estado de México")</f>
        <v>Estado de México</v>
      </c>
      <c r="M184" s="16" t="str">
        <f>IFERROR(__xludf.DUMMYFUNCTION("""COMPUTED_VALUE"""),"https://diarioportal.com/seguridad-y-justicia/policias-de-tlalnepantla-enfrentan-a-ladron-armado-que-robo-gasolinera-y-lo-capturan-en-plena-huida")</f>
        <v>https://diarioportal.com/seguridad-y-justicia/policias-de-tlalnepantla-enfrentan-a-ladron-armado-que-robo-gasolinera-y-lo-capturan-en-plena-huida</v>
      </c>
      <c r="N184" s="2" t="str">
        <f>IFERROR(__xludf.DUMMYFUNCTION("""COMPUTED_VALUE"""),"Elementos de la Comisaría General de Proximidad y Seguridad Ciudadana de Tlalnepantla repelieron una agresión con arma de fuego y detuvieron a un presunto delincuente que momentos antes habría asaltado de forma violenta una gasolinera en la colonia Indust"&amp;"rial Tabla Honda. Los hechos ocurrieron alrededor de las 22:00 horas del viernes, cuando dos despachadores de una gasolinera solicitaron apoyo a policías que realizaban vigilancia, quienes señalaron a un hombre que caminaba sobre la calle Oyamel como el r"&amp;"esponsable de haberlos despojado de dinero y teléfonos celulares. Los oficiales dieron alcance al sujeto y le ordenaron detenerse y soltar el arma que llevaba en la mano derecha, en respuesta el individuo apuntó directamente contra los uniformados. Ante l"&amp;"a agresión inminente, uno de los policías desenfundó su arma de cargo y neutralizó al atacante, mientras su compañero logró desarmarlo. Durante la inspección, los elementos aseguraron dos teléfonos celulares y más de 4 mil pesos en efectivo. Las víctimas "&amp;"reconocieron plenamente al detenido como el responsable del asalto. Paramédicos acudieron al lugar para valorar al presunto implicado, identificado como Roberto Efraín “N”, a quien también se le confiscó una pistola calibre .45 marca Llama, con cargador a"&amp;"bastecido con tres cartuchos útiles. Como marca el protocolo, el arma de cargo utilizada en la intervención quedó asegurada. El detenido fue trasladado ante la Fiscalía General de Justicia del Estado de México (FGJEM), donde se determinará su situación le"&amp;"gal. No hay etiquetas asociadas a éste artículo.")</f>
        <v>Elementos de la Comisaría General de Proximidad y Seguridad Ciudadana de Tlalnepantla repelieron una agresión con arma de fuego y detuvieron a un presunto delincuente que momentos antes habría asaltado de forma violenta una gasolinera en la colonia Industrial Tabla Honda. Los hechos ocurrieron alrededor de las 22:00 horas del viernes, cuando dos despachadores de una gasolinera solicitaron apoyo a policías que realizaban vigilancia, quienes señalaron a un hombre que caminaba sobre la calle Oyamel como el responsable de haberlos despojado de dinero y teléfonos celulares. Los oficiales dieron alcance al sujeto y le ordenaron detenerse y soltar el arma que llevaba en la mano derecha, en respuesta el individuo apuntó directamente contra los uniformados. Ante la agresión inminente, uno de los policías desenfundó su arma de cargo y neutralizó al atacante, mientras su compañero logró desarmarlo. Durante la inspección, los elementos aseguraron dos teléfonos celulares y más de 4 mil pesos en efectivo. Las víctimas reconocieron plenamente al detenido como el responsable del asalto. Paramédicos acudieron al lugar para valorar al presunto implicado, identificado como Roberto Efraín “N”, a quien también se le confiscó una pistola calibre .45 marca Llama, con cargador abastecido con tres cartuchos útiles. Como marca el protocolo, el arma de cargo utilizada en la intervención quedó asegurada. El detenido fue trasladado ante la Fiscalía General de Justicia del Estado de México (FGJEM), donde se determinará su situación legal. No hay etiquetas asociadas a éste artículo.</v>
      </c>
      <c r="O184" s="15">
        <f>IFERROR(__xludf.DUMMYFUNCTION("""COMPUTED_VALUE"""),0.748)</f>
        <v>0.748</v>
      </c>
      <c r="P184" s="2"/>
      <c r="Q184" s="17">
        <f>IFERROR(__xludf.DUMMYFUNCTION("""COMPUTED_VALUE"""),7.0)</f>
        <v>7</v>
      </c>
      <c r="R184" s="2" t="str">
        <f>IFERROR(__xludf.DUMMYFUNCTION("""COMPUTED_VALUE"""),"High")</f>
        <v>High</v>
      </c>
      <c r="S184" s="17">
        <f>IFERROR(__xludf.DUMMYFUNCTION("""COMPUTED_VALUE"""),4.0)</f>
        <v>4</v>
      </c>
      <c r="T184" s="17">
        <f>IFERROR(__xludf.DUMMYFUNCTION("""COMPUTED_VALUE"""),0.0)</f>
        <v>0</v>
      </c>
      <c r="U184" s="14">
        <f>IFERROR(__xludf.DUMMYFUNCTION("""COMPUTED_VALUE"""),2.0)</f>
        <v>2</v>
      </c>
      <c r="V184" s="14">
        <v>2025.0</v>
      </c>
      <c r="W184" s="2" t="s">
        <v>1206</v>
      </c>
      <c r="X184" s="2" t="s">
        <v>1169</v>
      </c>
      <c r="Y184" s="13" t="s">
        <v>739</v>
      </c>
      <c r="Z184" s="14">
        <v>0.0</v>
      </c>
      <c r="AA184" s="14">
        <v>0.0</v>
      </c>
      <c r="AB184" s="14">
        <v>0.0</v>
      </c>
      <c r="AC184" s="14">
        <v>0.0</v>
      </c>
      <c r="AD184" s="2">
        <v>0.0</v>
      </c>
      <c r="AE184" s="2">
        <v>1.0</v>
      </c>
      <c r="AF184" s="2">
        <v>11.0</v>
      </c>
      <c r="AG184" s="2" t="s">
        <v>1219</v>
      </c>
      <c r="AH184" s="2">
        <v>0.0</v>
      </c>
    </row>
    <row r="185" ht="15.75" customHeight="1">
      <c r="A185" s="2" t="str">
        <f>IFERROR(__xludf.DUMMYFUNCTION("""COMPUTED_VALUE"""),"Diario Portal")</f>
        <v>Diario Portal</v>
      </c>
      <c r="B185" s="12" t="str">
        <f>IFERROR(__xludf.DUMMYFUNCTION("""COMPUTED_VALUE"""),"Prevalecen  labores para  prevenir   agresiones  sexuales  con Operativo  Violeta en  el Edomex")</f>
        <v>Prevalecen  labores para  prevenir   agresiones  sexuales  con Operativo  Violeta en  el Edomex</v>
      </c>
      <c r="C185" s="13" t="str">
        <f>IFERROR(__xludf.DUMMYFUNCTION("""COMPUTED_VALUE"""),"Sin Fecha")</f>
        <v>Sin Fecha</v>
      </c>
      <c r="D185" s="14">
        <f>IFERROR(__xludf.DUMMYFUNCTION("""COMPUTED_VALUE"""),5.0)</f>
        <v>5</v>
      </c>
      <c r="E185" s="15">
        <f>IFERROR(__xludf.DUMMYFUNCTION("""COMPUTED_VALUE"""),0.0)</f>
        <v>0</v>
      </c>
      <c r="F185" s="2" t="str">
        <f>IFERROR(__xludf.DUMMYFUNCTION("""COMPUTED_VALUE"""),"Neutral")</f>
        <v>Neutral</v>
      </c>
      <c r="G185" s="15">
        <f>IFERROR(__xludf.DUMMYFUNCTION("""COMPUTED_VALUE"""),0.4568)</f>
        <v>0.4568</v>
      </c>
      <c r="H185" s="2" t="str">
        <f>IFERROR(__xludf.DUMMYFUNCTION("""COMPUTED_VALUE"""),"Acoso o agresión sexual")</f>
        <v>Acoso o agresión sexual</v>
      </c>
      <c r="I185" s="2" t="str">
        <f>IFERROR(__xludf.DUMMYFUNCTION("""COMPUTED_VALUE"""),"acoso")</f>
        <v>acoso</v>
      </c>
      <c r="J185" s="2" t="str">
        <f>IFERROR(__xludf.DUMMYFUNCTION("""COMPUTED_VALUE"""),"INTEGRIDAD / GÉNERO: Cero Tolerancia.")</f>
        <v>INTEGRIDAD / GÉNERO: Cero Tolerancia.</v>
      </c>
      <c r="K185" s="2" t="str">
        <f>IFERROR(__xludf.DUMMYFUNCTION("""COMPUTED_VALUE"""),"Estado de México")</f>
        <v>Estado de México</v>
      </c>
      <c r="L185" s="2" t="str">
        <f>IFERROR(__xludf.DUMMYFUNCTION("""COMPUTED_VALUE"""),"Estado de México")</f>
        <v>Estado de México</v>
      </c>
      <c r="M185" s="16" t="str">
        <f>IFERROR(__xludf.DUMMYFUNCTION("""COMPUTED_VALUE"""),"https://diarioportal.com/seguridad-y-justicia/prevalecen-labores-para-prevenir-agresiones-sexuales-con-operativo-violeta-en-el-edomex")</f>
        <v>https://diarioportal.com/seguridad-y-justicia/prevalecen-labores-para-prevenir-agresiones-sexuales-con-operativo-violeta-en-el-edomex</v>
      </c>
      <c r="N185" s="2" t="str">
        <f>IFERROR(__xludf.DUMMYFUNCTION("""COMPUTED_VALUE"""),"Con el firme compromiso de proteger a la ciudadanía y atender delitos de género, el gobierno de Delfina Gómez Álvarez impulsa el Operativo Violeta, a través del cual la Secretaría de Seguridad estatal (SSEM) ha beneficiado a 48 mil 893 personas mediante 1"&amp;"40 acciones preventivas realizadas del 1 de enero al 5 de noviembre de este año. Este despliegue tiene como propósito recuperar espacios públicos y eliminar factores de riesgo que propician la comisión de ilícitos de género. En coordinación con las policí"&amp;"as municipales, se mantiene presencia en vialidades, paraderos y unidades del transporte público, con el objetivo de prevenir el acoso y la violencia hacia las mujeres. Como parte de estas acciones, se llevan a cabo patrullajes preventivos en calles y ave"&amp;"nidas de colonias prioritarias, donde además personal del Instituto de las Mujeres ofrece información y orientación sobre la prevención y denuncia de la violencia de género. El operativo se ha desplegado en 26 municipios del Estado de México, incluidos aq"&amp;"uellos con alerta y doble alerta de género, cubriendo 535 colonias, 842 plazas y parques, así como 450 paraderos y unidades del transporte público. Durante su implementación, se brindó atención a 67 solicitudes de auxilio y se realizaron 22 puestas a disp"&amp;"osición por posibles delitos como violencia familiar, lesiones, delitos contra la salud, portación y tráfico de armas, y encubrimiento por receptación. No hay etiquetas asociadas a éste artículo.")</f>
        <v>Con el firme compromiso de proteger a la ciudadanía y atender delitos de género, el gobierno de Delfina Gómez Álvarez impulsa el Operativo Violeta, a través del cual la Secretaría de Seguridad estatal (SSEM) ha beneficiado a 48 mil 893 personas mediante 140 acciones preventivas realizadas del 1 de enero al 5 de noviembre de este año. Este despliegue tiene como propósito recuperar espacios públicos y eliminar factores de riesgo que propician la comisión de ilícitos de género. En coordinación con las policías municipales, se mantiene presencia en vialidades, paraderos y unidades del transporte público, con el objetivo de prevenir el acoso y la violencia hacia las mujeres. Como parte de estas acciones, se llevan a cabo patrullajes preventivos en calles y avenidas de colonias prioritarias, donde además personal del Instituto de las Mujeres ofrece información y orientación sobre la prevención y denuncia de la violencia de género. El operativo se ha desplegado en 26 municipios del Estado de México, incluidos aquellos con alerta y doble alerta de género, cubriendo 535 colonias, 842 plazas y parques, así como 450 paraderos y unidades del transporte público. Durante su implementación, se brindó atención a 67 solicitudes de auxilio y se realizaron 22 puestas a disposición por posibles delitos como violencia familiar, lesiones, delitos contra la salud, portación y tráfico de armas, y encubrimiento por receptación. No hay etiquetas asociadas a éste artículo.</v>
      </c>
      <c r="O185" s="15">
        <f>IFERROR(__xludf.DUMMYFUNCTION("""COMPUTED_VALUE"""),1.0)</f>
        <v>1</v>
      </c>
      <c r="P185" s="2"/>
      <c r="Q185" s="17">
        <f>IFERROR(__xludf.DUMMYFUNCTION("""COMPUTED_VALUE"""),6.0)</f>
        <v>6</v>
      </c>
      <c r="R185" s="2" t="str">
        <f>IFERROR(__xludf.DUMMYFUNCTION("""COMPUTED_VALUE"""),"High")</f>
        <v>High</v>
      </c>
      <c r="S185" s="17">
        <f>IFERROR(__xludf.DUMMYFUNCTION("""COMPUTED_VALUE"""),6.0)</f>
        <v>6</v>
      </c>
      <c r="T185" s="17">
        <f>IFERROR(__xludf.DUMMYFUNCTION("""COMPUTED_VALUE"""),0.0)</f>
        <v>0</v>
      </c>
      <c r="U185" s="14">
        <f>IFERROR(__xludf.DUMMYFUNCTION("""COMPUTED_VALUE"""),2.0)</f>
        <v>2</v>
      </c>
      <c r="V185" s="14" t="s">
        <v>1186</v>
      </c>
      <c r="W185" s="2" t="s">
        <v>190</v>
      </c>
      <c r="X185" s="2" t="s">
        <v>190</v>
      </c>
      <c r="Y185" s="13"/>
      <c r="Z185" s="14">
        <v>0.0</v>
      </c>
      <c r="AA185" s="14">
        <v>0.0</v>
      </c>
      <c r="AB185" s="14">
        <v>0.0</v>
      </c>
      <c r="AC185" s="14">
        <v>0.0</v>
      </c>
      <c r="AD185" s="2">
        <v>0.0</v>
      </c>
      <c r="AE185" s="2">
        <v>1.0</v>
      </c>
      <c r="AF185" s="2" t="s">
        <v>1186</v>
      </c>
      <c r="AG185" s="2" t="s">
        <v>1202</v>
      </c>
      <c r="AH185" s="2">
        <v>0.0</v>
      </c>
    </row>
    <row r="186" ht="15.75" customHeight="1">
      <c r="A186" s="2" t="str">
        <f>IFERROR(__xludf.DUMMYFUNCTION("""COMPUTED_VALUE"""),"Diario Portal")</f>
        <v>Diario Portal</v>
      </c>
      <c r="B186" s="12" t="str">
        <f>IFERROR(__xludf.DUMMYFUNCTION("""COMPUTED_VALUE"""),"Líder de la organización conocida como “Los Jasso” fue sentenciado a 11 años de prisión por robo de vehículo con violencia")</f>
        <v>Líder de la organización conocida como “Los Jasso” fue sentenciado a 11 años de prisión por robo de vehículo con violencia</v>
      </c>
      <c r="C186" s="13" t="str">
        <f>IFERROR(__xludf.DUMMYFUNCTION("""COMPUTED_VALUE"""),"2025-11-08 12:47:40")</f>
        <v>2025-11-08 12:47:40</v>
      </c>
      <c r="D186" s="14">
        <f>IFERROR(__xludf.DUMMYFUNCTION("""COMPUTED_VALUE"""),4.0)</f>
        <v>4</v>
      </c>
      <c r="E186" s="15">
        <f>IFERROR(__xludf.DUMMYFUNCTION("""COMPUTED_VALUE"""),-0.5567)</f>
        <v>-0.5567</v>
      </c>
      <c r="F186" s="2" t="str">
        <f>IFERROR(__xludf.DUMMYFUNCTION("""COMPUTED_VALUE"""),"Negativo")</f>
        <v>Negativo</v>
      </c>
      <c r="G186" s="15">
        <f>IFERROR(__xludf.DUMMYFUNCTION("""COMPUTED_VALUE"""),0.5567)</f>
        <v>0.5567</v>
      </c>
      <c r="H186" s="2" t="str">
        <f>IFERROR(__xludf.DUMMYFUNCTION("""COMPUTED_VALUE"""),"Operativo policial o detención")</f>
        <v>Operativo policial o detención</v>
      </c>
      <c r="I186" s="2" t="str">
        <f>IFERROR(__xludf.DUMMYFUNCTION("""COMPUTED_VALUE"""),"N/A")</f>
        <v>N/A</v>
      </c>
      <c r="J186" s="2" t="str">
        <f>IFERROR(__xludf.DUMMYFUNCTION("""COMPUTED_VALUE"""),"Monitoreo general.")</f>
        <v>Monitoreo general.</v>
      </c>
      <c r="K186" s="2" t="str">
        <f>IFERROR(__xludf.DUMMYFUNCTION("""COMPUTED_VALUE"""),"Estado de México")</f>
        <v>Estado de México</v>
      </c>
      <c r="L186" s="2" t="str">
        <f>IFERROR(__xludf.DUMMYFUNCTION("""COMPUTED_VALUE"""),"Estado de México")</f>
        <v>Estado de México</v>
      </c>
      <c r="M186" s="16" t="str">
        <f>IFERROR(__xludf.DUMMYFUNCTION("""COMPUTED_VALUE"""),"https://diarioportal.com/seguridad-y-justicia/lider-de-la-organizacion-conocida-como-los-jasso-fue-sentenciado-a-11-anos-de-prision-por-robo-de-vehiculo-con-violencia")</f>
        <v>https://diarioportal.com/seguridad-y-justicia/lider-de-la-organizacion-conocida-como-los-jasso-fue-sentenciado-a-11-anos-de-prision-por-robo-de-vehiculo-con-violencia</v>
      </c>
      <c r="N186" s="2" t="str">
        <f>IFERROR(__xludf.DUMMYFUNCTION("""COMPUTED_VALUE"""),"La Fiscalía General de Justicia del Estado de México (FGJEM) obtuvo de una Autoridad Judicial una sentencia de condena de 11 años de prisión en contra de Jason Miguel Domínguez Calderón, por el delito de robo de vehículo con violencia. Este sujeto es iden"&amp;"tificado como el líder de una estructura criminal conocida como “Los Jasso”, dedicada al robo de vehículos con violencia, que operaba en el municipio de Toluca, siendo un objetivo prioritario para esta Fiscalía. De acuerdo con los hechos, el pasado 8 de a"&amp;"bril, la víctima, un masculino, circulaba a bordo de su motocicleta, de la marca Suzuki, modelo 2019, sobre la avenida Paseo Tollocan, a la altura de la colonia Reforma, en Toluca, cuando tres individuos, a bordo de dos motocicletas le dieron alcance y le"&amp;" cerraron el paso, de una de estas unidades descendió el ahora sentenciado y con un arma de fuego lo amenazó, para desapoderarlo de su vehículo, por lo que ante la amenaza, la víctima terminó accediendo, en tanto que otro de los sujetos le arrebató un tel"&amp;"éfono celular, para enseguida todos huir del lugar, junto con la motocicleta de la víctima. Una vez que esta Institución tuvo conocimiento de los hechos inició la investigación que permitió identificar a los posibles responsables, por lo que solicitó ante"&amp;" la Autoridad Judicial la orden de aprehensión que posteriormente fue cumplimentada. La Autoridad Judicial al conocer y valorar los elementos de prueba que inculpan a Jason Miguel Domínguez Calderón lo declaró culpable del delito de robo de vehículo con v"&amp;"iolencia y lo sentenció a 11 años y 8 meses de prisión, además lo obligó al pago de una multa por 3 mil 733 pesos y a la restitución del vehículo como reparación del daño. Cabe recordar que, en los meses de abril, junio, julio y octubre, esta Fiscalía log"&amp;"ró la detención de once de los integrantes de esta estructura criminal, con lo cual prácticamente ha quedado desarticulada esta organización, poniéndolos a disposición de la Autoridad Judicial. En diferentes acciones operativas, la Fiscalía General de Jus"&amp;"ticia del Estado de México obtuvo y cumplimentó órdenes de aprehensión en contra de 132 sujetos quienes eran integrantes de bandas delictivas relacionadas con este delito. La Fiscalía General de Justicia mexiquense pone a disposición de la ciudadanía el c"&amp;"orreo electrónico cerotolerancia@fiscaliaedomex.gob.mx, el número telefónico 800 7028770, o bien, la aplicación FGJEdomex, la cual está disponible de manera gratuita para los teléfonos inteligentes de los sistemas iOS y Android, para que denuncie cualquie"&amp;"r hecho delictivo. No hay etiquetas asociadas a éste artículo.")</f>
        <v>La Fiscalía General de Justicia del Estado de México (FGJEM) obtuvo de una Autoridad Judicial una sentencia de condena de 11 años de prisión en contra de Jason Miguel Domínguez Calderón, por el delito de robo de vehículo con violencia. Este sujeto es identificado como el líder de una estructura criminal conocida como “Los Jasso”, dedicada al robo de vehículos con violencia, que operaba en el municipio de Toluca, siendo un objetivo prioritario para esta Fiscalía. De acuerdo con los hechos, el pasado 8 de abril, la víctima, un masculino, circulaba a bordo de su motocicleta, de la marca Suzuki, modelo 2019, sobre la avenida Paseo Tollocan, a la altura de la colonia Reforma, en Toluca, cuando tres individuos, a bordo de dos motocicletas le dieron alcance y le cerraron el paso, de una de estas unidades descendió el ahora sentenciado y con un arma de fuego lo amenazó, para desapoderarlo de su vehículo, por lo que ante la amenaza, la víctima terminó accediendo, en tanto que otro de los sujetos le arrebató un teléfono celular, para enseguida todos huir del lugar, junto con la motocicleta de la víctima. Una vez que esta Institución tuvo conocimiento de los hechos inició la investigación que permitió identificar a los posibles responsables, por lo que solicitó ante la Autoridad Judicial la orden de aprehensión que posteriormente fue cumplimentada. La Autoridad Judicial al conocer y valorar los elementos de prueba que inculpan a Jason Miguel Domínguez Calderón lo declaró culpable del delito de robo de vehículo con violencia y lo sentenció a 11 años y 8 meses de prisión, además lo obligó al pago de una multa por 3 mil 733 pesos y a la restitución del vehículo como reparación del daño. Cabe recordar que, en los meses de abril, junio, julio y octubre, esta Fiscalía logró la detención de once de los integrantes de esta estructura criminal, con lo cual prácticamente ha quedado desarticulada esta organización, poniéndolos a disposición de la Autoridad Judicial. En diferentes acciones operativas, la Fiscalía General de Justicia del Estado de México obtuvo y cumplimentó órdenes de aprehensión en contra de 132 sujetos quienes eran integrantes de bandas delictivas relacionadas con este delito.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86" s="15">
        <f>IFERROR(__xludf.DUMMYFUNCTION("""COMPUTED_VALUE"""),0.3332)</f>
        <v>0.3332</v>
      </c>
      <c r="P186" s="2"/>
      <c r="Q186" s="17">
        <f>IFERROR(__xludf.DUMMYFUNCTION("""COMPUTED_VALUE"""),5.0)</f>
        <v>5</v>
      </c>
      <c r="R186" s="2" t="str">
        <f>IFERROR(__xludf.DUMMYFUNCTION("""COMPUTED_VALUE"""),"Low")</f>
        <v>Low</v>
      </c>
      <c r="S186" s="17">
        <f>IFERROR(__xludf.DUMMYFUNCTION("""COMPUTED_VALUE"""),0.0)</f>
        <v>0</v>
      </c>
      <c r="T186" s="17">
        <f>IFERROR(__xludf.DUMMYFUNCTION("""COMPUTED_VALUE"""),0.0)</f>
        <v>0</v>
      </c>
      <c r="U186" s="14">
        <f>IFERROR(__xludf.DUMMYFUNCTION("""COMPUTED_VALUE"""),2.0)</f>
        <v>2</v>
      </c>
      <c r="V186" s="14">
        <v>2025.0</v>
      </c>
      <c r="W186" s="2" t="s">
        <v>1206</v>
      </c>
      <c r="X186" s="2" t="s">
        <v>1194</v>
      </c>
      <c r="Y186" s="13" t="s">
        <v>746</v>
      </c>
      <c r="Z186" s="14">
        <v>0.0</v>
      </c>
      <c r="AA186" s="14">
        <v>0.0</v>
      </c>
      <c r="AB186" s="14">
        <v>0.0</v>
      </c>
      <c r="AC186" s="14">
        <v>0.0</v>
      </c>
      <c r="AD186" s="2">
        <v>0.0</v>
      </c>
      <c r="AE186" s="2">
        <v>1.0</v>
      </c>
      <c r="AF186" s="2">
        <v>11.0</v>
      </c>
      <c r="AG186" s="2" t="s">
        <v>1202</v>
      </c>
      <c r="AH186" s="2">
        <v>0.0</v>
      </c>
    </row>
    <row r="187" ht="15.75" customHeight="1">
      <c r="A187" s="2" t="str">
        <f>IFERROR(__xludf.DUMMYFUNCTION("""COMPUTED_VALUE"""),"Diario Portal")</f>
        <v>Diario Portal</v>
      </c>
      <c r="B187" s="12" t="str">
        <f>IFERROR(__xludf.DUMMYFUNCTION("""COMPUTED_VALUE"""),"El hoy detenido habría agredido a la víctima en un establecimiento comercial bar del municipio de La Paz.")</f>
        <v>El hoy detenido habría agredido a la víctima en un establecimiento comercial bar del municipio de La Paz.</v>
      </c>
      <c r="C187" s="13" t="str">
        <f>IFERROR(__xludf.DUMMYFUNCTION("""COMPUTED_VALUE"""),"2025-11-08 12:45:08")</f>
        <v>2025-11-08 12:45:08</v>
      </c>
      <c r="D187" s="14">
        <f>IFERROR(__xludf.DUMMYFUNCTION("""COMPUTED_VALUE"""),4.0)</f>
        <v>4</v>
      </c>
      <c r="E187" s="15">
        <f>IFERROR(__xludf.DUMMYFUNCTION("""COMPUTED_VALUE"""),0.0)</f>
        <v>0</v>
      </c>
      <c r="F187" s="2" t="str">
        <f>IFERROR(__xludf.DUMMYFUNCTION("""COMPUTED_VALUE"""),"Neutral")</f>
        <v>Neutral</v>
      </c>
      <c r="G187" s="15">
        <f>IFERROR(__xludf.DUMMYFUNCTION("""COMPUTED_VALUE"""),0.543)</f>
        <v>0.543</v>
      </c>
      <c r="H187" s="2" t="str">
        <f>IFERROR(__xludf.DUMMYFUNCTION("""COMPUTED_VALUE"""),"Delito violento, robo o asalto")</f>
        <v>Delito violento, robo o asalto</v>
      </c>
      <c r="I187" s="2" t="str">
        <f>IFERROR(__xludf.DUMMYFUNCTION("""COMPUTED_VALUE"""),"homicidio")</f>
        <v>homicidio</v>
      </c>
      <c r="J187" s="2" t="str">
        <f>IFERROR(__xludf.DUMMYFUNCTION("""COMPUTED_VALUE"""),"Prevención PAX: Contactos de confianza.")</f>
        <v>Prevención PAX: Contactos de confianza.</v>
      </c>
      <c r="K187" s="2" t="str">
        <f>IFERROR(__xludf.DUMMYFUNCTION("""COMPUTED_VALUE"""),"Estado de México")</f>
        <v>Estado de México</v>
      </c>
      <c r="L187" s="2" t="str">
        <f>IFERROR(__xludf.DUMMYFUNCTION("""COMPUTED_VALUE"""),"Estado de México")</f>
        <v>Estado de México</v>
      </c>
      <c r="M187" s="16" t="str">
        <f>IFERROR(__xludf.DUMMYFUNCTION("""COMPUTED_VALUE"""),"https://diarioportal.com/seguridad-y-justicia/el-hoy-detenido-habria-agredido-a-la-victima-en-un-establecimiento-comercial-bar-del-municipio-de-la-paz")</f>
        <v>https://diarioportal.com/seguridad-y-justicia/el-hoy-detenido-habria-agredido-a-la-victima-en-un-establecimiento-comercial-bar-del-municipio-de-la-paz</v>
      </c>
      <c r="N187" s="2" t="str">
        <f>IFERROR(__xludf.DUMMYFUNCTION("""COMPUTED_VALUE"""),"Elementos de la Fiscalía General de Justicia del Estado de México, cumplimentaron una orden de aprehensión en contra de un sujeto identificado como Ebro Eduardo “N” por su presunta responsabilidad en el delito de homicidio calificado, cometido en agravio "&amp;"de un masculino en un establecimiento comercial bar ubicado en este municipio. De acuerdo a las primeras investigaciones, el 6 de noviembre del 2023, la víctima se encontraba junto con dos acompañantes. al interior de un establecimiento comercial tipo bar"&amp;", ubicado en la colonia Valle de Los Reyes La Paz, y al pretender retirarse iniciaron una discusión con el ahora detenido y otros dos sujetos, pasando de la agresión verbal a la física, trasladándose hacia la calle, en ese lugar Ebro Eduardo “N”, sacó un "&amp;"arma de fuego de un automóvil y la accionó en contra de la víctima, ocasionándole la muerte, por lo que se dieron a la fuga. Por esta razón el Ministerio Público inició con las indagatorias correspondientes para esclarecer el caso y conocer la identidad d"&amp;"e los presuntos responsables, por lo mismo solicitó a la Autoridad Judicial una orden de aprehensión. Dicho mandamiento judicial fue cumplimentado por elementos de la Policía de Investigación de esta Fiscalía en el municipio de Nezahualcóyotl, y puesto a "&amp;"disposición de la autoridad para que ésta defina su situación jurídica. La Fiscalía General de Justicia mexiquense pone a disposición de la ciudadanía el correo electrónico cerotolerancia@fiscaliaedomex.gob.mx, el número telefónico 800 7028770, o bien, la"&amp;" aplicación FGJEdomex, la cual está disponible de manera gratuita para los teléfonos inteligentes de los sistemas iOS y Android, para que denuncie cualquier hecho delictivo No hay etiquetas asociadas a éste artículo.")</f>
        <v>Elementos de la Fiscalía General de Justicia del Estado de México, cumplimentaron una orden de aprehensión en contra de un sujeto identificado como Ebro Eduardo “N” por su presunta responsabilidad en el delito de homicidio calificado, cometido en agravio de un masculino en un establecimiento comercial bar ubicado en este municipio. De acuerdo a las primeras investigaciones, el 6 de noviembre del 2023, la víctima se encontraba junto con dos acompañantes. al interior de un establecimiento comercial tipo bar, ubicado en la colonia Valle de Los Reyes La Paz, y al pretender retirarse iniciaron una discusión con el ahora detenido y otros dos sujetos, pasando de la agresión verbal a la física, trasladándose hacia la calle, en ese lugar Ebro Eduardo “N”, sacó un arma de fuego de un automóvil y la accionó en contra de la víctima, ocasionándole la muerte, por lo que se dieron a la fuga. Por esta razón el Ministerio Público inició con las indagatorias correspondientes para esclarecer el caso y conocer la identidad de los presuntos responsables, por lo mismo solicitó a la Autoridad Judicial una orden de aprehensión. Dicho mandamiento judicial fue cumplimentado por elementos de la Policía de Investigación de esta Fiscalía en el municipio de Nezahualcóyotl, y puesto a disposición de la autoridad para que ésta defina su situación jurídica.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87" s="15">
        <f>IFERROR(__xludf.DUMMYFUNCTION("""COMPUTED_VALUE"""),1.0)</f>
        <v>1</v>
      </c>
      <c r="P187" s="2"/>
      <c r="Q187" s="17">
        <f>IFERROR(__xludf.DUMMYFUNCTION("""COMPUTED_VALUE"""),5.0)</f>
        <v>5</v>
      </c>
      <c r="R187" s="2" t="str">
        <f>IFERROR(__xludf.DUMMYFUNCTION("""COMPUTED_VALUE"""),"Low")</f>
        <v>Low</v>
      </c>
      <c r="S187" s="17">
        <f>IFERROR(__xludf.DUMMYFUNCTION("""COMPUTED_VALUE"""),0.0)</f>
        <v>0</v>
      </c>
      <c r="T187" s="17">
        <f>IFERROR(__xludf.DUMMYFUNCTION("""COMPUTED_VALUE"""),0.0)</f>
        <v>0</v>
      </c>
      <c r="U187" s="14">
        <f>IFERROR(__xludf.DUMMYFUNCTION("""COMPUTED_VALUE"""),2.0)</f>
        <v>2</v>
      </c>
      <c r="V187" s="14">
        <v>2025.0</v>
      </c>
      <c r="W187" s="2" t="s">
        <v>1206</v>
      </c>
      <c r="X187" s="2" t="s">
        <v>1194</v>
      </c>
      <c r="Y187" s="13" t="s">
        <v>750</v>
      </c>
      <c r="Z187" s="14">
        <v>0.0</v>
      </c>
      <c r="AA187" s="14">
        <v>0.0</v>
      </c>
      <c r="AB187" s="14">
        <v>0.0</v>
      </c>
      <c r="AC187" s="14">
        <v>0.0</v>
      </c>
      <c r="AD187" s="2">
        <v>0.0</v>
      </c>
      <c r="AE187" s="2">
        <v>1.0</v>
      </c>
      <c r="AF187" s="2">
        <v>11.0</v>
      </c>
      <c r="AG187" s="2" t="s">
        <v>1202</v>
      </c>
      <c r="AH187" s="2">
        <v>0.0</v>
      </c>
    </row>
    <row r="188" ht="15.75" customHeight="1">
      <c r="A188" s="2" t="str">
        <f>IFERROR(__xludf.DUMMYFUNCTION("""COMPUTED_VALUE"""),"Diario Portal")</f>
        <v>Diario Portal</v>
      </c>
      <c r="B188" s="12" t="str">
        <f>IFERROR(__xludf.DUMMYFUNCTION("""COMPUTED_VALUE"""),"Detiene Fiscalía Edoméx a sujeto investigado por presunto fraude en la venta de vehículos en Tlalnepantla")</f>
        <v>Detiene Fiscalía Edoméx a sujeto investigado por presunto fraude en la venta de vehículos en Tlalnepantla</v>
      </c>
      <c r="C188" s="13" t="str">
        <f>IFERROR(__xludf.DUMMYFUNCTION("""COMPUTED_VALUE"""),"2025-11-08 11:47:58")</f>
        <v>2025-11-08 11:47:58</v>
      </c>
      <c r="D188" s="14">
        <f>IFERROR(__xludf.DUMMYFUNCTION("""COMPUTED_VALUE"""),2.0)</f>
        <v>2</v>
      </c>
      <c r="E188" s="15">
        <f>IFERROR(__xludf.DUMMYFUNCTION("""COMPUTED_VALUE"""),-0.4859)</f>
        <v>-0.4859</v>
      </c>
      <c r="F188" s="2" t="str">
        <f>IFERROR(__xludf.DUMMYFUNCTION("""COMPUTED_VALUE"""),"Negativo")</f>
        <v>Negativo</v>
      </c>
      <c r="G188" s="15">
        <f>IFERROR(__xludf.DUMMYFUNCTION("""COMPUTED_VALUE"""),0.4859)</f>
        <v>0.4859</v>
      </c>
      <c r="H188" s="2" t="str">
        <f>IFERROR(__xludf.DUMMYFUNCTION("""COMPUTED_VALUE"""),"Operativo policial o detención")</f>
        <v>Operativo policial o detención</v>
      </c>
      <c r="I188" s="2" t="str">
        <f>IFERROR(__xludf.DUMMYFUNCTION("""COMPUTED_VALUE"""),"N/A")</f>
        <v>N/A</v>
      </c>
      <c r="J188" s="2" t="str">
        <f>IFERROR(__xludf.DUMMYFUNCTION("""COMPUTED_VALUE"""),"Monitoreo general.")</f>
        <v>Monitoreo general.</v>
      </c>
      <c r="K188" s="2" t="str">
        <f>IFERROR(__xludf.DUMMYFUNCTION("""COMPUTED_VALUE"""),"Estado de México")</f>
        <v>Estado de México</v>
      </c>
      <c r="L188" s="2" t="str">
        <f>IFERROR(__xludf.DUMMYFUNCTION("""COMPUTED_VALUE"""),"Estado de México")</f>
        <v>Estado de México</v>
      </c>
      <c r="M188" s="16" t="str">
        <f>IFERROR(__xludf.DUMMYFUNCTION("""COMPUTED_VALUE"""),"https://diarioportal.com/seguridad-y-justicia/detiene-fiscalia-edomex-a-sujeto-investigado-por-presunto-fraude-en-la-venta-de-vehiculos-en-tlalnepantla")</f>
        <v>https://diarioportal.com/seguridad-y-justicia/detiene-fiscalia-edomex-a-sujeto-investigado-por-presunto-fraude-en-la-venta-de-vehiculos-en-tlalnepantla</v>
      </c>
      <c r="N188" s="2" t="str">
        <f>IFERROR(__xludf.DUMMYFUNCTION("""COMPUTED_VALUE"""),"Elementos de la Fiscalía General de Justicia del Estado de México (FGJEM) detuvieron a un individuo identificado como Axel “N”, quien es investigado por su probable participación en la comisión de delitos patrimoniales. Axel “N” fue detenido por delito di"&amp;"verso flagrante, en un local comercial destinado a Agencia Automotriz, ubicado en la colonia Centro Industrial de Tlalnepantla, cuando elementos de esta Fiscalía realizaban acciones de investigación, momento en el que el hoy detenido, les habría ofrecido "&amp;"dinero a cambio de no seguir con dicha actividad. Con respecto a la comisión de delitos patrimoniales por los que se le indaga, con base en información obtenida por esta Fiscalía, este sujeto podría estar relacionado con diversas denuncias de víctimas qui"&amp;"enes señalaron haber sido defraudadas por el investigado, ya que le habrían realizado pagos para el enganche de vehículos, sin que dichas unidades les hayan sido entregadas. Para realizar la conducta delictiva, Axel ""N"" se valía de su condición de repre"&amp;"sentante legal de una moral identificada como Autoclub Di Forza, ubicada en este municipio. Por los hechos referidos, la Fiscalía del Estado de México continúa con las indagatorias para su esclarecimiento y en su caso, actuar en consecuencia en contra de "&amp;"quienes hayan participado en los mismos. Axel “N” fue presentado ante el Agente del Ministerio Público, quien determinará su situación jurídica con respecto a la probable comisión de delito en flagrancia. Debe ser considerado inocente, en tanto que no exi"&amp;"sta una sentencia condenatoria en su contra. La Fiscalía General de Justicia del Estado de México pone a disposición de la ciudadanía el correo electrónico cerotolerancia@fiscaliaedomex.gob.mx, el número telefónico 800 7028770, o bien, la aplicación FGJEd"&amp;"omex, la cual está disponible de manera gratuita para los teléfonos inteligentes de los sistemas iOS y Android, para que, en caso de reconocer a este sujeto como probable implicado en otro hecho delictivo, sea denunciado. No hay etiquetas asociadas a éste"&amp;" artículo.")</f>
        <v>Elementos de la Fiscalía General de Justicia del Estado de México (FGJEM) detuvieron a un individuo identificado como Axel “N”, quien es investigado por su probable participación en la comisión de delitos patrimoniales. Axel “N” fue detenido por delito diverso flagrante, en un local comercial destinado a Agencia Automotriz, ubicado en la colonia Centro Industrial de Tlalnepantla, cuando elementos de esta Fiscalía realizaban acciones de investigación, momento en el que el hoy detenido, les habría ofrecido dinero a cambio de no seguir con dicha actividad. Con respecto a la comisión de delitos patrimoniales por los que se le indaga, con base en información obtenida por esta Fiscalía, este sujeto podría estar relacionado con diversas denuncias de víctimas quienes señalaron haber sido defraudadas por el investigado, ya que le habrían realizado pagos para el enganche de vehículos, sin que dichas unidades les hayan sido entregadas. Para realizar la conducta delictiva, Axel "N" se valía de su condición de representante legal de una moral identificada como Autoclub Di Forza, ubicada en este municipio. Por los hechos referidos, la Fiscalía del Estado de México continúa con las indagatorias para su esclarecimiento y en su caso, actuar en consecuencia en contra de quienes hayan participado en los mismos. Axel “N” fue presentado ante el Agente del Ministerio Público, quien determinará su situación jurídica con respecto a la probable comisión de delito en flagrancia. Debe ser considerado inocente, en tanto que no exista una sentencia condenatoria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sujeto como probable implicado en otro hecho delictivo, sea denunciado. No hay etiquetas asociadas a éste artículo.</v>
      </c>
      <c r="O188" s="15">
        <f>IFERROR(__xludf.DUMMYFUNCTION("""COMPUTED_VALUE"""),0.8685)</f>
        <v>0.8685</v>
      </c>
      <c r="P188" s="2"/>
      <c r="Q188" s="17">
        <f>IFERROR(__xludf.DUMMYFUNCTION("""COMPUTED_VALUE"""),8.0)</f>
        <v>8</v>
      </c>
      <c r="R188" s="2" t="str">
        <f>IFERROR(__xludf.DUMMYFUNCTION("""COMPUTED_VALUE"""),"Low")</f>
        <v>Low</v>
      </c>
      <c r="S188" s="17">
        <f>IFERROR(__xludf.DUMMYFUNCTION("""COMPUTED_VALUE"""),0.0)</f>
        <v>0</v>
      </c>
      <c r="T188" s="17">
        <f>IFERROR(__xludf.DUMMYFUNCTION("""COMPUTED_VALUE"""),0.0)</f>
        <v>0</v>
      </c>
      <c r="U188" s="14">
        <f>IFERROR(__xludf.DUMMYFUNCTION("""COMPUTED_VALUE"""),2.0)</f>
        <v>2</v>
      </c>
      <c r="V188" s="14">
        <v>2025.0</v>
      </c>
      <c r="W188" s="2" t="s">
        <v>1206</v>
      </c>
      <c r="X188" s="2" t="s">
        <v>1194</v>
      </c>
      <c r="Y188" s="13" t="s">
        <v>754</v>
      </c>
      <c r="Z188" s="14">
        <v>0.0</v>
      </c>
      <c r="AA188" s="14">
        <v>0.0</v>
      </c>
      <c r="AB188" s="14">
        <v>0.0</v>
      </c>
      <c r="AC188" s="14">
        <v>0.0</v>
      </c>
      <c r="AD188" s="2">
        <v>0.0</v>
      </c>
      <c r="AE188" s="2">
        <v>0.0</v>
      </c>
      <c r="AF188" s="2">
        <v>11.0</v>
      </c>
      <c r="AG188" s="2" t="s">
        <v>1202</v>
      </c>
      <c r="AH188" s="2">
        <v>0.0</v>
      </c>
    </row>
    <row r="189" ht="15.75" customHeight="1">
      <c r="A189" s="2" t="str">
        <f>IFERROR(__xludf.DUMMYFUNCTION("""COMPUTED_VALUE"""),"Diario Portal")</f>
        <v>Diario Portal</v>
      </c>
      <c r="B189" s="12" t="str">
        <f>IFERROR(__xludf.DUMMYFUNCTION("""COMPUTED_VALUE"""),"Afirman que conspiraron iraníes para ultimar a la embajadora de Israel en México; SRE y la SSPC desmienten la versión")</f>
        <v>Afirman que conspiraron iraníes para ultimar a la embajadora de Israel en México; SRE y la SSPC desmienten la versión</v>
      </c>
      <c r="C189" s="13" t="str">
        <f>IFERROR(__xludf.DUMMYFUNCTION("""COMPUTED_VALUE"""),"2025-11-07 19:52:43")</f>
        <v>2025-11-07 19:52:43</v>
      </c>
      <c r="D189" s="14">
        <f>IFERROR(__xludf.DUMMYFUNCTION("""COMPUTED_VALUE"""),1.0)</f>
        <v>1</v>
      </c>
      <c r="E189" s="15">
        <f>IFERROR(__xludf.DUMMYFUNCTION("""COMPUTED_VALUE"""),-0.587)</f>
        <v>-0.587</v>
      </c>
      <c r="F189" s="2" t="str">
        <f>IFERROR(__xludf.DUMMYFUNCTION("""COMPUTED_VALUE"""),"Negativo")</f>
        <v>Negativo</v>
      </c>
      <c r="G189" s="15">
        <f>IFERROR(__xludf.DUMMYFUNCTION("""COMPUTED_VALUE"""),0.587)</f>
        <v>0.587</v>
      </c>
      <c r="H189" s="2" t="str">
        <f>IFERROR(__xludf.DUMMYFUNCTION("""COMPUTED_VALUE"""),"Otros temas generales")</f>
        <v>Otros temas generales</v>
      </c>
      <c r="I189" s="2" t="str">
        <f>IFERROR(__xludf.DUMMYFUNCTION("""COMPUTED_VALUE"""),"N/A")</f>
        <v>N/A</v>
      </c>
      <c r="J189" s="2" t="str">
        <f>IFERROR(__xludf.DUMMYFUNCTION("""COMPUTED_VALUE"""),"Descartar / Baja prioridad.")</f>
        <v>Descartar / Baja prioridad.</v>
      </c>
      <c r="K189" s="2" t="str">
        <f>IFERROR(__xludf.DUMMYFUNCTION("""COMPUTED_VALUE"""),"Sinaloa")</f>
        <v>Sinaloa</v>
      </c>
      <c r="L189" s="2" t="str">
        <f>IFERROR(__xludf.DUMMYFUNCTION("""COMPUTED_VALUE"""),"Sinaloa")</f>
        <v>Sinaloa</v>
      </c>
      <c r="M189" s="16" t="str">
        <f>IFERROR(__xludf.DUMMYFUNCTION("""COMPUTED_VALUE"""),"https://diarioportal.com/seguridad-y-justicia/afirman-que-conspiraron-iranies-para-ultimar-a-la-embajadora-de-israel-en-mexico-sre-y-la-sspc-desmienten-la-version")</f>
        <v>https://diarioportal.com/seguridad-y-justicia/afirman-que-conspiraron-iranies-para-ultimar-a-la-embajadora-de-israel-en-mexico-sre-y-la-sspc-desmienten-la-version</v>
      </c>
      <c r="N189" s="2" t="str">
        <f>IFERROR(__xludf.DUMMYFUNCTION("""COMPUTED_VALUE"""),"La embajada de israel en México emitió un comunicado para agradecer a las autoridades nacionales la supuesta frustración de un complot para ultimar a la diplomática israelí Einat Kranz Neiger, versión que desmintieron la Secretaría de Relaciones Exteriore"&amp;"s (SRE) y la Secretarái de Seguridad y Protección Ciudadana (SSPC). Durante este viernes trascendió información de la agencia Reuters sobre la supuesta declaración de un funcionario estadounidense, en condición de anonimato, quien supuestamente revela un "&amp;"conspiración de extremistas de la Guardia Revolucionaria Islámica de Irán en México para asesinar a la embajadora de Israel. En este marco, el cuerpo diplomático israelí en México emitió un comunicado que remarca la supuesta colaboración entre ambos gobie"&amp;"rnos para “frustrar amenazas terroristas”, y agradeció al servicio de inteligencia mexicano por el presunto trabajo coordinado para frenar la hipotética amenaza. De acuerdo con Reuters, el funcionario incógnito reveló que “el Cuerpo de la Guardia Revoluci"&amp;"onaria Islámica de Irán planeó asesinar a la embajadora de Israel en México, Einat Kranz Neiger, pero el intento fue contenido y actualmente no existe ninguna amenaza”. Tras la información que circuló y fue replicada sin el menor cuestionamiento por otros"&amp;" medios nacionales e internacionales, la SRE y la SSPC emitieron un comunicado conjunto horas más tarde para desmentir el trascendido En el texto, ambas instituciones sostuvieron que “no cuentan con reporte alguno respecto a un supuesto atentado en contra"&amp;" de la embajadora de Israel en México”. En cuanto a lo correspondiente a la SRE, se lee que “la Cancillería reitera su disposición de mantener una comunicación fluida con todas las representaciones diplomáticas acreditadas en nuestro país”; en tanto la SS"&amp;"PC apela a que “reafirma su colaboración respetuosa y coordinada, siempre en el marco de la soberanía nacional, con todas las agencias de seguridad que así lo soliciten”. No hay etiquetas asociadas a éste artículo.")</f>
        <v>La embajada de israel en México emitió un comunicado para agradecer a las autoridades nacionales la supuesta frustración de un complot para ultimar a la diplomática israelí Einat Kranz Neiger, versión que desmintieron la Secretaría de Relaciones Exteriores (SRE) y la Secretarái de Seguridad y Protección Ciudadana (SSPC). Durante este viernes trascendió información de la agencia Reuters sobre la supuesta declaración de un funcionario estadounidense, en condición de anonimato, quien supuestamente revela un conspiración de extremistas de la Guardia Revolucionaria Islámica de Irán en México para asesinar a la embajadora de Israel. En este marco, el cuerpo diplomático israelí en México emitió un comunicado que remarca la supuesta colaboración entre ambos gobiernos para “frustrar amenazas terroristas”, y agradeció al servicio de inteligencia mexicano por el presunto trabajo coordinado para frenar la hipotética amenaza. De acuerdo con Reuters, el funcionario incógnito reveló que “el Cuerpo de la Guardia Revolucionaria Islámica de Irán planeó asesinar a la embajadora de Israel en México, Einat Kranz Neiger, pero el intento fue contenido y actualmente no existe ninguna amenaza”. Tras la información que circuló y fue replicada sin el menor cuestionamiento por otros medios nacionales e internacionales, la SRE y la SSPC emitieron un comunicado conjunto horas más tarde para desmentir el trascendido En el texto, ambas instituciones sostuvieron que “no cuentan con reporte alguno respecto a un supuesto atentado en contra de la embajadora de Israel en México”. En cuanto a lo correspondiente a la SRE, se lee que “la Cancillería reitera su disposición de mantener una comunicación fluida con todas las representaciones diplomáticas acreditadas en nuestro país”; en tanto la SSPC apela a que “reafirma su colaboración respetuosa y coordinada, siempre en el marco de la soberanía nacional, con todas las agencias de seguridad que así lo soliciten”. No hay etiquetas asociadas a éste artículo.</v>
      </c>
      <c r="O189" s="15">
        <f>IFERROR(__xludf.DUMMYFUNCTION("""COMPUTED_VALUE"""),0.3066)</f>
        <v>0.3066</v>
      </c>
      <c r="P189" s="2"/>
      <c r="Q189" s="17">
        <f>IFERROR(__xludf.DUMMYFUNCTION("""COMPUTED_VALUE"""),0.0)</f>
        <v>0</v>
      </c>
      <c r="R189" s="2" t="str">
        <f>IFERROR(__xludf.DUMMYFUNCTION("""COMPUTED_VALUE"""),"Low")</f>
        <v>Low</v>
      </c>
      <c r="S189" s="17">
        <f>IFERROR(__xludf.DUMMYFUNCTION("""COMPUTED_VALUE"""),0.0)</f>
        <v>0</v>
      </c>
      <c r="T189" s="17">
        <f>IFERROR(__xludf.DUMMYFUNCTION("""COMPUTED_VALUE"""),0.0)</f>
        <v>0</v>
      </c>
      <c r="U189" s="14">
        <f>IFERROR(__xludf.DUMMYFUNCTION("""COMPUTED_VALUE"""),2.0)</f>
        <v>2</v>
      </c>
      <c r="V189" s="14">
        <v>2025.0</v>
      </c>
      <c r="W189" s="2" t="s">
        <v>1206</v>
      </c>
      <c r="X189" s="2" t="s">
        <v>1199</v>
      </c>
      <c r="Y189" s="13" t="s">
        <v>758</v>
      </c>
      <c r="Z189" s="14">
        <v>0.0</v>
      </c>
      <c r="AA189" s="14">
        <v>0.0</v>
      </c>
      <c r="AB189" s="14">
        <v>0.0</v>
      </c>
      <c r="AC189" s="14">
        <v>0.0</v>
      </c>
      <c r="AD189" s="2">
        <v>0.0</v>
      </c>
      <c r="AE189" s="2">
        <v>0.0</v>
      </c>
      <c r="AF189" s="2">
        <v>11.0</v>
      </c>
      <c r="AG189" s="2" t="s">
        <v>1172</v>
      </c>
      <c r="AH189" s="2">
        <v>0.0</v>
      </c>
    </row>
    <row r="190" ht="15.75" customHeight="1">
      <c r="A190" s="2" t="str">
        <f>IFERROR(__xludf.DUMMYFUNCTION("""COMPUTED_VALUE"""),"Diario Portal")</f>
        <v>Diario Portal</v>
      </c>
      <c r="B190" s="12" t="str">
        <f>IFERROR(__xludf.DUMMYFUNCTION("""COMPUTED_VALUE"""),"Magistrado Gilberto Bátiz asume la presidencia del TEPJF")</f>
        <v>Magistrado Gilberto Bátiz asume la presidencia del TEPJF</v>
      </c>
      <c r="C190" s="13" t="str">
        <f>IFERROR(__xludf.DUMMYFUNCTION("""COMPUTED_VALUE"""),"2025-11-05 21:36:42")</f>
        <v>2025-11-05 21:36:42</v>
      </c>
      <c r="D190" s="14">
        <f>IFERROR(__xludf.DUMMYFUNCTION("""COMPUTED_VALUE"""),2.0)</f>
        <v>2</v>
      </c>
      <c r="E190" s="15">
        <f>IFERROR(__xludf.DUMMYFUNCTION("""COMPUTED_VALUE"""),0.0)</f>
        <v>0</v>
      </c>
      <c r="F190" s="2" t="str">
        <f>IFERROR(__xludf.DUMMYFUNCTION("""COMPUTED_VALUE"""),"Neutral")</f>
        <v>Neutral</v>
      </c>
      <c r="G190" s="15">
        <f>IFERROR(__xludf.DUMMYFUNCTION("""COMPUTED_VALUE"""),0.5223)</f>
        <v>0.5223</v>
      </c>
      <c r="H190" s="2" t="str">
        <f>IFERROR(__xludf.DUMMYFUNCTION("""COMPUTED_VALUE"""),"Operativo policial o detención")</f>
        <v>Operativo policial o detención</v>
      </c>
      <c r="I190" s="2" t="str">
        <f>IFERROR(__xludf.DUMMYFUNCTION("""COMPUTED_VALUE"""),"N/A")</f>
        <v>N/A</v>
      </c>
      <c r="J190" s="2" t="str">
        <f>IFERROR(__xludf.DUMMYFUNCTION("""COMPUTED_VALUE"""),"Monitoreo general.")</f>
        <v>Monitoreo general.</v>
      </c>
      <c r="K190" s="2" t="str">
        <f>IFERROR(__xludf.DUMMYFUNCTION("""COMPUTED_VALUE"""),"Sinaloa")</f>
        <v>Sinaloa</v>
      </c>
      <c r="L190" s="2" t="str">
        <f>IFERROR(__xludf.DUMMYFUNCTION("""COMPUTED_VALUE"""),"Sinaloa")</f>
        <v>Sinaloa</v>
      </c>
      <c r="M190" s="16" t="str">
        <f>IFERROR(__xludf.DUMMYFUNCTION("""COMPUTED_VALUE"""),"https://diarioportal.com/seguridad-y-justicia/magistrado-gilberto-batiz-asume-la-presidencia-del-tepjf")</f>
        <v>https://diarioportal.com/seguridad-y-justicia/magistrado-gilberto-batiz-asume-la-presidencia-del-tepjf</v>
      </c>
      <c r="N190" s="2" t="str">
        <f>IFERROR(__xludf.DUMMYFUNCTION("""COMPUTED_VALUE"""),"Al abrir la sesión solemne con motivo del inicio de la presidencia del magistrado Gilberto Bátiz García en el Tribunal Electoral del Poder Judicial de la Federación (TEPJF), el magistrado Felipe Alfredo Fuentes Barrera, en su calidad de decano de la Sala "&amp;"Superior, resaltó la coincidencia con el ideario de que la justicia debe ser cercana, humana y comprensible; un derecho de todas y todos, no un privilegio. A su vez, el ministro presidente de la Suprema Corte de Justicia de la Nación, Hugo Aguilar Ortiz, "&amp;"aseguró que “un pilar fundamental de la democracia es la garantía de que las elecciones sean libres, que los votos se cuenten bien y que existan instituciones que garanticen que las diferencias o conflictos que surjan durante el proceso sean resueltas por"&amp;" un ente especializado, imparcial y ahora democrático”. Con la convicción cimentada en la democracia directa, la equidad de género y el pluralismo, el magistrado Gilberto Bátiz García tomó posesión como nuevo presidente del TEPJF, donde planteó que impuls"&amp;"ará la colegialidad funcional, la cercanía con la ciudadanía, las decisiones que fortalezcan la estabilidad y gobernabilidad, el aterrizaje administrativo ordenado y racional y la justicia con rostro humano. En su primera sesión pública al frente del plen"&amp;"o del TEPJF, a donde llega como primer magistrado presidente electo por el voto popular, dejó claros los ejes en que ejercerá su cargo, basado primordialmente en el trabajo en equipo con sus colegas y el contacto directo con la gente, pues está convencido"&amp;" de que lo que no se conoce, no se valora. Y lo que no se valora, no se defiende. “La justicia no debe permanecer encerrada entre muros o expedientes; debe recorrer el territorio, escuchar de viva voz, explicar sus decisiones y fortalecer la educación cív"&amp;"ica, sobre todo entre los grupos históricamente discriminados y vulnerables”, expuso Bátiz García ante el pleno de la Sala Superior integrado por las magistradas Claudia Valle Aguilasocho, Mónica Aralí Soto Fregoso -quien participó de manera virtual-, así"&amp;" como los magistrados Felipe de la Mata Pizaña, Felipe Alfredo Fuentes Barrera y Reyes Rodríguez Mondragón. Respecto a la colegialidad funcional, el magistrado de origen chiapaneco señaló que, en un órgano como la Sala Superior, trabajar en equipo no es u"&amp;"na cortesía: es un deber constitucional y moral ante el pueblo. “La pluralidad de visiones es riqueza, pero sólo si se procesa con respeto, diálogo y responsabilidad compartida. Un tribunal dividido no sirve a México. Seré un catalizador de soluciones, no"&amp;" un generador de conflictos”, aseguró. En ese sentido, reconoció que es indispensable la experiencia, pericia y apertura de sus colegas magistradas y magistrados, ya que, sin su apoyo, sin su aporte, esta nueva etapa de la justicia electoral sería inviabl"&amp;"e. “Estoy seguro de que todas y todos comprendemos el momento histórico que enfrentamos y que, con compromiso y generosidad, aportaremos nuestro mayor conocimiento y experiencia al servicio de la democracia”, enfatizó. Manifestó que, en un país con retos "&amp;"internos y externos complejos, la justicia electoral debe ser pilar de paz social y certeza democrática, por lo que las juezas y jueces constitucionales electorales tienen, además de una obligación jurídica, una responsabilidad republicana: conducirse con"&amp;" una visión de Estado que permita la transmisión del poder de manera legal, legítima y sin conflictos. Refirió que la reforma judicial de 2024, junto con la reforma electoral en curso, exigen un reajuste del aparato administrativo de la justicia electoral"&amp;", por lo que se comprometió a ser sensible a las condiciones del país y revisar con responsabilidad cualquier ajuste presupuestal que fortalezca la racionalidad del gasto sin comprometer la independencia judicial. Destacó que impulsará la justicia con ros"&amp;"tro humano, que sea sensible a la diversidad del país y comprometida con un federalismo electoral vivo. “No es lo mismo aplicar la ley en San Pedro Garza García que en San Pedro Chenalhó; las reglas son las mismas, pero las condiciones sociales son distin"&amp;"tas, y la justicia debe entender esas diferencias de contexto”, precisó. En su discurso, Bátiz García recordó que, en su experiencia como funcionario público electoral en Chiapas por más de una década, ha aprendido que la democracia es frágil, y si no se "&amp;"cuida todos los días, se desmorona. Mencionó que México ha vivido momentos en que la voluntad popular ha sufrido presiones indebidas o violencia que amenaza el libre ejercicio del voto, además de que el abuso de poder y los excesos partidistas pueden eros"&amp;"ionar la confianza ciudadana. “Y cuando esa confianza se rompe, el desencanto abre la puerta a la indiferencia y a otros males mayores. Por eso, la democracia no puede darse por sentada; debe defenderse con reglas claras, instituciones íntegras y resultad"&amp;"os confiables que la ciudadanía sienta en su vida cotidiana”, sostuvo. A la sesión asistieron ministros de la SCJN; el presidente del Tribunal de Disciplina Judicial, Néstor Vargas Solano; la presidenta del Órgano de Administración Judicial, Celia Maya Ga"&amp;"rcía; consejeros del Instituto Nacional Electoral; magistradas y magistrados de las Salas Regionales del TEPJF, autoridades electorales estatales, legisladores y representantes de los partidos políticos. No hay etiquetas asociadas a éste artículo.")</f>
        <v>Al abrir la sesión solemne con motivo del inicio de la presidencia del magistrado Gilberto Bátiz García en el Tribunal Electoral del Poder Judicial de la Federación (TEPJF), el magistrado Felipe Alfredo Fuentes Barrera, en su calidad de decano de la Sala Superior, resaltó la coincidencia con el ideario de que la justicia debe ser cercana, humana y comprensible; un derecho de todas y todos, no un privilegio. A su vez, el ministro presidente de la Suprema Corte de Justicia de la Nación, Hugo Aguilar Ortiz, aseguró que “un pilar fundamental de la democracia es la garantía de que las elecciones sean libres, que los votos se cuenten bien y que existan instituciones que garanticen que las diferencias o conflictos que surjan durante el proceso sean resueltas por un ente especializado, imparcial y ahora democrático”. Con la convicción cimentada en la democracia directa, la equidad de género y el pluralismo, el magistrado Gilberto Bátiz García tomó posesión como nuevo presidente del TEPJF, donde planteó que impulsará la colegialidad funcional, la cercanía con la ciudadanía, las decisiones que fortalezcan la estabilidad y gobernabilidad, el aterrizaje administrativo ordenado y racional y la justicia con rostro humano. En su primera sesión pública al frente del pleno del TEPJF, a donde llega como primer magistrado presidente electo por el voto popular, dejó claros los ejes en que ejercerá su cargo, basado primordialmente en el trabajo en equipo con sus colegas y el contacto directo con la gente, pues está convencido de que lo que no se conoce, no se valora. Y lo que no se valora, no se defiende. “La justicia no debe permanecer encerrada entre muros o expedientes; debe recorrer el territorio, escuchar de viva voz, explicar sus decisiones y fortalecer la educación cívica, sobre todo entre los grupos históricamente discriminados y vulnerables”, expuso Bátiz García ante el pleno de la Sala Superior integrado por las magistradas Claudia Valle Aguilasocho, Mónica Aralí Soto Fregoso -quien participó de manera virtual-, así como los magistrados Felipe de la Mata Pizaña, Felipe Alfredo Fuentes Barrera y Reyes Rodríguez Mondragón. Respecto a la colegialidad funcional, el magistrado de origen chiapaneco señaló que, en un órgano como la Sala Superior, trabajar en equipo no es una cortesía: es un deber constitucional y moral ante el pueblo. “La pluralidad de visiones es riqueza, pero sólo si se procesa con respeto, diálogo y responsabilidad compartida. Un tribunal dividido no sirve a México. Seré un catalizador de soluciones, no un generador de conflictos”, aseguró. En ese sentido, reconoció que es indispensable la experiencia, pericia y apertura de sus colegas magistradas y magistrados, ya que, sin su apoyo, sin su aporte, esta nueva etapa de la justicia electoral sería inviable. “Estoy seguro de que todas y todos comprendemos el momento histórico que enfrentamos y que, con compromiso y generosidad, aportaremos nuestro mayor conocimiento y experiencia al servicio de la democracia”, enfatizó. Manifestó que, en un país con retos internos y externos complejos, la justicia electoral debe ser pilar de paz social y certeza democrática, por lo que las juezas y jueces constitucionales electorales tienen, además de una obligación jurídica, una responsabilidad republicana: conducirse con una visión de Estado que permita la transmisión del poder de manera legal, legítima y sin conflictos. Refirió que la reforma judicial de 2024, junto con la reforma electoral en curso, exigen un reajuste del aparato administrativo de la justicia electoral, por lo que se comprometió a ser sensible a las condiciones del país y revisar con responsabilidad cualquier ajuste presupuestal que fortalezca la racionalidad del gasto sin comprometer la independencia judicial. Destacó que impulsará la justicia con rostro humano, que sea sensible a la diversidad del país y comprometida con un federalismo electoral vivo. “No es lo mismo aplicar la ley en San Pedro Garza García que en San Pedro Chenalhó; las reglas son las mismas, pero las condiciones sociales son distintas, y la justicia debe entender esas diferencias de contexto”, precisó. En su discurso, Bátiz García recordó que, en su experiencia como funcionario público electoral en Chiapas por más de una década, ha aprendido que la democracia es frágil, y si no se cuida todos los días, se desmorona. Mencionó que México ha vivido momentos en que la voluntad popular ha sufrido presiones indebidas o violencia que amenaza el libre ejercicio del voto, además de que el abuso de poder y los excesos partidistas pueden erosionar la confianza ciudadana. “Y cuando esa confianza se rompe, el desencanto abre la puerta a la indiferencia y a otros males mayores. Por eso, la democracia no puede darse por sentada; debe defenderse con reglas claras, instituciones íntegras y resultados confiables que la ciudadanía sienta en su vida cotidiana”, sostuvo. A la sesión asistieron ministros de la SCJN; el presidente del Tribunal de Disciplina Judicial, Néstor Vargas Solano; la presidenta del Órgano de Administración Judicial, Celia Maya García; consejeros del Instituto Nacional Electoral; magistradas y magistrados de las Salas Regionales del TEPJF, autoridades electorales estatales, legisladores y representantes de los partidos políticos. No hay etiquetas asociadas a éste artículo.</v>
      </c>
      <c r="O190" s="15">
        <f>IFERROR(__xludf.DUMMYFUNCTION("""COMPUTED_VALUE"""),0.3445)</f>
        <v>0.3445</v>
      </c>
      <c r="P190" s="2"/>
      <c r="Q190" s="17">
        <f>IFERROR(__xludf.DUMMYFUNCTION("""COMPUTED_VALUE"""),3.0)</f>
        <v>3</v>
      </c>
      <c r="R190" s="2" t="str">
        <f>IFERROR(__xludf.DUMMYFUNCTION("""COMPUTED_VALUE"""),"Low")</f>
        <v>Low</v>
      </c>
      <c r="S190" s="17">
        <f>IFERROR(__xludf.DUMMYFUNCTION("""COMPUTED_VALUE"""),0.0)</f>
        <v>0</v>
      </c>
      <c r="T190" s="17">
        <f>IFERROR(__xludf.DUMMYFUNCTION("""COMPUTED_VALUE"""),0.0)</f>
        <v>0</v>
      </c>
      <c r="U190" s="14">
        <f>IFERROR(__xludf.DUMMYFUNCTION("""COMPUTED_VALUE"""),2.0)</f>
        <v>2</v>
      </c>
      <c r="V190" s="14">
        <v>2025.0</v>
      </c>
      <c r="W190" s="2" t="s">
        <v>1206</v>
      </c>
      <c r="X190" s="2" t="s">
        <v>1203</v>
      </c>
      <c r="Y190" s="13" t="s">
        <v>762</v>
      </c>
      <c r="Z190" s="14">
        <v>0.0</v>
      </c>
      <c r="AA190" s="14">
        <v>0.0</v>
      </c>
      <c r="AB190" s="14">
        <v>0.0</v>
      </c>
      <c r="AC190" s="14">
        <v>0.0</v>
      </c>
      <c r="AD190" s="2">
        <v>0.0</v>
      </c>
      <c r="AE190" s="2">
        <v>0.0</v>
      </c>
      <c r="AF190" s="2">
        <v>11.0</v>
      </c>
      <c r="AG190" s="2" t="s">
        <v>1172</v>
      </c>
      <c r="AH190" s="2">
        <v>0.0</v>
      </c>
    </row>
    <row r="191" ht="15.75" customHeight="1">
      <c r="A191" s="2" t="str">
        <f>IFERROR(__xludf.DUMMYFUNCTION("""COMPUTED_VALUE"""),"Diario Portal")</f>
        <v>Diario Portal</v>
      </c>
      <c r="B191" s="12" t="str">
        <f>IFERROR(__xludf.DUMMYFUNCTION("""COMPUTED_VALUE"""),"Tlalnepantla está libre de feminicidios y secuestros; bajan 19% delitos de alto impacto")</f>
        <v>Tlalnepantla está libre de feminicidios y secuestros; bajan 19% delitos de alto impacto</v>
      </c>
      <c r="C191" s="13" t="str">
        <f>IFERROR(__xludf.DUMMYFUNCTION("""COMPUTED_VALUE"""),"2025-11-05 18:32:09")</f>
        <v>2025-11-05 18:32:09</v>
      </c>
      <c r="D191" s="14">
        <f>IFERROR(__xludf.DUMMYFUNCTION("""COMPUTED_VALUE"""),5.0)</f>
        <v>5</v>
      </c>
      <c r="E191" s="15">
        <f>IFERROR(__xludf.DUMMYFUNCTION("""COMPUTED_VALUE"""),0.0)</f>
        <v>0</v>
      </c>
      <c r="F191" s="2" t="str">
        <f>IFERROR(__xludf.DUMMYFUNCTION("""COMPUTED_VALUE"""),"Neutral")</f>
        <v>Neutral</v>
      </c>
      <c r="G191" s="15">
        <f>IFERROR(__xludf.DUMMYFUNCTION("""COMPUTED_VALUE"""),0.451)</f>
        <v>0.451</v>
      </c>
      <c r="H191" s="2" t="str">
        <f>IFERROR(__xludf.DUMMYFUNCTION("""COMPUTED_VALUE"""),"Delito violento, robo o asalto")</f>
        <v>Delito violento, robo o asalto</v>
      </c>
      <c r="I191" s="2" t="str">
        <f>IFERROR(__xludf.DUMMYFUNCTION("""COMPUTED_VALUE"""),"homicidio")</f>
        <v>homicidio</v>
      </c>
      <c r="J191" s="2" t="str">
        <f>IFERROR(__xludf.DUMMYFUNCTION("""COMPUTED_VALUE"""),"Prevención PAX: Contactos de confianza.")</f>
        <v>Prevención PAX: Contactos de confianza.</v>
      </c>
      <c r="K191" s="2" t="str">
        <f>IFERROR(__xludf.DUMMYFUNCTION("""COMPUTED_VALUE"""),"Tlalnepantla de Baz")</f>
        <v>Tlalnepantla de Baz</v>
      </c>
      <c r="L191" s="2" t="str">
        <f>IFERROR(__xludf.DUMMYFUNCTION("""COMPUTED_VALUE"""),"Estado de México")</f>
        <v>Estado de México</v>
      </c>
      <c r="M191" s="16" t="str">
        <f>IFERROR(__xludf.DUMMYFUNCTION("""COMPUTED_VALUE"""),"https://diarioportal.com/seguridad-y-justicia/tlalnepantla-esta-libre-de-feminicidios-y-secuestros-bajan-19-delitos-de-alto-impacto")</f>
        <v>https://diarioportal.com/seguridad-y-justicia/tlalnepantla-esta-libre-de-feminicidios-y-secuestros-bajan-19-delitos-de-alto-impacto</v>
      </c>
      <c r="N191" s="2" t="str">
        <f>IFERROR(__xludf.DUMMYFUNCTION("""COMPUTED_VALUE"""),"Como resultado de la estrategia de seguridad basada en inteligencia operativa, proximidad social y coordinación interinstitucional, Tlalnepantla registró una reducción del 19% en delitos de alto impacto, informó el presidente municipal, Raciel Pérez Cruz,"&amp;" con base en cifras del Secretariado Ejecutivo del Sistema Nacional de Seguridad Pública. En conferencia de prensa, señaló que estas cifras reflejan que las acciones de la Comisaría General de Proximidad y Seguridad Ciudadana han comenzado a mostrar resul"&amp;"tados favorables en la protección de la población. Destacó que, aunque la tendencia en el delito de homicidio doloso muestra una reducción del 19%, la administración municipal no está conforme, por lo que continuará reforzando la estrategia de prevención "&amp;"y patrullajes focalizados. Pérez Cruz subrayó que en Tlalnepantla no se registran casos de secuestro, trata de personas ni feminicidios, lo cual atribuyó a las campañas de prevención y a la vigilancia comunitaria realizada en colonias y espacios públicos."&amp;" Agregó que el incremento en carpetas por narcomenudeo responde a las puestas a disposición derivadas de operativos realizados en coordinación con fuerzas estatales y federales, como parte de la estrategia nacional de seguridad. Respecto al robo de vehícu"&amp;"lo, el alcalde informó que el municipio presenta una tendencia a la baja tanto en su modalidad con violencia como sin ella, e invitó a la ciudadanía a presentar denuncias para fortalecer los mecanismos de respuesta. Finalmente, señaló que el Plan Integral"&amp;" de Oriente impulsa un modelo de seguridad con mando coordinado, y reafirmó que se continuará con operativos, vinculación policial y rescate de espacios públicos, con el objetivo de consolidar entornos seguros para todas y todos. No hay etiquetas asociada"&amp;"s a éste artículo.")</f>
        <v>Como resultado de la estrategia de seguridad basada en inteligencia operativa, proximidad social y coordinación interinstitucional, Tlalnepantla registró una reducción del 19% en delitos de alto impacto, informó el presidente municipal, Raciel Pérez Cruz, con base en cifras del Secretariado Ejecutivo del Sistema Nacional de Seguridad Pública. En conferencia de prensa, señaló que estas cifras reflejan que las acciones de la Comisaría General de Proximidad y Seguridad Ciudadana han comenzado a mostrar resultados favorables en la protección de la población. Destacó que, aunque la tendencia en el delito de homicidio doloso muestra una reducción del 19%, la administración municipal no está conforme, por lo que continuará reforzando la estrategia de prevención y patrullajes focalizados. Pérez Cruz subrayó que en Tlalnepantla no se registran casos de secuestro, trata de personas ni feminicidios, lo cual atribuyó a las campañas de prevención y a la vigilancia comunitaria realizada en colonias y espacios públicos. Agregó que el incremento en carpetas por narcomenudeo responde a las puestas a disposición derivadas de operativos realizados en coordinación con fuerzas estatales y federales, como parte de la estrategia nacional de seguridad. Respecto al robo de vehículo, el alcalde informó que el municipio presenta una tendencia a la baja tanto en su modalidad con violencia como sin ella, e invitó a la ciudadanía a presentar denuncias para fortalecer los mecanismos de respuesta. Finalmente, señaló que el Plan Integral de Oriente impulsa un modelo de seguridad con mando coordinado, y reafirmó que se continuará con operativos, vinculación policial y rescate de espacios públicos, con el objetivo de consolidar entornos seguros para todas y todos. No hay etiquetas asociadas a éste artículo.</v>
      </c>
      <c r="O191" s="15">
        <f>IFERROR(__xludf.DUMMYFUNCTION("""COMPUTED_VALUE"""),1.0)</f>
        <v>1</v>
      </c>
      <c r="P191" s="2"/>
      <c r="Q191" s="17">
        <f>IFERROR(__xludf.DUMMYFUNCTION("""COMPUTED_VALUE"""),7.0)</f>
        <v>7</v>
      </c>
      <c r="R191" s="2" t="str">
        <f>IFERROR(__xludf.DUMMYFUNCTION("""COMPUTED_VALUE"""),"High")</f>
        <v>High</v>
      </c>
      <c r="S191" s="17">
        <f>IFERROR(__xludf.DUMMYFUNCTION("""COMPUTED_VALUE"""),7.0)</f>
        <v>7</v>
      </c>
      <c r="T191" s="17">
        <f>IFERROR(__xludf.DUMMYFUNCTION("""COMPUTED_VALUE"""),0.0)</f>
        <v>0</v>
      </c>
      <c r="U191" s="14">
        <f>IFERROR(__xludf.DUMMYFUNCTION("""COMPUTED_VALUE"""),2.0)</f>
        <v>2</v>
      </c>
      <c r="V191" s="14">
        <v>2025.0</v>
      </c>
      <c r="W191" s="2" t="s">
        <v>1206</v>
      </c>
      <c r="X191" s="2" t="s">
        <v>1203</v>
      </c>
      <c r="Y191" s="13" t="s">
        <v>766</v>
      </c>
      <c r="Z191" s="14">
        <v>0.0</v>
      </c>
      <c r="AA191" s="14">
        <v>0.0</v>
      </c>
      <c r="AB191" s="14">
        <v>0.0</v>
      </c>
      <c r="AC191" s="14">
        <v>0.0</v>
      </c>
      <c r="AD191" s="2">
        <v>0.0</v>
      </c>
      <c r="AE191" s="2">
        <v>1.0</v>
      </c>
      <c r="AF191" s="2">
        <v>11.0</v>
      </c>
      <c r="AG191" s="2" t="s">
        <v>1219</v>
      </c>
      <c r="AH191" s="2">
        <v>0.0</v>
      </c>
    </row>
    <row r="192" ht="15.75" customHeight="1">
      <c r="A192" s="2" t="str">
        <f>IFERROR(__xludf.DUMMYFUNCTION("""COMPUTED_VALUE"""),"Diario Portal")</f>
        <v>Diario Portal</v>
      </c>
      <c r="B192" s="12" t="str">
        <f>IFERROR(__xludf.DUMMYFUNCTION("""COMPUTED_VALUE"""),"Accidente en la México-Pirámides deja una persona sin vida")</f>
        <v>Accidente en la México-Pirámides deja una persona sin vida</v>
      </c>
      <c r="C192" s="13" t="str">
        <f>IFERROR(__xludf.DUMMYFUNCTION("""COMPUTED_VALUE"""),"2025-11-05 10:01:32")</f>
        <v>2025-11-05 10:01:32</v>
      </c>
      <c r="D192" s="14">
        <f>IFERROR(__xludf.DUMMYFUNCTION("""COMPUTED_VALUE"""),2.0)</f>
        <v>2</v>
      </c>
      <c r="E192" s="15">
        <f>IFERROR(__xludf.DUMMYFUNCTION("""COMPUTED_VALUE"""),-0.7541)</f>
        <v>-0.7541</v>
      </c>
      <c r="F192" s="2" t="str">
        <f>IFERROR(__xludf.DUMMYFUNCTION("""COMPUTED_VALUE"""),"Negativo")</f>
        <v>Negativo</v>
      </c>
      <c r="G192" s="15">
        <f>IFERROR(__xludf.DUMMYFUNCTION("""COMPUTED_VALUE"""),0.7541)</f>
        <v>0.7541</v>
      </c>
      <c r="H192" s="2" t="str">
        <f>IFERROR(__xludf.DUMMYFUNCTION("""COMPUTED_VALUE"""),"Accidente de tránsito o choque vial")</f>
        <v>Accidente de tránsito o choque vial</v>
      </c>
      <c r="I192" s="2" t="str">
        <f>IFERROR(__xludf.DUMMYFUNCTION("""COMPUTED_VALUE"""),"N/A")</f>
        <v>N/A</v>
      </c>
      <c r="J192" s="2" t="str">
        <f>IFERROR(__xludf.DUMMYFUNCTION("""COMPUTED_VALUE"""),"Seguridad Vial: Monitoreo de zona.")</f>
        <v>Seguridad Vial: Monitoreo de zona.</v>
      </c>
      <c r="K192" s="2" t="str">
        <f>IFERROR(__xludf.DUMMYFUNCTION("""COMPUTED_VALUE"""),"Ciudad de México")</f>
        <v>Ciudad de México</v>
      </c>
      <c r="L192" s="2" t="str">
        <f>IFERROR(__xludf.DUMMYFUNCTION("""COMPUTED_VALUE"""),"Ciudad de México")</f>
        <v>Ciudad de México</v>
      </c>
      <c r="M192" s="16" t="str">
        <f>IFERROR(__xludf.DUMMYFUNCTION("""COMPUTED_VALUE"""),"https://diarioportal.com/seguridad-y-justicia/accidente-en-la-mexicopiramides-deja-una-persona-sin-vida")</f>
        <v>https://diarioportal.com/seguridad-y-justicia/accidente-en-la-mexicopiramides-deja-una-persona-sin-vida</v>
      </c>
      <c r="N192" s="2" t="str">
        <f>IFERROR(__xludf.DUMMYFUNCTION("""COMPUTED_VALUE"""),"Una persona murió tras ser atropellada por un vehículo al intentar cruzar la autopista México-Pirámides a la altura del municipio de Acolman, simultáneamente un tráiler volcó por lo que la autopista fue cerrada lo que generó severo caos vial. El accidente"&amp;" ocurrió alrededor de las 3:00 horas cuando un tráiler circulaba sobre la autopista México-Pirámides con dirección a la Ciudad de México. Pero al llegar al kilómetro 14 a la altura del municipio de Acolman el chófer perdió el control y volcó quedando sobr"&amp;"e el carril de alta, al lugar llegaron elementos de la Guardia Nacional quienes abanderaron la circulación. Minutos después a la altura del kilómetro 13 una persona fue atropellada por un auto color verde al intentar cruzar la autopista, Paramédicos de Ca"&amp;"minos y Puente Federales (Capufe), arribaron al sitio quien tras valorar a la persona certificaron que ya no contaba con signos vitales. El lugar fue acordonado por los uniformados mientras los peritos de la Fiscalía General de Justicia del Estado de Méxi"&amp;"co (FGJEM), llevó a cabo las diligencias correspondientes y el levantamiento del cuerpo. Tras los accidentes la autopista fue cerrada lo que generó severo caos vial. No hay etiquetas asociadas a éste artículo.")</f>
        <v>Una persona murió tras ser atropellada por un vehículo al intentar cruzar la autopista México-Pirámides a la altura del municipio de Acolman, simultáneamente un tráiler volcó por lo que la autopista fue cerrada lo que generó severo caos vial. El accidente ocurrió alrededor de las 3:00 horas cuando un tráiler circulaba sobre la autopista México-Pirámides con dirección a la Ciudad de México. Pero al llegar al kilómetro 14 a la altura del municipio de Acolman el chófer perdió el control y volcó quedando sobre el carril de alta, al lugar llegaron elementos de la Guardia Nacional quienes abanderaron la circulación. Minutos después a la altura del kilómetro 13 una persona fue atropellada por un auto color verde al intentar cruzar la autopista, Paramédicos de Caminos y Puente Federales (Capufe), arribaron al sitio quien tras valorar a la persona certificaron que ya no contaba con signos vitales. El lugar fue acordonado por los uniformados mientras los peritos de la Fiscalía General de Justicia del Estado de México (FGJEM), llevó a cabo las diligencias correspondientes y el levantamiento del cuerpo. Tras los accidentes la autopista fue cerrada lo que generó severo caos vial. No hay etiquetas asociadas a éste artículo.</v>
      </c>
      <c r="O192" s="15">
        <f>IFERROR(__xludf.DUMMYFUNCTION("""COMPUTED_VALUE"""),0.7497)</f>
        <v>0.7497</v>
      </c>
      <c r="P192" s="2"/>
      <c r="Q192" s="17">
        <f>IFERROR(__xludf.DUMMYFUNCTION("""COMPUTED_VALUE"""),3.0)</f>
        <v>3</v>
      </c>
      <c r="R192" s="2" t="str">
        <f>IFERROR(__xludf.DUMMYFUNCTION("""COMPUTED_VALUE"""),"Low")</f>
        <v>Low</v>
      </c>
      <c r="S192" s="17">
        <f>IFERROR(__xludf.DUMMYFUNCTION("""COMPUTED_VALUE"""),0.0)</f>
        <v>0</v>
      </c>
      <c r="T192" s="17">
        <f>IFERROR(__xludf.DUMMYFUNCTION("""COMPUTED_VALUE"""),0.0)</f>
        <v>0</v>
      </c>
      <c r="U192" s="14">
        <f>IFERROR(__xludf.DUMMYFUNCTION("""COMPUTED_VALUE"""),2.0)</f>
        <v>2</v>
      </c>
      <c r="V192" s="14">
        <v>2025.0</v>
      </c>
      <c r="W192" s="2" t="s">
        <v>1206</v>
      </c>
      <c r="X192" s="2" t="s">
        <v>1203</v>
      </c>
      <c r="Y192" s="13" t="s">
        <v>770</v>
      </c>
      <c r="Z192" s="14">
        <v>0.0</v>
      </c>
      <c r="AA192" s="14">
        <v>0.0</v>
      </c>
      <c r="AB192" s="14">
        <v>0.0</v>
      </c>
      <c r="AC192" s="14">
        <v>0.0</v>
      </c>
      <c r="AD192" s="2">
        <v>0.0</v>
      </c>
      <c r="AE192" s="2">
        <v>0.0</v>
      </c>
      <c r="AF192" s="2">
        <v>11.0</v>
      </c>
      <c r="AG192" s="2" t="s">
        <v>1175</v>
      </c>
      <c r="AH192" s="2">
        <v>0.0</v>
      </c>
    </row>
    <row r="193" ht="15.75" customHeight="1">
      <c r="A193" s="2" t="str">
        <f>IFERROR(__xludf.DUMMYFUNCTION("""COMPUTED_VALUE"""),"Diario Portal")</f>
        <v>Diario Portal</v>
      </c>
      <c r="B193" s="12" t="str">
        <f>IFERROR(__xludf.DUMMYFUNCTION("""COMPUTED_VALUE"""),"Hallan ileso a  transportista  secuestrado  en Jilotepec;  detienen a   3 presuntos  plagiarios")</f>
        <v>Hallan ileso a  transportista  secuestrado  en Jilotepec;  detienen a   3 presuntos  plagiarios</v>
      </c>
      <c r="C193" s="13" t="str">
        <f>IFERROR(__xludf.DUMMYFUNCTION("""COMPUTED_VALUE"""),"Sin Fecha")</f>
        <v>Sin Fecha</v>
      </c>
      <c r="D193" s="14">
        <f>IFERROR(__xludf.DUMMYFUNCTION("""COMPUTED_VALUE"""),5.0)</f>
        <v>5</v>
      </c>
      <c r="E193" s="15">
        <f>IFERROR(__xludf.DUMMYFUNCTION("""COMPUTED_VALUE"""),0.0)</f>
        <v>0</v>
      </c>
      <c r="F193" s="2" t="str">
        <f>IFERROR(__xludf.DUMMYFUNCTION("""COMPUTED_VALUE"""),"Neutral")</f>
        <v>Neutral</v>
      </c>
      <c r="G193" s="15">
        <f>IFERROR(__xludf.DUMMYFUNCTION("""COMPUTED_VALUE"""),0.4458)</f>
        <v>0.4458</v>
      </c>
      <c r="H193" s="2" t="str">
        <f>IFERROR(__xludf.DUMMYFUNCTION("""COMPUTED_VALUE"""),"Operativo policial o detención")</f>
        <v>Operativo policial o detención</v>
      </c>
      <c r="I193" s="2" t="str">
        <f>IFERROR(__xludf.DUMMYFUNCTION("""COMPUTED_VALUE"""),"N/A")</f>
        <v>N/A</v>
      </c>
      <c r="J193" s="2" t="str">
        <f>IFERROR(__xludf.DUMMYFUNCTION("""COMPUTED_VALUE"""),"Monitoreo general.")</f>
        <v>Monitoreo general.</v>
      </c>
      <c r="K193" s="2" t="str">
        <f>IFERROR(__xludf.DUMMYFUNCTION("""COMPUTED_VALUE"""),"Estado de México")</f>
        <v>Estado de México</v>
      </c>
      <c r="L193" s="2" t="str">
        <f>IFERROR(__xludf.DUMMYFUNCTION("""COMPUTED_VALUE"""),"Estado de México")</f>
        <v>Estado de México</v>
      </c>
      <c r="M193" s="16" t="str">
        <f>IFERROR(__xludf.DUMMYFUNCTION("""COMPUTED_VALUE"""),"https://diarioportal.com/seguridad-y-justicia/hallan-ileso-a-transportista-secuestrado-en-jilotepec-detienen-a-3-presuntos-plagiarios")</f>
        <v>https://diarioportal.com/seguridad-y-justicia/hallan-ileso-a-transportista-secuestrado-en-jilotepec-detienen-a-3-presuntos-plagiarios</v>
      </c>
      <c r="N193" s="2" t="str">
        <f>IFERROR(__xludf.DUMMYFUNCTION("""COMPUTED_VALUE"""),"La Fiscalía General de Justicia del Estado de México (FGJEM) informó que fue localizado con vida y en aparente buen estado de salud Fernando Galindo Salvador, transportista de 69 años de edad que había sido secuestrado el pasado 30 de octubre en el ejido "&amp;"de San Lorenzo Octeyuco, municipio de Jilotepec. De acuerdo con la dependencia, durante el operativo y en el marco de las acciones de investigación, fueron detenidos tres sujetos, entre ellos Nery 'N' alias 'El Moto', identificado como integrante de un gr"&amp;"upo criminal con orígenes en Michoacán. Era el encargado de ""alinear"" a taxistas en los municipios de Jilotepec, Soyaniquilpan y Acambay, para lo cual privaba de la libertad a sus líderes. La FGJEM detalló que las detenciones se realizaron en el marco d"&amp;"e una estrategia conjunta con la Secretaría de Seguridad del Estado de México (SSEM), por lo que continúan las investigaciones para desarticular por completo esta red delictiva que opera en la región norte del Estado de México. Cabe señalar que por esta s"&amp;"ituación, la Alianza de Autotransportistas Autónomos de la República Mexicana A.C. realizaron cierres y bloqueos viales el pasado lunes,  especialmente en la autopista México-Querétaro y en accesos a la Ciudad de México y Estado de México. Además, solicit"&amp;"aron una mesa de diálogo directa con el Fiscal General del Estado de México, Jose Luis Cervantes Martínez y exigieron a las autoridades una respuesta en un plazo no mayor a 48 horas, de lo contrario, nuevamente realizarían un paro estatal en principales z"&amp;"onas viales no solo de la zona norte, sino la afectación de todos los accesos a la Ciudad de México, así como un paro nacional y una marcha a Palacio Nacional. Los transportistas expresaron su indignación por la creciente ola de inseguridad, extorsión y s"&amp;"ecuestros que afecta al gremio en las carreteras del país, exigiendo a las autoridades de los tres niveles de gobierno una mayor respuesta y medidas para garantizar su seguridad al recorrer diariamente las carreteras del país. También denunciaron que la i"&amp;"nseguridad, los secuestros y las extorsiones han golpeado duramente al Estado de México y a la ciudadanía, además de que han afectado a los transportistas y ya no quieren seguir siendo víctimas de la impunidad. No hay etiquetas asociadas a éste artículo.")</f>
        <v>La Fiscalía General de Justicia del Estado de México (FGJEM) informó que fue localizado con vida y en aparente buen estado de salud Fernando Galindo Salvador, transportista de 69 años de edad que había sido secuestrado el pasado 30 de octubre en el ejido de San Lorenzo Octeyuco, municipio de Jilotepec. De acuerdo con la dependencia, durante el operativo y en el marco de las acciones de investigación, fueron detenidos tres sujetos, entre ellos Nery 'N' alias 'El Moto', identificado como integrante de un grupo criminal con orígenes en Michoacán. Era el encargado de "alinear" a taxistas en los municipios de Jilotepec, Soyaniquilpan y Acambay, para lo cual privaba de la libertad a sus líderes. La FGJEM detalló que las detenciones se realizaron en el marco de una estrategia conjunta con la Secretaría de Seguridad del Estado de México (SSEM), por lo que continúan las investigaciones para desarticular por completo esta red delictiva que opera en la región norte del Estado de México. Cabe señalar que por esta situación, la Alianza de Autotransportistas Autónomos de la República Mexicana A.C. realizaron cierres y bloqueos viales el pasado lunes,  especialmente en la autopista México-Querétaro y en accesos a la Ciudad de México y Estado de México. Además, solicitaron una mesa de diálogo directa con el Fiscal General del Estado de México, Jose Luis Cervantes Martínez y exigieron a las autoridades una respuesta en un plazo no mayor a 48 horas, de lo contrario, nuevamente realizarían un paro estatal en principales zonas viales no solo de la zona norte, sino la afectación de todos los accesos a la Ciudad de México, así como un paro nacional y una marcha a Palacio Nacional. Los transportistas expresaron su indignación por la creciente ola de inseguridad, extorsión y secuestros que afecta al gremio en las carreteras del país, exigiendo a las autoridades de los tres niveles de gobierno una mayor respuesta y medidas para garantizar su seguridad al recorrer diariamente las carreteras del país. También denunciaron que la inseguridad, los secuestros y las extorsiones han golpeado duramente al Estado de México y a la ciudadanía, además de que han afectado a los transportistas y ya no quieren seguir siendo víctimas de la impunidad. No hay etiquetas asociadas a éste artículo.</v>
      </c>
      <c r="O193" s="15">
        <f>IFERROR(__xludf.DUMMYFUNCTION("""COMPUTED_VALUE"""),0.7032)</f>
        <v>0.7032</v>
      </c>
      <c r="P193" s="2"/>
      <c r="Q193" s="17">
        <f>IFERROR(__xludf.DUMMYFUNCTION("""COMPUTED_VALUE"""),5.0)</f>
        <v>5</v>
      </c>
      <c r="R193" s="2" t="str">
        <f>IFERROR(__xludf.DUMMYFUNCTION("""COMPUTED_VALUE"""),"Low")</f>
        <v>Low</v>
      </c>
      <c r="S193" s="17">
        <f>IFERROR(__xludf.DUMMYFUNCTION("""COMPUTED_VALUE"""),0.0)</f>
        <v>0</v>
      </c>
      <c r="T193" s="17">
        <f>IFERROR(__xludf.DUMMYFUNCTION("""COMPUTED_VALUE"""),0.0)</f>
        <v>0</v>
      </c>
      <c r="U193" s="14">
        <f>IFERROR(__xludf.DUMMYFUNCTION("""COMPUTED_VALUE"""),2.0)</f>
        <v>2</v>
      </c>
      <c r="V193" s="14" t="s">
        <v>1186</v>
      </c>
      <c r="W193" s="2" t="s">
        <v>190</v>
      </c>
      <c r="X193" s="2" t="s">
        <v>190</v>
      </c>
      <c r="Y193" s="13"/>
      <c r="Z193" s="14">
        <v>0.0</v>
      </c>
      <c r="AA193" s="14">
        <v>0.0</v>
      </c>
      <c r="AB193" s="14">
        <v>0.0</v>
      </c>
      <c r="AC193" s="14">
        <v>0.0</v>
      </c>
      <c r="AD193" s="2">
        <v>0.0</v>
      </c>
      <c r="AE193" s="2">
        <v>1.0</v>
      </c>
      <c r="AF193" s="2" t="s">
        <v>1186</v>
      </c>
      <c r="AG193" s="2" t="s">
        <v>1202</v>
      </c>
      <c r="AH193" s="2">
        <v>0.0</v>
      </c>
    </row>
    <row r="194" ht="15.75" customHeight="1">
      <c r="A194" s="2" t="str">
        <f>IFERROR(__xludf.DUMMYFUNCTION("""COMPUTED_VALUE"""),"Diario Portal")</f>
        <v>Diario Portal</v>
      </c>
      <c r="B194" s="12" t="str">
        <f>IFERROR(__xludf.DUMMYFUNCTION("""COMPUTED_VALUE"""),"Exigen cesar a alcaldesa de El Oro por robo de dinero público y abandono de funciones")</f>
        <v>Exigen cesar a alcaldesa de El Oro por robo de dinero público y abandono de funciones</v>
      </c>
      <c r="C194" s="13" t="str">
        <f>IFERROR(__xludf.DUMMYFUNCTION("""COMPUTED_VALUE"""),"2025-11-04 19:11:02")</f>
        <v>2025-11-04 19:11:02</v>
      </c>
      <c r="D194" s="14">
        <f>IFERROR(__xludf.DUMMYFUNCTION("""COMPUTED_VALUE"""),1.0)</f>
        <v>1</v>
      </c>
      <c r="E194" s="15">
        <f>IFERROR(__xludf.DUMMYFUNCTION("""COMPUTED_VALUE"""),-0.8413)</f>
        <v>-0.8413</v>
      </c>
      <c r="F194" s="2" t="str">
        <f>IFERROR(__xludf.DUMMYFUNCTION("""COMPUTED_VALUE"""),"Negativo")</f>
        <v>Negativo</v>
      </c>
      <c r="G194" s="15">
        <f>IFERROR(__xludf.DUMMYFUNCTION("""COMPUTED_VALUE"""),0.8413)</f>
        <v>0.8413</v>
      </c>
      <c r="H194" s="2" t="str">
        <f>IFERROR(__xludf.DUMMYFUNCTION("""COMPUTED_VALUE"""),"Otros temas generales")</f>
        <v>Otros temas generales</v>
      </c>
      <c r="I194" s="2" t="str">
        <f>IFERROR(__xludf.DUMMYFUNCTION("""COMPUTED_VALUE"""),"N/A")</f>
        <v>N/A</v>
      </c>
      <c r="J194" s="2" t="str">
        <f>IFERROR(__xludf.DUMMYFUNCTION("""COMPUTED_VALUE"""),"Descartar / Baja prioridad.")</f>
        <v>Descartar / Baja prioridad.</v>
      </c>
      <c r="K194" s="2" t="str">
        <f>IFERROR(__xludf.DUMMYFUNCTION("""COMPUTED_VALUE"""),"Estado de México")</f>
        <v>Estado de México</v>
      </c>
      <c r="L194" s="2" t="str">
        <f>IFERROR(__xludf.DUMMYFUNCTION("""COMPUTED_VALUE"""),"Estado de México")</f>
        <v>Estado de México</v>
      </c>
      <c r="M194" s="16" t="str">
        <f>IFERROR(__xludf.DUMMYFUNCTION("""COMPUTED_VALUE"""),"https://diarioportal.com/seguridad-y-justicia/exigen-cesar-a-alcaldesa-de-el-oro-por-robo-de-dinero-publico-y-abandono-de-funciones")</f>
        <v>https://diarioportal.com/seguridad-y-justicia/exigen-cesar-a-alcaldesa-de-el-oro-por-robo-de-dinero-publico-y-abandono-de-funciones</v>
      </c>
      <c r="N194" s="2" t="str">
        <f>IFERROR(__xludf.DUMMYFUNCTION("""COMPUTED_VALUE"""),"Integrantes del Cabildo de El Oro ingresaron al Congreso Mexiquense una solicitud formal para la destitución de la presidenta municipal morenista, Juana Elizabeth Díaz Peñaloza, a quien acusan de presunto abandono de funciones, desvío de recursos y manten"&amp;"er al municipio en un “estado de caos e ingobernabilidad”. El síndico municipal Ubaldo Velázquez Piedra indicó que la decisión fue tomada en sesión ordinaria de cabildo, donde por mayoría aprobaron solicitar la remoción de la edil, pues el municipio está "&amp;"sumido en el desorden, la población lleva cuatro días sin agua potable, las calles están inundadas de basura y los empleados municipales no reciben su salario. Junto con las y los regidores Melissa González del PVEM, Claudia Moreno y José Dolores de Moren"&amp;"a, Fernanda Martínez y Agustín Bastida del PRI, así como Erika Rodríguez del PAN, denunció que la administración municipal carece de estructura legal básica, pues la Contraloría Municipal no cuenta con titulares en las unidades de investigación y resoluci"&amp;"ón, lo que impide tramitar quejas ciudadanas. Agregó que los ingresos municipales de plazas, baños públicos y centros turísticos, que son de cerca de 150 mil a 200 mil pesos mensuales, no son reportados a la tesorería, sino entregados directamente a la al"&amp;"caldesa, lo que podría configurar un delito de desvío de recursos, además de que son aproximadamente 450 empleados municipales y a muchos se les adeudan hasta cinco quincenas. Velázquez Piedra adelantó que en los próximos días presentará una denuncia pena"&amp;"l por presunto desvío de fondos y uso indebido de recursos públicos, además de que actualmente existen cinco denuncias presentadas ante la Contraloría Interna y la Contraloría del Poder Legislativo. También denunció que la presidenta prohíbe las transmisi"&amp;"ones de las sesiones de cabildo, impide el acceso ciudadano a los recintos oficiales y ha ordenado a su personal no recibir oficios ni sellar documentos oficiales, bloqueando la operación administrativa del ayuntamiento. Acusó que la presidenta municipal "&amp;"ha cerrado espacios culturales y deportivos como la Casa de Cultura, el Oro Club, el Teatro Juárez y el Palacio Municipal, además ordenó clausurar el vagón turístico, uno de los principales atractivos del municipio, no hay servicios públicos prioritarios "&amp;"ni gobernabilidad porque la presidenta no se presenta a laborar y se niega a recibir a los ciudadanos. Finalmente, lamentó que a pesar de las denuncias formales y los reportes enviados, no ha existido acercamiento alguno de la Secretaría General de Gobier"&amp;"no del Estado de México, además de que no buscan protagonismo ni cargos, pues solo quieren que regrese la gobernabilidad a El Oro, que también forma parte del Estado de México y sus ciudadanos merece vivir con dignidad. No hay etiquetas asociadas a éste a"&amp;"rtículo.")</f>
        <v>Integrantes del Cabildo de El Oro ingresaron al Congreso Mexiquense una solicitud formal para la destitución de la presidenta municipal morenista, Juana Elizabeth Díaz Peñaloza, a quien acusan de presunto abandono de funciones, desvío de recursos y mantener al municipio en un “estado de caos e ingobernabilidad”. El síndico municipal Ubaldo Velázquez Piedra indicó que la decisión fue tomada en sesión ordinaria de cabildo, donde por mayoría aprobaron solicitar la remoción de la edil, pues el municipio está sumido en el desorden, la población lleva cuatro días sin agua potable, las calles están inundadas de basura y los empleados municipales no reciben su salario. Junto con las y los regidores Melissa González del PVEM, Claudia Moreno y José Dolores de Morena, Fernanda Martínez y Agustín Bastida del PRI, así como Erika Rodríguez del PAN, denunció que la administración municipal carece de estructura legal básica, pues la Contraloría Municipal no cuenta con titulares en las unidades de investigación y resolución, lo que impide tramitar quejas ciudadanas. Agregó que los ingresos municipales de plazas, baños públicos y centros turísticos, que son de cerca de 150 mil a 200 mil pesos mensuales, no son reportados a la tesorería, sino entregados directamente a la alcaldesa, lo que podría configurar un delito de desvío de recursos, además de que son aproximadamente 450 empleados municipales y a muchos se les adeudan hasta cinco quincenas. Velázquez Piedra adelantó que en los próximos días presentará una denuncia penal por presunto desvío de fondos y uso indebido de recursos públicos, además de que actualmente existen cinco denuncias presentadas ante la Contraloría Interna y la Contraloría del Poder Legislativo. También denunció que la presidenta prohíbe las transmisiones de las sesiones de cabildo, impide el acceso ciudadano a los recintos oficiales y ha ordenado a su personal no recibir oficios ni sellar documentos oficiales, bloqueando la operación administrativa del ayuntamiento. Acusó que la presidenta municipal ha cerrado espacios culturales y deportivos como la Casa de Cultura, el Oro Club, el Teatro Juárez y el Palacio Municipal, además ordenó clausurar el vagón turístico, uno de los principales atractivos del municipio, no hay servicios públicos prioritarios ni gobernabilidad porque la presidenta no se presenta a laborar y se niega a recibir a los ciudadanos. Finalmente, lamentó que a pesar de las denuncias formales y los reportes enviados, no ha existido acercamiento alguno de la Secretaría General de Gobierno del Estado de México, además de que no buscan protagonismo ni cargos, pues solo quieren que regrese la gobernabilidad a El Oro, que también forma parte del Estado de México y sus ciudadanos merece vivir con dignidad. No hay etiquetas asociadas a éste artículo.</v>
      </c>
      <c r="O194" s="15">
        <f>IFERROR(__xludf.DUMMYFUNCTION("""COMPUTED_VALUE"""),0.3616)</f>
        <v>0.3616</v>
      </c>
      <c r="P194" s="2"/>
      <c r="Q194" s="17">
        <f>IFERROR(__xludf.DUMMYFUNCTION("""COMPUTED_VALUE"""),3.0)</f>
        <v>3</v>
      </c>
      <c r="R194" s="2" t="str">
        <f>IFERROR(__xludf.DUMMYFUNCTION("""COMPUTED_VALUE"""),"Medium")</f>
        <v>Medium</v>
      </c>
      <c r="S194" s="17">
        <f>IFERROR(__xludf.DUMMYFUNCTION("""COMPUTED_VALUE"""),1.0)</f>
        <v>1</v>
      </c>
      <c r="T194" s="17">
        <f>IFERROR(__xludf.DUMMYFUNCTION("""COMPUTED_VALUE"""),0.0)</f>
        <v>0</v>
      </c>
      <c r="U194" s="14">
        <f>IFERROR(__xludf.DUMMYFUNCTION("""COMPUTED_VALUE"""),2.0)</f>
        <v>2</v>
      </c>
      <c r="V194" s="14">
        <v>2025.0</v>
      </c>
      <c r="W194" s="2" t="s">
        <v>1206</v>
      </c>
      <c r="X194" s="2" t="s">
        <v>1218</v>
      </c>
      <c r="Y194" s="13" t="s">
        <v>777</v>
      </c>
      <c r="Z194" s="14">
        <v>0.0</v>
      </c>
      <c r="AA194" s="14">
        <v>0.0</v>
      </c>
      <c r="AB194" s="14">
        <v>0.0</v>
      </c>
      <c r="AC194" s="14">
        <v>0.0</v>
      </c>
      <c r="AD194" s="2">
        <v>0.0</v>
      </c>
      <c r="AE194" s="2">
        <v>0.0</v>
      </c>
      <c r="AF194" s="2">
        <v>11.0</v>
      </c>
      <c r="AG194" s="2" t="s">
        <v>1202</v>
      </c>
      <c r="AH194" s="2">
        <v>0.0</v>
      </c>
    </row>
    <row r="195" ht="15.75" customHeight="1">
      <c r="A195" s="2" t="str">
        <f>IFERROR(__xludf.DUMMYFUNCTION("""COMPUTED_VALUE"""),"Diario Portal")</f>
        <v>Diario Portal</v>
      </c>
      <c r="B195" s="12" t="str">
        <f>IFERROR(__xludf.DUMMYFUNCTION("""COMPUTED_VALUE"""),"Vinculan a Jacobo ‘N’ a proceso por intento de secuestro y robo de transporte  de carga en Tecámac")</f>
        <v>Vinculan a Jacobo ‘N’ a proceso por intento de secuestro y robo de transporte  de carga en Tecámac</v>
      </c>
      <c r="C195" s="13" t="str">
        <f>IFERROR(__xludf.DUMMYFUNCTION("""COMPUTED_VALUE"""),"Sin Fecha")</f>
        <v>Sin Fecha</v>
      </c>
      <c r="D195" s="14">
        <f>IFERROR(__xludf.DUMMYFUNCTION("""COMPUTED_VALUE"""),5.0)</f>
        <v>5</v>
      </c>
      <c r="E195" s="15">
        <f>IFERROR(__xludf.DUMMYFUNCTION("""COMPUTED_VALUE"""),0.0)</f>
        <v>0</v>
      </c>
      <c r="F195" s="2" t="str">
        <f>IFERROR(__xludf.DUMMYFUNCTION("""COMPUTED_VALUE"""),"Neutral")</f>
        <v>Neutral</v>
      </c>
      <c r="G195" s="15">
        <f>IFERROR(__xludf.DUMMYFUNCTION("""COMPUTED_VALUE"""),0.4922)</f>
        <v>0.4922</v>
      </c>
      <c r="H195" s="2" t="str">
        <f>IFERROR(__xludf.DUMMYFUNCTION("""COMPUTED_VALUE"""),"Delito violento, robo o asalto")</f>
        <v>Delito violento, robo o asalto</v>
      </c>
      <c r="I195" s="2" t="str">
        <f>IFERROR(__xludf.DUMMYFUNCTION("""COMPUTED_VALUE"""),"N/A")</f>
        <v>N/A</v>
      </c>
      <c r="J195" s="2" t="str">
        <f>IFERROR(__xludf.DUMMYFUNCTION("""COMPUTED_VALUE"""),"Prevención Nocturna: Alerta de zona de riesgo.")</f>
        <v>Prevención Nocturna: Alerta de zona de riesgo.</v>
      </c>
      <c r="K195" s="2" t="str">
        <f>IFERROR(__xludf.DUMMYFUNCTION("""COMPUTED_VALUE"""),"Estado de México")</f>
        <v>Estado de México</v>
      </c>
      <c r="L195" s="2" t="str">
        <f>IFERROR(__xludf.DUMMYFUNCTION("""COMPUTED_VALUE"""),"Estado de México")</f>
        <v>Estado de México</v>
      </c>
      <c r="M195" s="16" t="str">
        <f>IFERROR(__xludf.DUMMYFUNCTION("""COMPUTED_VALUE"""),"https://diarioportal.com/seguridad-y-justicia/vinculan-a-jacobo-n-a-proceso-por-intento-de-secuestro-y-robo-de-transporte-de-carga-en-tecamac")</f>
        <v>https://diarioportal.com/seguridad-y-justicia/vinculan-a-jacobo-n-a-proceso-por-intento-de-secuestro-y-robo-de-transporte-de-carga-en-tecamac</v>
      </c>
      <c r="N195" s="2" t="str">
        <f>IFERROR(__xludf.DUMMYFUNCTION("""COMPUTED_VALUE"""),"La Fiscalía General de Justicia del Estado de México (FGJEM) obtuvo vinculación a proceso en contra de Jacobo ‘N’ por su aparente intervención en el delito de secuestro exprés con fines de robo, cometido en el municipio de Tecámac. De acuerdo con los hech"&amp;"os, el 28 de octubre de 2025, la víctima circulaba sobre la autopista México-Pachuca a bordo del vehículo marca International, en el que transportaba una plataforma de la marca Ciseaux. Al llegar al municipio de Tecámac fue interceptado por Jacobo ‘N’ y d"&amp;"os sujetos más, quienes le cerraron el paso y lo obligaron a descender de la unidad que conducía con el objetivo de robar la unidad y la mercancía que llevaba. La víctima fue obligada a subir a otro vehículo, sin embargo, los hechos fueron presenciados po"&amp;"r usuarios que circulaban por la zona y de inmediato dieron aviso a la Guardia Civil de Tecámac, quienes mediante una acción operativa aseguraron a Jacobo ‘N’ cuando manejaba el tracto camión robado. El detenido fue ingresado al Centro Penitenciario y de "&amp;"Reinserción Social de la zona a disposición de la autoridad judicial, quien determinó la prisión preventiva como medida cautelar y señaló dos meses de plazo de investigación complementaria. La Fiscalía General de Justicia mexiquense pone a disposición de "&amp;"la ciudadanía el correo electrónico cerotolerancia@fiscaliaedomex.gob.mx, el número telefónico 800 7028770, o bien, la aplicación FGJEdomex, la cual está disponible de manera gratuita para los teléfonos inteligentes de los sistemas iOS y Android, para que"&amp;" denuncie cualquier hecho delictivo. No hay etiquetas asociadas a éste artículo.")</f>
        <v>La Fiscalía General de Justicia del Estado de México (FGJEM) obtuvo vinculación a proceso en contra de Jacobo ‘N’ por su aparente intervención en el delito de secuestro exprés con fines de robo, cometido en el municipio de Tecámac. De acuerdo con los hechos, el 28 de octubre de 2025, la víctima circulaba sobre la autopista México-Pachuca a bordo del vehículo marca International, en el que transportaba una plataforma de la marca Ciseaux. Al llegar al municipio de Tecámac fue interceptado por Jacobo ‘N’ y dos sujetos más, quienes le cerraron el paso y lo obligaron a descender de la unidad que conducía con el objetivo de robar la unidad y la mercancía que llevaba. La víctima fue obligada a subir a otro vehículo, sin embargo, los hechos fueron presenciados por usuarios que circulaban por la zona y de inmediato dieron aviso a la Guardia Civil de Tecámac, quienes mediante una acción operativa aseguraron a Jacobo ‘N’ cuando manejaba el tracto camión robado. El detenido fue ingresado al Centro Penitenciario y de Reinserción Social de la zona a disposición de la autoridad judicial, quien determinó la prisión preventiva como medida cautelar y señaló dos meses de plazo de investigación complementaria. La Fiscalía General de Justicia mexiquense pone a disposición de la ciudadanía el correo electrónico cerotolerancia@fiscaliaedomex.gob.mx, el número telefónico 800 7028770, o bien, la aplicación FGJEdomex, la cual está disponible de manera gratuita para los teléfonos inteligentes de los sistemas iOS y Android, para que denuncie cualquier hecho delictivo. No hay etiquetas asociadas a éste artículo.</v>
      </c>
      <c r="O195" s="15">
        <f>IFERROR(__xludf.DUMMYFUNCTION("""COMPUTED_VALUE"""),0.5407)</f>
        <v>0.5407</v>
      </c>
      <c r="P195" s="2"/>
      <c r="Q195" s="17">
        <f>IFERROR(__xludf.DUMMYFUNCTION("""COMPUTED_VALUE"""),5.0)</f>
        <v>5</v>
      </c>
      <c r="R195" s="2" t="str">
        <f>IFERROR(__xludf.DUMMYFUNCTION("""COMPUTED_VALUE"""),"High")</f>
        <v>High</v>
      </c>
      <c r="S195" s="17">
        <f>IFERROR(__xludf.DUMMYFUNCTION("""COMPUTED_VALUE"""),3.0)</f>
        <v>3</v>
      </c>
      <c r="T195" s="17">
        <f>IFERROR(__xludf.DUMMYFUNCTION("""COMPUTED_VALUE"""),0.0)</f>
        <v>0</v>
      </c>
      <c r="U195" s="14">
        <f>IFERROR(__xludf.DUMMYFUNCTION("""COMPUTED_VALUE"""),2.0)</f>
        <v>2</v>
      </c>
      <c r="V195" s="14" t="s">
        <v>1186</v>
      </c>
      <c r="W195" s="2" t="s">
        <v>190</v>
      </c>
      <c r="X195" s="2" t="s">
        <v>190</v>
      </c>
      <c r="Y195" s="13"/>
      <c r="Z195" s="14">
        <v>0.0</v>
      </c>
      <c r="AA195" s="14">
        <v>0.0</v>
      </c>
      <c r="AB195" s="14">
        <v>0.0</v>
      </c>
      <c r="AC195" s="14">
        <v>0.0</v>
      </c>
      <c r="AD195" s="2">
        <v>0.0</v>
      </c>
      <c r="AE195" s="2">
        <v>1.0</v>
      </c>
      <c r="AF195" s="2" t="s">
        <v>1186</v>
      </c>
      <c r="AG195" s="2" t="s">
        <v>1202</v>
      </c>
      <c r="AH195" s="2">
        <v>0.0</v>
      </c>
    </row>
    <row r="196" ht="15.75" customHeight="1">
      <c r="A196" s="2" t="str">
        <f>IFERROR(__xludf.DUMMYFUNCTION("""COMPUTED_VALUE"""),"Diario Portal")</f>
        <v>Diario Portal</v>
      </c>
      <c r="B196" s="12" t="str">
        <f>IFERROR(__xludf.DUMMYFUNCTION("""COMPUTED_VALUE"""),"Otorga Azucena  incentivos  económicos  a policías de  Ecatepec y  anuncia que  tendrán mejores  condiciones  laborales antes  de acabar 2025")</f>
        <v>Otorga Azucena  incentivos  económicos  a policías de  Ecatepec y  anuncia que  tendrán mejores  condiciones  laborales antes  de acabar 2025</v>
      </c>
      <c r="C196" s="13" t="str">
        <f>IFERROR(__xludf.DUMMYFUNCTION("""COMPUTED_VALUE"""),"Sin Fecha")</f>
        <v>Sin Fecha</v>
      </c>
      <c r="D196" s="14">
        <f>IFERROR(__xludf.DUMMYFUNCTION("""COMPUTED_VALUE"""),2.0)</f>
        <v>2</v>
      </c>
      <c r="E196" s="15">
        <f>IFERROR(__xludf.DUMMYFUNCTION("""COMPUTED_VALUE"""),0.0)</f>
        <v>0</v>
      </c>
      <c r="F196" s="2" t="str">
        <f>IFERROR(__xludf.DUMMYFUNCTION("""COMPUTED_VALUE"""),"Neutral")</f>
        <v>Neutral</v>
      </c>
      <c r="G196" s="15">
        <f>IFERROR(__xludf.DUMMYFUNCTION("""COMPUTED_VALUE"""),0.5177)</f>
        <v>0.5177</v>
      </c>
      <c r="H196" s="2" t="str">
        <f>IFERROR(__xludf.DUMMYFUNCTION("""COMPUTED_VALUE"""),"Operativo policial o detención")</f>
        <v>Operativo policial o detención</v>
      </c>
      <c r="I196" s="2" t="str">
        <f>IFERROR(__xludf.DUMMYFUNCTION("""COMPUTED_VALUE"""),"N/A")</f>
        <v>N/A</v>
      </c>
      <c r="J196" s="2" t="str">
        <f>IFERROR(__xludf.DUMMYFUNCTION("""COMPUTED_VALUE"""),"Monitoreo general.")</f>
        <v>Monitoreo general.</v>
      </c>
      <c r="K196" s="2" t="str">
        <f>IFERROR(__xludf.DUMMYFUNCTION("""COMPUTED_VALUE"""),"Ecatepec")</f>
        <v>Ecatepec</v>
      </c>
      <c r="L196" s="2" t="str">
        <f>IFERROR(__xludf.DUMMYFUNCTION("""COMPUTED_VALUE"""),"Estado de México")</f>
        <v>Estado de México</v>
      </c>
      <c r="M196" s="16" t="str">
        <f>IFERROR(__xludf.DUMMYFUNCTION("""COMPUTED_VALUE"""),"https://diarioportal.com/seguridad-y-justicia/otorga-azucena-incentivos-economicos-a-policias-de-ecatepec-y-anuncia-que-tendran-mejores-condiciones-laborales-antes-de-acabar-2025")</f>
        <v>https://diarioportal.com/seguridad-y-justicia/otorga-azucena-incentivos-economicos-a-policias-de-ecatepec-y-anuncia-que-tendran-mejores-condiciones-laborales-antes-de-acabar-2025</v>
      </c>
      <c r="N196" s="2" t="str">
        <f>IFERROR(__xludf.DUMMYFUNCTION("""COMPUTED_VALUE"""),"La presidenta municipal de Ecatepec, Azucena Cisneros Coss, entregó estímulos de 10 mil pesos a 54 elementos de Seguridad Pública y Tránsito en la explanada municipal, donde anunció el cambio de horario para los uniformados y aseguró que los policías fuer"&amp;"a de la ley serán sancionados. La mañana de este martes, la edil Azucena Cisneros Coss, llevó a cabo la entrega de incentivos de 10 mil pesos a 54 elementos de Seguridad Pública y Tránsito Municipal de Ecatepec por su desempeño laboral. Dijo que, dentro d"&amp;"e la corporación están obligados a realizar cosas extraordinarias por la seguridad de los ciudadanos y por el municipio. Ante los altos índices de delincuencia registrados en anteriores años, dijo que es inútil compararse con la anterior administración, y"&amp;"a que, aseguró, en lo que va de su administración hubo una reducción de más del 65%. “Hemos venido a la baja en los delitos de alto impacto, así como en la encuesta del INEGI, pero es todavía insuficiente, vamos hacer lo imposible si se gobierna con un so"&amp;"lo interés que es el de la gente, vamos a combatir la corrupción y las inercias”, dijo. Durante su discurso, detalló que a finales de noviembre cambiará el horario de los elementos de la corporación municipal, que será de 12 por 24 y escalonada. “La digni"&amp;"ficación de la policía es algo que llegó para quedarse, lo que va pasar con la policía no tiene ninguna referencia; lo que queremos es una respuesta clara una corresponsabilidad”, refirió. Aseguró que dentro de la corporación no hay formas de engañar a al"&amp;"guien y que los uniformados van actuar de forma contundente, dijo que sancionará al policía que esté fuera la norma y la ley. Informó que, antes de terminar el año, los policías tendrán un aumento en su salario del 10%, uniformes y despensas. “Vamos a est"&amp;"ar evaluando y tendrá el aumento todos los policías del 10 por ciento”. Explicó que para el próximo año lograrán obtener la certificación de la academia para las personas que quieran pertenecer a la corporación cuenten con su certificación correctamente. "&amp;"Por último exigió a los uniformados entregarse en cuerpo y alma en el cuidado de los vecinos del municipio de Ecatepec, por lo que les pidió corresponsabilidad y seguridad de la población. No hay etiquetas asociadas a éste artículo.")</f>
        <v>La presidenta municipal de Ecatepec, Azucena Cisneros Coss, entregó estímulos de 10 mil pesos a 54 elementos de Seguridad Pública y Tránsito en la explanada municipal, donde anunció el cambio de horario para los uniformados y aseguró que los policías fuera de la ley serán sancionados. La mañana de este martes, la edil Azucena Cisneros Coss, llevó a cabo la entrega de incentivos de 10 mil pesos a 54 elementos de Seguridad Pública y Tránsito Municipal de Ecatepec por su desempeño laboral. Dijo que, dentro de la corporación están obligados a realizar cosas extraordinarias por la seguridad de los ciudadanos y por el municipio. Ante los altos índices de delincuencia registrados en anteriores años, dijo que es inútil compararse con la anterior administración, ya que, aseguró, en lo que va de su administración hubo una reducción de más del 65%. “Hemos venido a la baja en los delitos de alto impacto, así como en la encuesta del INEGI, pero es todavía insuficiente, vamos hacer lo imposible si se gobierna con un solo interés que es el de la gente, vamos a combatir la corrupción y las inercias”, dijo. Durante su discurso, detalló que a finales de noviembre cambiará el horario de los elementos de la corporación municipal, que será de 12 por 24 y escalonada. “La dignificación de la policía es algo que llegó para quedarse, lo que va pasar con la policía no tiene ninguna referencia; lo que queremos es una respuesta clara una corresponsabilidad”, refirió. Aseguró que dentro de la corporación no hay formas de engañar a alguien y que los uniformados van actuar de forma contundente, dijo que sancionará al policía que esté fuera la norma y la ley. Informó que, antes de terminar el año, los policías tendrán un aumento en su salario del 10%, uniformes y despensas. “Vamos a estar evaluando y tendrá el aumento todos los policías del 10 por ciento”. Explicó que para el próximo año lograrán obtener la certificación de la academia para las personas que quieran pertenecer a la corporación cuenten con su certificación correctamente. Por último exigió a los uniformados entregarse en cuerpo y alma en el cuidado de los vecinos del municipio de Ecatepec, por lo que les pidió corresponsabilidad y seguridad de la población. No hay etiquetas asociadas a éste artículo.</v>
      </c>
      <c r="O196" s="15">
        <f>IFERROR(__xludf.DUMMYFUNCTION("""COMPUTED_VALUE"""),0.374)</f>
        <v>0.374</v>
      </c>
      <c r="P196" s="2"/>
      <c r="Q196" s="17">
        <f>IFERROR(__xludf.DUMMYFUNCTION("""COMPUTED_VALUE"""),8.5)</f>
        <v>8.5</v>
      </c>
      <c r="R196" s="2" t="str">
        <f>IFERROR(__xludf.DUMMYFUNCTION("""COMPUTED_VALUE"""),"Low")</f>
        <v>Low</v>
      </c>
      <c r="S196" s="17">
        <f>IFERROR(__xludf.DUMMYFUNCTION("""COMPUTED_VALUE"""),0.0)</f>
        <v>0</v>
      </c>
      <c r="T196" s="17">
        <f>IFERROR(__xludf.DUMMYFUNCTION("""COMPUTED_VALUE"""),0.0)</f>
        <v>0</v>
      </c>
      <c r="U196" s="14">
        <f>IFERROR(__xludf.DUMMYFUNCTION("""COMPUTED_VALUE"""),2.0)</f>
        <v>2</v>
      </c>
      <c r="V196" s="14" t="s">
        <v>1186</v>
      </c>
      <c r="W196" s="2" t="s">
        <v>190</v>
      </c>
      <c r="X196" s="2" t="s">
        <v>190</v>
      </c>
      <c r="Y196" s="13"/>
      <c r="Z196" s="14">
        <v>0.0</v>
      </c>
      <c r="AA196" s="14">
        <v>0.0</v>
      </c>
      <c r="AB196" s="14">
        <v>0.0</v>
      </c>
      <c r="AC196" s="14">
        <v>0.0</v>
      </c>
      <c r="AD196" s="2">
        <v>0.0</v>
      </c>
      <c r="AE196" s="2">
        <v>0.0</v>
      </c>
      <c r="AF196" s="2" t="s">
        <v>1186</v>
      </c>
      <c r="AG196" s="2" t="s">
        <v>1208</v>
      </c>
      <c r="AH196" s="2">
        <v>0.0</v>
      </c>
    </row>
    <row r="197" ht="15.75" customHeight="1">
      <c r="A197" s="2" t="str">
        <f>IFERROR(__xludf.DUMMYFUNCTION("""COMPUTED_VALUE"""),"Diario Portal")</f>
        <v>Diario Portal</v>
      </c>
      <c r="B197" s="12" t="str">
        <f>IFERROR(__xludf.DUMMYFUNCTION("""COMPUTED_VALUE"""),"Homicidios bajaron 31% en Edomex; no bajará la guardia GEM ante crimen: Horacio Duarte")</f>
        <v>Homicidios bajaron 31% en Edomex; no bajará la guardia GEM ante crimen: Horacio Duarte</v>
      </c>
      <c r="C197" s="13" t="str">
        <f>IFERROR(__xludf.DUMMYFUNCTION("""COMPUTED_VALUE"""),"2025-11-03 19:13:07")</f>
        <v>2025-11-03 19:13:07</v>
      </c>
      <c r="D197" s="14">
        <f>IFERROR(__xludf.DUMMYFUNCTION("""COMPUTED_VALUE"""),4.0)</f>
        <v>4</v>
      </c>
      <c r="E197" s="15">
        <f>IFERROR(__xludf.DUMMYFUNCTION("""COMPUTED_VALUE"""),0.0)</f>
        <v>0</v>
      </c>
      <c r="F197" s="2" t="str">
        <f>IFERROR(__xludf.DUMMYFUNCTION("""COMPUTED_VALUE"""),"Neutral")</f>
        <v>Neutral</v>
      </c>
      <c r="G197" s="15">
        <f>IFERROR(__xludf.DUMMYFUNCTION("""COMPUTED_VALUE"""),0.469)</f>
        <v>0.469</v>
      </c>
      <c r="H197" s="2" t="str">
        <f>IFERROR(__xludf.DUMMYFUNCTION("""COMPUTED_VALUE"""),"Delito violento, robo o asalto")</f>
        <v>Delito violento, robo o asalto</v>
      </c>
      <c r="I197" s="2" t="str">
        <f>IFERROR(__xludf.DUMMYFUNCTION("""COMPUTED_VALUE"""),"homicidio")</f>
        <v>homicidio</v>
      </c>
      <c r="J197" s="2" t="str">
        <f>IFERROR(__xludf.DUMMYFUNCTION("""COMPUTED_VALUE"""),"Prevención PAX: Contactos de confianza.")</f>
        <v>Prevención PAX: Contactos de confianza.</v>
      </c>
      <c r="K197" s="2" t="str">
        <f>IFERROR(__xludf.DUMMYFUNCTION("""COMPUTED_VALUE"""),"Estado de México")</f>
        <v>Estado de México</v>
      </c>
      <c r="L197" s="2" t="str">
        <f>IFERROR(__xludf.DUMMYFUNCTION("""COMPUTED_VALUE"""),"Estado de México")</f>
        <v>Estado de México</v>
      </c>
      <c r="M197" s="16" t="str">
        <f>IFERROR(__xludf.DUMMYFUNCTION("""COMPUTED_VALUE"""),"https://diarioportal.com/seguridad-y-justicia/homicidios-bajaron-31-en-edomex-no-bajara-la-guardia-gem-ante-crimen-horacio-duarte")</f>
        <v>https://diarioportal.com/seguridad-y-justicia/homicidios-bajaron-31-en-edomex-no-bajara-la-guardia-gem-ante-crimen-horacio-duarte</v>
      </c>
      <c r="N197" s="2" t="str">
        <f>IFERROR(__xludf.DUMMYFUNCTION("""COMPUTED_VALUE"""),"Horacio Duarte Olivares, secretario general de gobierno, dio a conocer que, gracias al esfuerzo interinstitucional del gobierno de la maestra Delfina Gómez Álvarez, de enero a octubre, el delito de homicidio doloso en el Estado de México registró una dism"&amp;"inución del 31% en comparación con el mismo periodo de 2024, según información de la Fiscalía mexiquense. Durante la firma del Acuerdo para la conformación del Consejo Económico, Social y Ambiental, refirió que “significa que durante cinco meses de 2024, "&amp;"no hubiéramos tenido homicidios, eso representa el 31%”. Señaló que el gobierno del Estado de México no bajará la guardia y seguirá trabajando en coordinación, a través de las Mesas de Paz para bajar los índices delictivos como lo ha pedido la Presidenta "&amp;"Claudia Sheinbaum y la Gobernadora Delfina Gómez Álvarez. “Vamos a mantener esta estrategia de seguir combatiendo al crimen en sus diversas modalidades“, reafirmó el secretario Horacio Duarte. No hay etiquetas asociadas a éste artículo.")</f>
        <v>Horacio Duarte Olivares, secretario general de gobierno, dio a conocer que, gracias al esfuerzo interinstitucional del gobierno de la maestra Delfina Gómez Álvarez, de enero a octubre, el delito de homicidio doloso en el Estado de México registró una disminución del 31% en comparación con el mismo periodo de 2024, según información de la Fiscalía mexiquense. Durante la firma del Acuerdo para la conformación del Consejo Económico, Social y Ambiental, refirió que “significa que durante cinco meses de 2024, no hubiéramos tenido homicidios, eso representa el 31%”. Señaló que el gobierno del Estado de México no bajará la guardia y seguirá trabajando en coordinación, a través de las Mesas de Paz para bajar los índices delictivos como lo ha pedido la Presidenta Claudia Sheinbaum y la Gobernadora Delfina Gómez Álvarez. “Vamos a mantener esta estrategia de seguir combatiendo al crimen en sus diversas modalidades“, reafirmó el secretario Horacio Duarte. No hay etiquetas asociadas a éste artículo.</v>
      </c>
      <c r="O197" s="15">
        <f>IFERROR(__xludf.DUMMYFUNCTION("""COMPUTED_VALUE"""),1.0)</f>
        <v>1</v>
      </c>
      <c r="P197" s="2"/>
      <c r="Q197" s="17">
        <f>IFERROR(__xludf.DUMMYFUNCTION("""COMPUTED_VALUE"""),8.0)</f>
        <v>8</v>
      </c>
      <c r="R197" s="2" t="str">
        <f>IFERROR(__xludf.DUMMYFUNCTION("""COMPUTED_VALUE"""),"High")</f>
        <v>High</v>
      </c>
      <c r="S197" s="17">
        <f>IFERROR(__xludf.DUMMYFUNCTION("""COMPUTED_VALUE"""),5.0)</f>
        <v>5</v>
      </c>
      <c r="T197" s="17">
        <f>IFERROR(__xludf.DUMMYFUNCTION("""COMPUTED_VALUE"""),0.0)</f>
        <v>0</v>
      </c>
      <c r="U197" s="14">
        <f>IFERROR(__xludf.DUMMYFUNCTION("""COMPUTED_VALUE"""),2.0)</f>
        <v>2</v>
      </c>
      <c r="V197" s="14">
        <v>2025.0</v>
      </c>
      <c r="W197" s="2" t="s">
        <v>1206</v>
      </c>
      <c r="X197" s="2" t="s">
        <v>1169</v>
      </c>
      <c r="Y197" s="13" t="s">
        <v>787</v>
      </c>
      <c r="Z197" s="14">
        <v>0.0</v>
      </c>
      <c r="AA197" s="14">
        <v>0.0</v>
      </c>
      <c r="AB197" s="14">
        <v>0.0</v>
      </c>
      <c r="AC197" s="14">
        <v>0.0</v>
      </c>
      <c r="AD197" s="2">
        <v>0.0</v>
      </c>
      <c r="AE197" s="2">
        <v>1.0</v>
      </c>
      <c r="AF197" s="2">
        <v>11.0</v>
      </c>
      <c r="AG197" s="2" t="s">
        <v>1202</v>
      </c>
      <c r="AH197" s="2">
        <v>0.0</v>
      </c>
    </row>
    <row r="198" ht="15.75" customHeight="1">
      <c r="A198" s="2" t="str">
        <f>IFERROR(__xludf.DUMMYFUNCTION("""COMPUTED_VALUE"""),"Diario Portal")</f>
        <v>Diario Portal</v>
      </c>
      <c r="B198" s="12" t="str">
        <f>IFERROR(__xludf.DUMMYFUNCTION("""COMPUTED_VALUE"""),"Urge reforzar  estrategia  para erradicar  embarazos   adolescentes:  Jennifer Glez.")</f>
        <v>Urge reforzar  estrategia  para erradicar  embarazos   adolescentes:  Jennifer Glez.</v>
      </c>
      <c r="C198" s="13" t="str">
        <f>IFERROR(__xludf.DUMMYFUNCTION("""COMPUTED_VALUE"""),"Sin Fecha")</f>
        <v>Sin Fecha</v>
      </c>
      <c r="D198" s="14">
        <f>IFERROR(__xludf.DUMMYFUNCTION("""COMPUTED_VALUE"""),5.0)</f>
        <v>5</v>
      </c>
      <c r="E198" s="15">
        <f>IFERROR(__xludf.DUMMYFUNCTION("""COMPUTED_VALUE"""),0.0)</f>
        <v>0</v>
      </c>
      <c r="F198" s="2" t="str">
        <f>IFERROR(__xludf.DUMMYFUNCTION("""COMPUTED_VALUE"""),"Neutral")</f>
        <v>Neutral</v>
      </c>
      <c r="G198" s="15">
        <f>IFERROR(__xludf.DUMMYFUNCTION("""COMPUTED_VALUE"""),0.551)</f>
        <v>0.551</v>
      </c>
      <c r="H198" s="2" t="str">
        <f>IFERROR(__xludf.DUMMYFUNCTION("""COMPUTED_VALUE"""),"Acoso o agresión sexual")</f>
        <v>Acoso o agresión sexual</v>
      </c>
      <c r="I198" s="2" t="str">
        <f>IFERROR(__xludf.DUMMYFUNCTION("""COMPUTED_VALUE"""),"violación")</f>
        <v>violación</v>
      </c>
      <c r="J198" s="2" t="str">
        <f>IFERROR(__xludf.DUMMYFUNCTION("""COMPUTED_VALUE"""),"INTEGRIDAD / GÉNERO: Cero Tolerancia.")</f>
        <v>INTEGRIDAD / GÉNERO: Cero Tolerancia.</v>
      </c>
      <c r="K198" s="2" t="str">
        <f>IFERROR(__xludf.DUMMYFUNCTION("""COMPUTED_VALUE"""),"Estado de México")</f>
        <v>Estado de México</v>
      </c>
      <c r="L198" s="2" t="str">
        <f>IFERROR(__xludf.DUMMYFUNCTION("""COMPUTED_VALUE"""),"Estado de México")</f>
        <v>Estado de México</v>
      </c>
      <c r="M198" s="16" t="str">
        <f>IFERROR(__xludf.DUMMYFUNCTION("""COMPUTED_VALUE"""),"https://diarioportal.com/seguridad-y-justicia/urge-reforzar-estrategia-para-erradicar-embarazos-adolescentes-jennifer-glez")</f>
        <v>https://diarioportal.com/seguridad-y-justicia/urge-reforzar-estrategia-para-erradicar-embarazos-adolescentes-jennifer-glez</v>
      </c>
      <c r="N198" s="2" t="str">
        <f>IFERROR(__xludf.DUMMYFUNCTION("""COMPUTED_VALUE"""),"Debido a que en el Estado de México se registra un promedio anual de 28 mil 470 nacimientos entre adolescentes, mientras un gran número busca la interrupción del embarazo, es necesario fortalecer las políticas públicas integrales y garantizar el acceso a "&amp;"servicios integrales para proteger la salud y el futuro de las jóvenes, aseveró la diputada Jennifer González López, presidenta de la comisión de Salud, Asistencia y Bienestar Social del Congreso Mexiquense. Añadió que, si bien se han implementado program"&amp;"as de salud sexual y reproductiva, así como campañas de acceso a métodos anticonceptivos entre adolescentes, el embarazo aún es un problema complejo con graves consecuencias sociales y económicas. Indicó que cifras oficiales del Instituto Nacional de Esta"&amp;"dística y Geografía (INEGI) refieren que un promedio de 78 bebés de madres adolescentes nace diariamente en la entidad, además de que sólo en 2023 se registraron 28 mil 554 partos de madres adolescentes, lo que representa el 14.8% del total de nacimientos"&amp;" registrados en el estado. De ese total, 532 madres fueron menores de 15 años, mientras que 28 mil 22 el rango de edad fue de entre los 15 y 19 años. Precisó que de acuerdo con el Consejo Estatal de Población (Coespo), el embarazo adolescente en la entida"&amp;"d disminuyó 40% en el periodo 2015-2023, lo que quiere decir que gracias a las políticas públicas aplicadas se han logrado avances significativos, sin embargo, se debe seguir trabajando y reforzar esas acciones para reducir esa brecha de nacimientos. Gonz"&amp;"ález López destacó que el embarazo adolescente representa no sólo un riesgo para su salud, sino conlleva consecuencias sociales y económicas que afectan la educación, los ingresos, participación laboral y costos adicionales para el Estado. Explicó que la "&amp;"falta de acceso a servicios de salud sexual y reproductiva, aunado a la falta de información adecuada, contribuyen a la alta incidencia de embarazos en adolescentes, sin embargo, hay dos factores que parecen desapercibidos pero que son una realidad. Uno d"&amp;"e ellos, dijo, lo representan las costumbres tradicionales, es decir, aún persiste en algunas localidades del Estado de México, las tradiciones que marcan que las niñas y adolescentes deben casarse y tener hijos a una edad muy corta; por otro lado, existe"&amp;" una alta incidencia de embarazos entre niñas producto de una violación, misma que en gran porcentaje no es denunciada. Por ello, reiteró que se requiere reforzar las estrategias de prevención y garantizar el acceso a servicios de salud para adolescentes,"&amp;" además de implementar acciones para reducir las desigualdades que afectan a adolescentes en situación de vulnerabilidad, así como de aquellas que viven en zonas rurales o con menos acceso a servicios de salud. Por último, refirió que un dato preocupante "&amp;"es que del 2007, fecha en que se implementó la Interrupción Legal del Embarazo (ILE) en la Ciudad de México y hasta junio del 2024, más de 77 mil mujeres del Estado de México acudieron a practicarse este método, lo que representa un 27.82 por ciento del t"&amp;"otal de abortos realizados en la capital desde la fecha señalada. No hay etiquetas asociadas a éste artículo.")</f>
        <v>Debido a que en el Estado de México se registra un promedio anual de 28 mil 470 nacimientos entre adolescentes, mientras un gran número busca la interrupción del embarazo, es necesario fortalecer las políticas públicas integrales y garantizar el acceso a servicios integrales para proteger la salud y el futuro de las jóvenes, aseveró la diputada Jennifer González López, presidenta de la comisión de Salud, Asistencia y Bienestar Social del Congreso Mexiquense. Añadió que, si bien se han implementado programas de salud sexual y reproductiva, así como campañas de acceso a métodos anticonceptivos entre adolescentes, el embarazo aún es un problema complejo con graves consecuencias sociales y económicas. Indicó que cifras oficiales del Instituto Nacional de Estadística y Geografía (INEGI) refieren que un promedio de 78 bebés de madres adolescentes nace diariamente en la entidad, además de que sólo en 2023 se registraron 28 mil 554 partos de madres adolescentes, lo que representa el 14.8% del total de nacimientos registrados en el estado. De ese total, 532 madres fueron menores de 15 años, mientras que 28 mil 22 el rango de edad fue de entre los 15 y 19 años. Precisó que de acuerdo con el Consejo Estatal de Población (Coespo), el embarazo adolescente en la entidad disminuyó 40% en el periodo 2015-2023, lo que quiere decir que gracias a las políticas públicas aplicadas se han logrado avances significativos, sin embargo, se debe seguir trabajando y reforzar esas acciones para reducir esa brecha de nacimientos. González López destacó que el embarazo adolescente representa no sólo un riesgo para su salud, sino conlleva consecuencias sociales y económicas que afectan la educación, los ingresos, participación laboral y costos adicionales para el Estado. Explicó que la falta de acceso a servicios de salud sexual y reproductiva, aunado a la falta de información adecuada, contribuyen a la alta incidencia de embarazos en adolescentes, sin embargo, hay dos factores que parecen desapercibidos pero que son una realidad. Uno de ellos, dijo, lo representan las costumbres tradicionales, es decir, aún persiste en algunas localidades del Estado de México, las tradiciones que marcan que las niñas y adolescentes deben casarse y tener hijos a una edad muy corta; por otro lado, existe una alta incidencia de embarazos entre niñas producto de una violación, misma que en gran porcentaje no es denunciada. Por ello, reiteró que se requiere reforzar las estrategias de prevención y garantizar el acceso a servicios de salud para adolescentes, además de implementar acciones para reducir las desigualdades que afectan a adolescentes en situación de vulnerabilidad, así como de aquellas que viven en zonas rurales o con menos acceso a servicios de salud. Por último, refirió que un dato preocupante es que del 2007, fecha en que se implementó la Interrupción Legal del Embarazo (ILE) en la Ciudad de México y hasta junio del 2024, más de 77 mil mujeres del Estado de México acudieron a practicarse este método, lo que representa un 27.82 por ciento del total de abortos realizados en la capital desde la fecha señalada. No hay etiquetas asociadas a éste artículo.</v>
      </c>
      <c r="O198" s="15">
        <f>IFERROR(__xludf.DUMMYFUNCTION("""COMPUTED_VALUE"""),1.0)</f>
        <v>1</v>
      </c>
      <c r="P198" s="2"/>
      <c r="Q198" s="17">
        <f>IFERROR(__xludf.DUMMYFUNCTION("""COMPUTED_VALUE"""),5.0)</f>
        <v>5</v>
      </c>
      <c r="R198" s="2" t="str">
        <f>IFERROR(__xludf.DUMMYFUNCTION("""COMPUTED_VALUE"""),"Medium")</f>
        <v>Medium</v>
      </c>
      <c r="S198" s="17">
        <f>IFERROR(__xludf.DUMMYFUNCTION("""COMPUTED_VALUE"""),1.0)</f>
        <v>1</v>
      </c>
      <c r="T198" s="17">
        <f>IFERROR(__xludf.DUMMYFUNCTION("""COMPUTED_VALUE"""),0.0)</f>
        <v>0</v>
      </c>
      <c r="U198" s="14">
        <f>IFERROR(__xludf.DUMMYFUNCTION("""COMPUTED_VALUE"""),2.0)</f>
        <v>2</v>
      </c>
      <c r="V198" s="14" t="s">
        <v>1186</v>
      </c>
      <c r="W198" s="2" t="s">
        <v>190</v>
      </c>
      <c r="X198" s="2" t="s">
        <v>190</v>
      </c>
      <c r="Y198" s="13"/>
      <c r="Z198" s="14">
        <v>0.0</v>
      </c>
      <c r="AA198" s="14">
        <v>0.0</v>
      </c>
      <c r="AB198" s="14">
        <v>0.0</v>
      </c>
      <c r="AC198" s="14">
        <v>0.0</v>
      </c>
      <c r="AD198" s="2">
        <v>0.0</v>
      </c>
      <c r="AE198" s="2">
        <v>1.0</v>
      </c>
      <c r="AF198" s="2" t="s">
        <v>1186</v>
      </c>
      <c r="AG198" s="2" t="s">
        <v>1202</v>
      </c>
      <c r="AH198" s="2">
        <v>0.0</v>
      </c>
    </row>
    <row r="199" ht="15.75" customHeight="1">
      <c r="A199" s="2" t="str">
        <f>IFERROR(__xludf.DUMMYFUNCTION("""COMPUTED_VALUE"""),"Diario Portal")</f>
        <v>Diario Portal</v>
      </c>
      <c r="B199" s="12" t="str">
        <f>IFERROR(__xludf.DUMMYFUNCTION("""COMPUTED_VALUE"""),"Concaem condena asesinato de alcalde de Uruapan, Carlos Manzo")</f>
        <v>Concaem condena asesinato de alcalde de Uruapan, Carlos Manzo</v>
      </c>
      <c r="C199" s="13" t="str">
        <f>IFERROR(__xludf.DUMMYFUNCTION("""COMPUTED_VALUE"""),"2025-11-02 12:30:52")</f>
        <v>2025-11-02 12:30:52</v>
      </c>
      <c r="D199" s="14">
        <f>IFERROR(__xludf.DUMMYFUNCTION("""COMPUTED_VALUE"""),2.0)</f>
        <v>2</v>
      </c>
      <c r="E199" s="15">
        <f>IFERROR(__xludf.DUMMYFUNCTION("""COMPUTED_VALUE"""),-0.939)</f>
        <v>-0.939</v>
      </c>
      <c r="F199" s="2" t="str">
        <f>IFERROR(__xludf.DUMMYFUNCTION("""COMPUTED_VALUE"""),"Negativo")</f>
        <v>Negativo</v>
      </c>
      <c r="G199" s="15">
        <f>IFERROR(__xludf.DUMMYFUNCTION("""COMPUTED_VALUE"""),0.939)</f>
        <v>0.939</v>
      </c>
      <c r="H199" s="2" t="str">
        <f>IFERROR(__xludf.DUMMYFUNCTION("""COMPUTED_VALUE"""),"Operativo policial o detención")</f>
        <v>Operativo policial o detención</v>
      </c>
      <c r="I199" s="2" t="str">
        <f>IFERROR(__xludf.DUMMYFUNCTION("""COMPUTED_VALUE"""),"N/A")</f>
        <v>N/A</v>
      </c>
      <c r="J199" s="2" t="str">
        <f>IFERROR(__xludf.DUMMYFUNCTION("""COMPUTED_VALUE"""),"Monitoreo general.")</f>
        <v>Monitoreo general.</v>
      </c>
      <c r="K199" s="2" t="str">
        <f>IFERROR(__xludf.DUMMYFUNCTION("""COMPUTED_VALUE"""),"Estado de México")</f>
        <v>Estado de México</v>
      </c>
      <c r="L199" s="2" t="str">
        <f>IFERROR(__xludf.DUMMYFUNCTION("""COMPUTED_VALUE"""),"Estado de México")</f>
        <v>Estado de México</v>
      </c>
      <c r="M199" s="16" t="str">
        <f>IFERROR(__xludf.DUMMYFUNCTION("""COMPUTED_VALUE"""),"https://diarioportal.com/seguridad-y-justicia/concaem-condena-asesinato-de-alcalde-de-uruapan-carlos-manzo")</f>
        <v>https://diarioportal.com/seguridad-y-justicia/concaem-condena-asesinato-de-alcalde-de-uruapan-carlos-manzo</v>
      </c>
      <c r="N199" s="2" t="str">
        <f>IFERROR(__xludf.DUMMYFUNCTION("""COMPUTED_VALUE"""),"El Consejo de Cámaras y Asociaciones Empresariales del Estado de México (Concaem) expresó su consternación e indignación por el asesinato del presidente municipal de Uruapan, Michoacán, Carlos Manzo Rodríguez, quien había denunciado y hecho frente de mane"&amp;"ra contundente a las condiciones de inseguridad y delincuencia organizada que prevalecía en su municipio y región. Por ello, el sector empresarial del Estado de México hizo llamado urgente a las autoridades federales para emprender acciones que permitan r"&amp;"ecobrar la seguridad y la paz para la población del país, así como recuperar el ambiente de certeza que un día tuvo. Destacó que el hecho se suma a otros cinco asesinatos que se han dado a lo largo del año, en contra de presidentes municipales, tal es el "&amp;"caso de la presidenta municipal de Tepalcatepec, Michoacán, el presidente de San Mateo Piñas Oaxaca, el presidente municipal de Tacámbaro, Michoacán, el presidente de Metlatónoc Guerrero, y el presidente de Amoltepec Oaxaca. Exigió no sólo la expedición d"&amp;"e una carpeta de investigación, sino el establecimiento de una estrategia de seguridad que permita solventar la situación y mejorar las condiciones de vida de la población, el tiempo de garantizar condiciones de seguridad para los representantes populares"&amp;" y los ciudadanos. Si bien el sector productivo estatal reconoció las acciones que se han emprendido para avanzar en el tema de combate a la delincuencia organizada, resaltó que es necesaria una coordinación firme y efectiva entre los diferentes niveles d"&amp;"e gobierno, así como resultados tangibles que permitan a la población desarrollarse en mejores condiciones de vida. “El llamado que se hace es a la valentía y a la determinación por un país de oportunidades para todos”, concluyó. No hay etiquetas asociada"&amp;"s a éste artículo.")</f>
        <v>El Consejo de Cámaras y Asociaciones Empresariales del Estado de México (Concaem) expresó su consternación e indignación por el asesinato del presidente municipal de Uruapan, Michoacán, Carlos Manzo Rodríguez, quien había denunciado y hecho frente de manera contundente a las condiciones de inseguridad y delincuencia organizada que prevalecía en su municipio y región. Por ello, el sector empresarial del Estado de México hizo llamado urgente a las autoridades federales para emprender acciones que permitan recobrar la seguridad y la paz para la población del país, así como recuperar el ambiente de certeza que un día tuvo. Destacó que el hecho se suma a otros cinco asesinatos que se han dado a lo largo del año, en contra de presidentes municipales, tal es el caso de la presidenta municipal de Tepalcatepec, Michoacán, el presidente de San Mateo Piñas Oaxaca, el presidente municipal de Tacámbaro, Michoacán, el presidente de Metlatónoc Guerrero, y el presidente de Amoltepec Oaxaca. Exigió no sólo la expedición de una carpeta de investigación, sino el establecimiento de una estrategia de seguridad que permita solventar la situación y mejorar las condiciones de vida de la población, el tiempo de garantizar condiciones de seguridad para los representantes populares y los ciudadanos. Si bien el sector productivo estatal reconoció las acciones que se han emprendido para avanzar en el tema de combate a la delincuencia organizada, resaltó que es necesaria una coordinación firme y efectiva entre los diferentes niveles de gobierno, así como resultados tangibles que permitan a la población desarrollarse en mejores condiciones de vida. “El llamado que se hace es a la valentía y a la determinación por un país de oportunidades para todos”, concluyó. No hay etiquetas asociadas a éste artículo.</v>
      </c>
      <c r="O199" s="15">
        <f>IFERROR(__xludf.DUMMYFUNCTION("""COMPUTED_VALUE"""),0.3806)</f>
        <v>0.3806</v>
      </c>
      <c r="P199" s="2"/>
      <c r="Q199" s="17">
        <f>IFERROR(__xludf.DUMMYFUNCTION("""COMPUTED_VALUE"""),5.0)</f>
        <v>5</v>
      </c>
      <c r="R199" s="2" t="str">
        <f>IFERROR(__xludf.DUMMYFUNCTION("""COMPUTED_VALUE"""),"Low")</f>
        <v>Low</v>
      </c>
      <c r="S199" s="17">
        <f>IFERROR(__xludf.DUMMYFUNCTION("""COMPUTED_VALUE"""),0.0)</f>
        <v>0</v>
      </c>
      <c r="T199" s="17">
        <f>IFERROR(__xludf.DUMMYFUNCTION("""COMPUTED_VALUE"""),0.0)</f>
        <v>0</v>
      </c>
      <c r="U199" s="14">
        <f>IFERROR(__xludf.DUMMYFUNCTION("""COMPUTED_VALUE"""),2.0)</f>
        <v>2</v>
      </c>
      <c r="V199" s="14">
        <v>2025.0</v>
      </c>
      <c r="W199" s="2" t="s">
        <v>1206</v>
      </c>
      <c r="X199" s="2" t="s">
        <v>1188</v>
      </c>
      <c r="Y199" s="13" t="s">
        <v>794</v>
      </c>
      <c r="Z199" s="14">
        <v>0.0</v>
      </c>
      <c r="AA199" s="14">
        <v>0.0</v>
      </c>
      <c r="AB199" s="14">
        <v>0.0</v>
      </c>
      <c r="AC199" s="14">
        <v>0.0</v>
      </c>
      <c r="AD199" s="2">
        <v>0.0</v>
      </c>
      <c r="AE199" s="2">
        <v>0.0</v>
      </c>
      <c r="AF199" s="2">
        <v>11.0</v>
      </c>
      <c r="AG199" s="2" t="s">
        <v>1202</v>
      </c>
      <c r="AH199" s="2">
        <v>0.0</v>
      </c>
    </row>
    <row r="200" ht="15.75" customHeight="1">
      <c r="A200" s="2" t="str">
        <f>IFERROR(__xludf.DUMMYFUNCTION("""COMPUTED_VALUE"""),"Diario Portal")</f>
        <v>Diario Portal</v>
      </c>
      <c r="B200" s="12" t="str">
        <f>IFERROR(__xludf.DUMMYFUNCTION("""COMPUTED_VALUE"""),"Fiscalía Edomex detiene a líder de banda dedicada al robo violento de vehículos en el Valle de México")</f>
        <v>Fiscalía Edomex detiene a líder de banda dedicada al robo violento de vehículos en el Valle de México</v>
      </c>
      <c r="C200" s="13" t="str">
        <f>IFERROR(__xludf.DUMMYFUNCTION("""COMPUTED_VALUE"""),"2025-11-01 12:40:24")</f>
        <v>2025-11-01 12:40:24</v>
      </c>
      <c r="D200" s="14">
        <f>IFERROR(__xludf.DUMMYFUNCTION("""COMPUTED_VALUE"""),4.0)</f>
        <v>4</v>
      </c>
      <c r="E200" s="15">
        <f>IFERROR(__xludf.DUMMYFUNCTION("""COMPUTED_VALUE"""),-0.4871)</f>
        <v>-0.4871</v>
      </c>
      <c r="F200" s="2" t="str">
        <f>IFERROR(__xludf.DUMMYFUNCTION("""COMPUTED_VALUE"""),"Negativo")</f>
        <v>Negativo</v>
      </c>
      <c r="G200" s="15">
        <f>IFERROR(__xludf.DUMMYFUNCTION("""COMPUTED_VALUE"""),0.4871)</f>
        <v>0.4871</v>
      </c>
      <c r="H200" s="2" t="str">
        <f>IFERROR(__xludf.DUMMYFUNCTION("""COMPUTED_VALUE"""),"Operativo policial o detención")</f>
        <v>Operativo policial o detención</v>
      </c>
      <c r="I200" s="2" t="str">
        <f>IFERROR(__xludf.DUMMYFUNCTION("""COMPUTED_VALUE"""),"N/A")</f>
        <v>N/A</v>
      </c>
      <c r="J200" s="2" t="str">
        <f>IFERROR(__xludf.DUMMYFUNCTION("""COMPUTED_VALUE"""),"Monitoreo general.")</f>
        <v>Monitoreo general.</v>
      </c>
      <c r="K200" s="2" t="str">
        <f>IFERROR(__xludf.DUMMYFUNCTION("""COMPUTED_VALUE"""),"Estado de México")</f>
        <v>Estado de México</v>
      </c>
      <c r="L200" s="2" t="str">
        <f>IFERROR(__xludf.DUMMYFUNCTION("""COMPUTED_VALUE"""),"Estado de México")</f>
        <v>Estado de México</v>
      </c>
      <c r="M200" s="16" t="str">
        <f>IFERROR(__xludf.DUMMYFUNCTION("""COMPUTED_VALUE"""),"https://diarioportal.com/seguridad-y-justicia/fiscalia-edomex-detiene-a-lider-de-banda-dedicada-al-robo-violento-de-vehiculos-en-el-valle-de-mexico")</f>
        <v>https://diarioportal.com/seguridad-y-justicia/fiscalia-edomex-detiene-a-lider-de-banda-dedicada-al-robo-violento-de-vehiculos-en-el-valle-de-mexico</v>
      </c>
      <c r="N200" s="2" t="str">
        <f>IFERROR(__xludf.DUMMYFUNCTION("""COMPUTED_VALUE"""),"La Fiscalía General de Justicia del Estado de México (FGJEM) cumplimentó orden de aprehensión en contra de Ricardo “N”, considerado el líder de una estructura criminal autodenominada ""Los Chocorroles"", dedicada al robo de vehículos en varios municipios "&amp;"del Valle de México De acuerdo con los hechos, el 4 de octubre de 2025, la víctima, quien se desempeñaba como chofer de una aplicación digital, se encontraba estacionado a bordo de su vehículo de la marca MG, tipo Sedan, modelo 2024 momento en el que es i"&amp;"nterceptado por Ricardo “N” y otro sujeto más, quienes abordaron la unidad por la parte trasera y lo amenazaron con un arma de fuego y un cuchillo, obligándolo a conducir el carro hacia el municipio de Tlalnepantla, donde los esperaban dos sujetos más. Ya"&amp;" en la calle Puerto Caribe de la colonia El Puerto, la víctima fue obligada a descender del carro, mientras que los sujetos huyeron a bordo de la unidad. Luego de iniciar las indagatorias correspondientes, se identificó a Ricardo “N” como presunto respons"&amp;"able de este hecho ilícito, quien era considerado como un objetivo prioritario por esta Fiscalía, en el marco de la estrategia para el combate al robo de vehículos. Después de ser aprehendido fue puesto a disposición de la Autoridad Judicial, quien determ"&amp;"inará su situación jurídica; sin embargo, se le debe considerar inocente en tanto no se le dicte una sentencia de condena en su contra. De acuerdo a investigaciones de esta Fiscalía, Ricardo “N” es considerado el líder de una estructura criminal denominad"&amp;"a “Los Chocorroles”, que es investigada por diversos robos con violencia de vehículo en los municipios de Tlalnepantla, Atizapán de Zaragoza y Naucalpan. La Fiscalía General de Justicia del Estado de México pone a disposición de la ciudadanía el correo el"&amp;"ectrónico cerotolerancia@fiscaliaedomex.gob.mx, el número telefónico 800 7028770, o bien, la aplicación FGJEdomex, la cual está disponible de manera gratuita para los teléfonos inteligentes de los sistemas iOS y Android, para que en caso de reconocer a es"&amp;"te sujeto como probable implicado en otro hecho delictivo, sea denunciado. No hay etiquetas asociadas a éste artículo.")</f>
        <v>La Fiscalía General de Justicia del Estado de México (FGJEM) cumplimentó orden de aprehensión en contra de Ricardo “N”, considerado el líder de una estructura criminal autodenominada "Los Chocorroles", dedicada al robo de vehículos en varios municipios del Valle de México De acuerdo con los hechos, el 4 de octubre de 2025, la víctima, quien se desempeñaba como chofer de una aplicación digital, se encontraba estacionado a bordo de su vehículo de la marca MG, tipo Sedan, modelo 2024 momento en el que es interceptado por Ricardo “N” y otro sujeto más, quienes abordaron la unidad por la parte trasera y lo amenazaron con un arma de fuego y un cuchillo, obligándolo a conducir el carro hacia el municipio de Tlalnepantla, donde los esperaban dos sujetos más. Ya en la calle Puerto Caribe de la colonia El Puerto, la víctima fue obligada a descender del carro, mientras que los sujetos huyeron a bordo de la unidad. Luego de iniciar las indagatorias correspondientes, se identificó a Ricardo “N” como presunto responsable de este hecho ilícito, quien era considerado como un objetivo prioritario por esta Fiscalía, en el marco de la estrategia para el combate al robo de vehículos. Después de ser aprehendido fue puesto a disposición de la Autoridad Judicial, quien determinará su situación jurídica; sin embargo, se le debe considerar inocente en tanto no se le dicte una sentencia de condena en su contra. De acuerdo a investigaciones de esta Fiscalía, Ricardo “N” es considerado el líder de una estructura criminal denominada “Los Chocorroles”, que es investigada por diversos robos con violencia de vehículo en los municipios de Tlalnepantla, Atizapán de Zaragoza y Naucalpan.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este sujeto como probable implicado en otro hecho delictivo, sea denunciado. No hay etiquetas asociadas a éste artículo.</v>
      </c>
      <c r="O200" s="15">
        <f>IFERROR(__xludf.DUMMYFUNCTION("""COMPUTED_VALUE"""),0.6476)</f>
        <v>0.6476</v>
      </c>
      <c r="P200" s="2"/>
      <c r="Q200" s="17">
        <f>IFERROR(__xludf.DUMMYFUNCTION("""COMPUTED_VALUE"""),8.0)</f>
        <v>8</v>
      </c>
      <c r="R200" s="2" t="str">
        <f>IFERROR(__xludf.DUMMYFUNCTION("""COMPUTED_VALUE"""),"High")</f>
        <v>High</v>
      </c>
      <c r="S200" s="17">
        <f>IFERROR(__xludf.DUMMYFUNCTION("""COMPUTED_VALUE"""),3.0)</f>
        <v>3</v>
      </c>
      <c r="T200" s="17">
        <f>IFERROR(__xludf.DUMMYFUNCTION("""COMPUTED_VALUE"""),0.0)</f>
        <v>0</v>
      </c>
      <c r="U200" s="14">
        <f>IFERROR(__xludf.DUMMYFUNCTION("""COMPUTED_VALUE"""),2.0)</f>
        <v>2</v>
      </c>
      <c r="V200" s="14">
        <v>2025.0</v>
      </c>
      <c r="W200" s="2" t="s">
        <v>1206</v>
      </c>
      <c r="X200" s="2" t="s">
        <v>1194</v>
      </c>
      <c r="Y200" s="13" t="s">
        <v>798</v>
      </c>
      <c r="Z200" s="14">
        <v>0.0</v>
      </c>
      <c r="AA200" s="14">
        <v>0.0</v>
      </c>
      <c r="AB200" s="14">
        <v>0.0</v>
      </c>
      <c r="AC200" s="14">
        <v>0.0</v>
      </c>
      <c r="AD200" s="2">
        <v>0.0</v>
      </c>
      <c r="AE200" s="2">
        <v>1.0</v>
      </c>
      <c r="AF200" s="2">
        <v>11.0</v>
      </c>
      <c r="AG200" s="2" t="s">
        <v>1202</v>
      </c>
      <c r="AH200" s="2">
        <v>0.0</v>
      </c>
    </row>
    <row r="201" ht="15.75" customHeight="1">
      <c r="A201" s="2" t="str">
        <f>IFERROR(__xludf.DUMMYFUNCTION("""COMPUTED_VALUE"""),"Diario Portal")</f>
        <v>Diario Portal</v>
      </c>
      <c r="B201" s="12" t="str">
        <f>IFERROR(__xludf.DUMMYFUNCTION("""COMPUTED_VALUE"""),"Vinculan a proceso a Cristopher “N”, conocido como El Comandante, por el homicidio de dos personas de nacionalidad colombiana")</f>
        <v>Vinculan a proceso a Cristopher “N”, conocido como El Comandante, por el homicidio de dos personas de nacionalidad colombiana</v>
      </c>
      <c r="C201" s="13" t="str">
        <f>IFERROR(__xludf.DUMMYFUNCTION("""COMPUTED_VALUE"""),"2025-11-01 12:33:58")</f>
        <v>2025-11-01 12:33:58</v>
      </c>
      <c r="D201" s="14">
        <f>IFERROR(__xludf.DUMMYFUNCTION("""COMPUTED_VALUE"""),4.0)</f>
        <v>4</v>
      </c>
      <c r="E201" s="15">
        <f>IFERROR(__xludf.DUMMYFUNCTION("""COMPUTED_VALUE"""),0.0)</f>
        <v>0</v>
      </c>
      <c r="F201" s="2" t="str">
        <f>IFERROR(__xludf.DUMMYFUNCTION("""COMPUTED_VALUE"""),"Neutral")</f>
        <v>Neutral</v>
      </c>
      <c r="G201" s="15">
        <f>IFERROR(__xludf.DUMMYFUNCTION("""COMPUTED_VALUE"""),0.4891)</f>
        <v>0.4891</v>
      </c>
      <c r="H201" s="2" t="str">
        <f>IFERROR(__xludf.DUMMYFUNCTION("""COMPUTED_VALUE"""),"Delito violento, robo o asalto")</f>
        <v>Delito violento, robo o asalto</v>
      </c>
      <c r="I201" s="2" t="str">
        <f>IFERROR(__xludf.DUMMYFUNCTION("""COMPUTED_VALUE"""),"homicidio")</f>
        <v>homicidio</v>
      </c>
      <c r="J201" s="2" t="str">
        <f>IFERROR(__xludf.DUMMYFUNCTION("""COMPUTED_VALUE"""),"Prevención PAX: Contactos de confianza.")</f>
        <v>Prevención PAX: Contactos de confianza.</v>
      </c>
      <c r="K201" s="2" t="str">
        <f>IFERROR(__xludf.DUMMYFUNCTION("""COMPUTED_VALUE"""),"Estado de México")</f>
        <v>Estado de México</v>
      </c>
      <c r="L201" s="2" t="str">
        <f>IFERROR(__xludf.DUMMYFUNCTION("""COMPUTED_VALUE"""),"Estado de México")</f>
        <v>Estado de México</v>
      </c>
      <c r="M201" s="16" t="str">
        <f>IFERROR(__xludf.DUMMYFUNCTION("""COMPUTED_VALUE"""),"https://diarioportal.com/seguridad-y-justicia/vinculan-a-proceso-a-cristopher-n-conocido-como-el-comandante-por-el-homicidio-de-dos-personas-de-nacionalidad-colombiana")</f>
        <v>https://diarioportal.com/seguridad-y-justicia/vinculan-a-proceso-a-cristopher-n-conocido-como-el-comandante-por-el-homicidio-de-dos-personas-de-nacionalidad-colombiana</v>
      </c>
      <c r="N201" s="2" t="str">
        <f>IFERROR(__xludf.DUMMYFUNCTION("""COMPUTED_VALUE"""),"En audiencia celebrada este día en los Juzgados de Chalco, un Juez determinó la vinculación a proceso en contra de Cristopher “N”, alias “El Comandante”, por su probable participación en el homicidio en agravio de dos víctimas de nacionalidad colombiana, "&amp;"cuyos restos fueron localizados el pasado 17 de septiembre en el municipio de Cocotitlán. Tras analizar los datos recabados y expuestos por el Agente del Ministerio Público, la Autoridad Judicial resolvió la situación jurídica del investigado por el delit"&amp;"o de homicidio calificado e impuso medida cautelar de prisión preventiva justificada. De acuerdo a los indicios aportados por esta Fiscalía, se permite inferir que Cristopher “N”, alias “El Comandante”, tuvo control sobre aspectos esenciales de la ejecuci"&amp;"ón, al coordinar y dirigir la fase de atracción de las víctimas mediante el engaño y la manipulación de su confianza para asegurar el resultado planificado por el grupo. En el Estado de México, el delito de homicidio calificado está previsto y sancionado "&amp;"en los artículos 241, 242 fracción II y 245 fracción V inciso b), en relación con los artículos 6, 7, 8, fracción I, y 11, fracción II inciso c), del Código Penal estatal. A los responsables se les puede imponer una pena de hasta 70 años de prisión. Al de"&amp;"tenido se le debe considerar inocente en tanto no se emita una sentencia de condena en su contra. La Fiscalía General de Justicia del Estado de México pone a disposición de la ciudadanía el correo electrónico cerotolerancia@fiscaliaedomex.gob.mx, el númer"&amp;"o telefónico 800 7028770, o bien, la aplicación FGJEdomex, la cual está disponible de manera gratuita para los teléfonos inteligentes de los sistemas iOS y Android, para que, en caso de reconocer a estas personas como probables implicadas en otro hecho de"&amp;"lictivo, sean denunciadas. No hay etiquetas asociadas a éste artículo.")</f>
        <v>En audiencia celebrada este día en los Juzgados de Chalco, un Juez determinó la vinculación a proceso en contra de Cristopher “N”, alias “El Comandante”, por su probable participación en el homicidio en agravio de dos víctimas de nacionalidad colombiana, cuyos restos fueron localizados el pasado 17 de septiembre en el municipio de Cocotitlán. Tras analizar los datos recabados y expuestos por el Agente del Ministerio Público, la Autoridad Judicial resolvió la situación jurídica del investigado por el delito de homicidio calificado e impuso medida cautelar de prisión preventiva justificada. De acuerdo a los indicios aportados por esta Fiscalía, se permite inferir que Cristopher “N”, alias “El Comandante”, tuvo control sobre aspectos esenciales de la ejecución, al coordinar y dirigir la fase de atracción de las víctimas mediante el engaño y la manipulación de su confianza para asegurar el resultado planificado por el grupo. En el Estado de México, el delito de homicidio calificado está previsto y sancionado en los artículos 241, 242 fracción II y 245 fracción V inciso b), en relación con los artículos 6, 7, 8, fracción I, y 11, fracción II inciso c), del Código Penal estatal. A los responsables se les puede imponer una pena de hasta 70 años de prisión. Al detenido se le debe considerar inocente en tanto no se emita una sentencia de condena en su contra. La Fiscalía General de Justicia del Estado de México pone a disposición de la ciudadanía el correo electrónico cerotolerancia@fiscaliaedomex.gob.mx, el número telefónico 800 7028770, o bien, la aplicación FGJEdomex, la cual está disponible de manera gratuita para los teléfonos inteligentes de los sistemas iOS y Android, para que, en caso de reconocer a estas personas como probables implicadas en otro hecho delictivo, sean denunciadas. No hay etiquetas asociadas a éste artículo.</v>
      </c>
      <c r="O201" s="15">
        <f>IFERROR(__xludf.DUMMYFUNCTION("""COMPUTED_VALUE"""),1.0)</f>
        <v>1</v>
      </c>
      <c r="P201" s="2"/>
      <c r="Q201" s="17">
        <f>IFERROR(__xludf.DUMMYFUNCTION("""COMPUTED_VALUE"""),3.0)</f>
        <v>3</v>
      </c>
      <c r="R201" s="2" t="str">
        <f>IFERROR(__xludf.DUMMYFUNCTION("""COMPUTED_VALUE"""),"Medium")</f>
        <v>Medium</v>
      </c>
      <c r="S201" s="17">
        <f>IFERROR(__xludf.DUMMYFUNCTION("""COMPUTED_VALUE"""),2.0)</f>
        <v>2</v>
      </c>
      <c r="T201" s="17">
        <f>IFERROR(__xludf.DUMMYFUNCTION("""COMPUTED_VALUE"""),0.0)</f>
        <v>0</v>
      </c>
      <c r="U201" s="14">
        <f>IFERROR(__xludf.DUMMYFUNCTION("""COMPUTED_VALUE"""),2.0)</f>
        <v>2</v>
      </c>
      <c r="V201" s="14">
        <v>2025.0</v>
      </c>
      <c r="W201" s="2" t="s">
        <v>1206</v>
      </c>
      <c r="X201" s="2" t="s">
        <v>1194</v>
      </c>
      <c r="Y201" s="13" t="s">
        <v>802</v>
      </c>
      <c r="Z201" s="14">
        <v>0.0</v>
      </c>
      <c r="AA201" s="14">
        <v>0.0</v>
      </c>
      <c r="AB201" s="14">
        <v>0.0</v>
      </c>
      <c r="AC201" s="14">
        <v>0.0</v>
      </c>
      <c r="AD201" s="2">
        <v>0.0</v>
      </c>
      <c r="AE201" s="2">
        <v>1.0</v>
      </c>
      <c r="AF201" s="2">
        <v>11.0</v>
      </c>
      <c r="AG201" s="2" t="s">
        <v>1202</v>
      </c>
      <c r="AH201" s="2">
        <v>0.0</v>
      </c>
    </row>
    <row r="202" ht="15.75" customHeight="1">
      <c r="A202" s="2" t="str">
        <f>IFERROR(__xludf.DUMMYFUNCTION("""COMPUTED_VALUE"""),"Diario Portal")</f>
        <v>Diario Portal</v>
      </c>
      <c r="B202" s="12" t="str">
        <f>IFERROR(__xludf.DUMMYFUNCTION("""COMPUTED_VALUE"""),"Evitan 85% de pagos por extorsiones en Edomex en 2 meses")</f>
        <v>Evitan 85% de pagos por extorsiones en Edomex en 2 meses</v>
      </c>
      <c r="C202" s="13" t="str">
        <f>IFERROR(__xludf.DUMMYFUNCTION("""COMPUTED_VALUE"""),"2025-10-31 18:59:16")</f>
        <v>2025-10-31 18:59:16</v>
      </c>
      <c r="D202" s="14">
        <f>IFERROR(__xludf.DUMMYFUNCTION("""COMPUTED_VALUE"""),5.0)</f>
        <v>5</v>
      </c>
      <c r="E202" s="15">
        <f>IFERROR(__xludf.DUMMYFUNCTION("""COMPUTED_VALUE"""),0.0)</f>
        <v>0</v>
      </c>
      <c r="F202" s="2" t="str">
        <f>IFERROR(__xludf.DUMMYFUNCTION("""COMPUTED_VALUE"""),"Neutral")</f>
        <v>Neutral</v>
      </c>
      <c r="G202" s="15">
        <f>IFERROR(__xludf.DUMMYFUNCTION("""COMPUTED_VALUE"""),0.5672)</f>
        <v>0.5672</v>
      </c>
      <c r="H202" s="2" t="str">
        <f>IFERROR(__xludf.DUMMYFUNCTION("""COMPUTED_VALUE"""),"Operativo policial o detención")</f>
        <v>Operativo policial o detención</v>
      </c>
      <c r="I202" s="2" t="str">
        <f>IFERROR(__xludf.DUMMYFUNCTION("""COMPUTED_VALUE"""),"N/A")</f>
        <v>N/A</v>
      </c>
      <c r="J202" s="2" t="str">
        <f>IFERROR(__xludf.DUMMYFUNCTION("""COMPUTED_VALUE"""),"Monitoreo general.")</f>
        <v>Monitoreo general.</v>
      </c>
      <c r="K202" s="2" t="str">
        <f>IFERROR(__xludf.DUMMYFUNCTION("""COMPUTED_VALUE"""),"Estado de México")</f>
        <v>Estado de México</v>
      </c>
      <c r="L202" s="2" t="str">
        <f>IFERROR(__xludf.DUMMYFUNCTION("""COMPUTED_VALUE"""),"Estado de México")</f>
        <v>Estado de México</v>
      </c>
      <c r="M202" s="16" t="str">
        <f>IFERROR(__xludf.DUMMYFUNCTION("""COMPUTED_VALUE"""),"https://diarioportal.com/seguridad-y-justicia/evitan-85-de-pagos-por-extorsiones-en-edomex-en-2-meses")</f>
        <v>https://diarioportal.com/seguridad-y-justicia/evitan-85-de-pagos-por-extorsiones-en-edomex-en-2-meses</v>
      </c>
      <c r="N202" s="2" t="str">
        <f>IFERROR(__xludf.DUMMYFUNCTION("""COMPUTED_VALUE"""),"La estrategia contra la extorsión encabezada por la Gobernadora Delfina Gómez Álvarez permitió evitar el pago de 73 millones 547 mil 814 pesos, es decir, el 85% del monto exigido entre el 1 de septiembre y el 30 de octubre, según los resultados presentado"&amp;"s en la Mesa de Paz que la mandataria realiza diariamente. La Secretaría de Seguridad del Estado de México informó que, como parte de la Estrategia Nacional contra la Extorsión, en ese periodo se recibieron 7 mil 919 denuncias a través de la Línea Naciona"&amp;"l 089, de las cuales 3 mil 621 fueron por extorsión telefónica, 2 mil 194 por fraude telefónico, 476 por llamadas maliciosas, 215 por extorsión electrónica, 160 por amenaza, 91 por cobro de derecho de piso, 26 por extorsión directa y mil 136 por otras mod"&amp;"alidades. La dependencia destacó que la denuncia ciudadana, sumada a la asesoría oportuna de la Policía Cibernética, ha sido determinante para contener este delito y fortalecer la confianza hacia las instituciones de seguridad. De acuerdo con las autorida"&amp;"des, los modus operandi más comunes incluyen chantajes o amenazas (3 mil 79 casos) y fraudes en los que los delincuentes se hacen pasar por familiares o conocidos (776). Otros esquemas detectados fueron llamadas maliciosas (476), falsos secuestros (275) y"&amp;" extorsiones directas. Ante ello, recordaron que el 089 opera las 24 horas, los 365 días del año, garantizando atención anónima, orientación y acompañamiento inmediato a las víctimas. Durante la Mesa de Paz número 205 de este año, participaron el Secretar"&amp;"io General de Gobierno, Horacio Duarte Olivares; el Secretario de Seguridad estatal, Cristóbal Castañeda Camarillo; la Secretaria Técnica, Maricela López Urbina; el Fiscal General de Justicia, José Luis Cervantes Martínez, y representantes de la Defensa N"&amp;"acional, Marina, Guardia Nacional y el Centro Nacional de Inteligencia. No hay etiquetas asociadas a éste artículo.")</f>
        <v>La estrategia contra la extorsión encabezada por la Gobernadora Delfina Gómez Álvarez permitió evitar el pago de 73 millones 547 mil 814 pesos, es decir, el 85% del monto exigido entre el 1 de septiembre y el 30 de octubre, según los resultados presentados en la Mesa de Paz que la mandataria realiza diariamente. La Secretaría de Seguridad del Estado de México informó que, como parte de la Estrategia Nacional contra la Extorsión, en ese periodo se recibieron 7 mil 919 denuncias a través de la Línea Nacional 089, de las cuales 3 mil 621 fueron por extorsión telefónica, 2 mil 194 por fraude telefónico, 476 por llamadas maliciosas, 215 por extorsión electrónica, 160 por amenaza, 91 por cobro de derecho de piso, 26 por extorsión directa y mil 136 por otras modalidades. La dependencia destacó que la denuncia ciudadana, sumada a la asesoría oportuna de la Policía Cibernética, ha sido determinante para contener este delito y fortalecer la confianza hacia las instituciones de seguridad. De acuerdo con las autoridades, los modus operandi más comunes incluyen chantajes o amenazas (3 mil 79 casos) y fraudes en los que los delincuentes se hacen pasar por familiares o conocidos (776). Otros esquemas detectados fueron llamadas maliciosas (476), falsos secuestros (275) y extorsiones directas. Ante ello, recordaron que el 089 opera las 24 horas, los 365 días del año, garantizando atención anónima, orientación y acompañamiento inmediato a las víctimas. Durante la Mesa de Paz número 205 de este año, participaron el Secretario General de Gobierno, Horacio Duarte Olivares; el Secretario de Seguridad estatal, Cristóbal Castañeda Camarillo; la Secretaria Técnica, Maricela López Urbina; el Fiscal General de Justicia, José Luis Cervantes Martínez, y representantes de la Defensa Nacional, Marina, Guardia Nacional y el Centro Nacional de Inteligencia. No hay etiquetas asociadas a éste artículo.</v>
      </c>
      <c r="O202" s="15">
        <f>IFERROR(__xludf.DUMMYFUNCTION("""COMPUTED_VALUE"""),0.4096)</f>
        <v>0.4096</v>
      </c>
      <c r="P202" s="2"/>
      <c r="Q202" s="17">
        <f>IFERROR(__xludf.DUMMYFUNCTION("""COMPUTED_VALUE"""),6.0)</f>
        <v>6</v>
      </c>
      <c r="R202" s="2" t="str">
        <f>IFERROR(__xludf.DUMMYFUNCTION("""COMPUTED_VALUE"""),"High")</f>
        <v>High</v>
      </c>
      <c r="S202" s="17">
        <f>IFERROR(__xludf.DUMMYFUNCTION("""COMPUTED_VALUE"""),6.0)</f>
        <v>6</v>
      </c>
      <c r="T202" s="17">
        <f>IFERROR(__xludf.DUMMYFUNCTION("""COMPUTED_VALUE"""),0.0)</f>
        <v>0</v>
      </c>
      <c r="U202" s="14">
        <f>IFERROR(__xludf.DUMMYFUNCTION("""COMPUTED_VALUE"""),2.0)</f>
        <v>2</v>
      </c>
      <c r="V202" s="14">
        <v>2025.0</v>
      </c>
      <c r="W202" s="2" t="s">
        <v>1210</v>
      </c>
      <c r="X202" s="2" t="s">
        <v>1199</v>
      </c>
      <c r="Y202" s="13" t="s">
        <v>806</v>
      </c>
      <c r="Z202" s="14">
        <v>0.0</v>
      </c>
      <c r="AA202" s="14">
        <v>0.0</v>
      </c>
      <c r="AB202" s="14">
        <v>0.0</v>
      </c>
      <c r="AC202" s="14">
        <v>0.0</v>
      </c>
      <c r="AD202" s="2">
        <v>0.0</v>
      </c>
      <c r="AE202" s="2">
        <v>1.0</v>
      </c>
      <c r="AF202" s="2">
        <v>10.0</v>
      </c>
      <c r="AG202" s="2" t="s">
        <v>1202</v>
      </c>
      <c r="AH202" s="2">
        <v>0.0</v>
      </c>
    </row>
    <row r="203" ht="15.75" customHeight="1">
      <c r="A203" s="2" t="str">
        <f>IFERROR(__xludf.DUMMYFUNCTION("""COMPUTED_VALUE"""),"La Jornada")</f>
        <v>La Jornada</v>
      </c>
      <c r="B203" s="12" t="str">
        <f>IFERROR(__xludf.DUMMYFUNCTION("""COMPUTED_VALUE"""),"Dan emotivo último adiós al policía Román Martínez en la alcaldía AO")</f>
        <v>Dan emotivo último adiós al policía Román Martínez en la alcaldía AO</v>
      </c>
      <c r="C203" s="13" t="str">
        <f>IFERROR(__xludf.DUMMYFUNCTION("""COMPUTED_VALUE"""),"2025-12-29")</f>
        <v>2025-12-29</v>
      </c>
      <c r="D203" s="14">
        <f>IFERROR(__xludf.DUMMYFUNCTION("""COMPUTED_VALUE"""),2.0)</f>
        <v>2</v>
      </c>
      <c r="E203" s="15">
        <f>IFERROR(__xludf.DUMMYFUNCTION("""COMPUTED_VALUE"""),0.0)</f>
        <v>0</v>
      </c>
      <c r="F203" s="2" t="str">
        <f>IFERROR(__xludf.DUMMYFUNCTION("""COMPUTED_VALUE"""),"Neutral")</f>
        <v>Neutral</v>
      </c>
      <c r="G203" s="15">
        <f>IFERROR(__xludf.DUMMYFUNCTION("""COMPUTED_VALUE"""),0.4032)</f>
        <v>0.4032</v>
      </c>
      <c r="H203" s="2" t="str">
        <f>IFERROR(__xludf.DUMMYFUNCTION("""COMPUTED_VALUE"""),"Operativo policial o detención")</f>
        <v>Operativo policial o detención</v>
      </c>
      <c r="I203" s="2" t="str">
        <f>IFERROR(__xludf.DUMMYFUNCTION("""COMPUTED_VALUE"""),"N/A")</f>
        <v>N/A</v>
      </c>
      <c r="J203" s="2" t="str">
        <f>IFERROR(__xludf.DUMMYFUNCTION("""COMPUTED_VALUE"""),"Monitoreo general.")</f>
        <v>Monitoreo general.</v>
      </c>
      <c r="K203" s="2" t="str">
        <f>IFERROR(__xludf.DUMMYFUNCTION("""COMPUTED_VALUE"""),"Álvaro Obregón")</f>
        <v>Álvaro Obregón</v>
      </c>
      <c r="L203" s="2" t="str">
        <f>IFERROR(__xludf.DUMMYFUNCTION("""COMPUTED_VALUE"""),"Ciudad de México")</f>
        <v>Ciudad de México</v>
      </c>
      <c r="M203" s="16" t="str">
        <f>IFERROR(__xludf.DUMMYFUNCTION("""COMPUTED_VALUE"""),"https://www.jornada.com.mx/noticia/2025/12/29/capital/dan-emotivo-ultimo-adios-al-policia-roman-martinez-en-la-alcaldia-ao")</f>
        <v>https://www.jornada.com.mx/noticia/2025/12/29/capital/dan-emotivo-ultimo-adios-al-policia-roman-martinez-en-la-alcaldia-ao</v>
      </c>
      <c r="N203" s="2" t="str">
        <f>IFERROR(__xludf.DUMMYFUNCTION("""COMPUTED_VALUE"""),"Ciudad de México.Elementos de las Subsecretarías y Direcciones Generales de la Secretaría de Seguridad Ciudadana de la Ciudad de México se reunieron en una emotiva ceremonia para dar el último adiós al Policía Segundo Román Martínez Estrada, quien perdió "&amp;"la vida en cumplimiento del deber al frustrar un robo a casa habitación ayer en la alcaldía Álvaro Obregón. El homenaje póstumo se realizó tras una misa de cuerpo presente en la explanada del Agrupamiento Guerrero, en la alcaldía Venustiano Carranza, y fu"&amp;"e encabezado por el secretario de Seguridad Ciudadana, Pablo Vázquez Camacho, acompañado por subsecretarios y mandos de las distintas áreas de la corporación. Durante su mensaje, el titular destacó que la trayectoria del oficial caído deja un legado imbor"&amp;"rable para la institución, al representar la vocación, la valentía y el sentido del deber que caracterizan a las y los policías capitalinos. Subrayó que, a lo largo de más de 30 años de servicio, Román Martínez cumplió con su labor con profesionalismo, de"&amp;"terminación y honor, siempre comprometido con la seguridad, la paz y la justicia en la ciudad. Como parte de la ceremonia, se montó una guardia de honor alrededor del féretro, al que se le colocaron la bandera y el kepí que portó durante su carrera polici"&amp;"al. La Banda de Guerra, integrada por elementos de la Policía Auxiliar, Bancaria e Industrial y del Agrupamiento Zorros, interpretó el toque de silencio, mientras un equipo de fusilería realizó una salva de honor. El último pase de lista fue pronunciado p"&amp;"or el Inspector General Eder Alberto Otañez Herrera, director general regional de Álvaro Obregón, quien recordó la calidad humana del oficial y su convicción por hacer lo correcto, y expresó a la familia que no están solos y que su memoria permanecerá viv"&amp;"a en la institución. Finalmente, Vázquez Camacho hizo un llamado a los policías a no descansar hasta detener a los responsables.")</f>
        <v>Ciudad de México.Elementos de las Subsecretarías y Direcciones Generales de la Secretaría de Seguridad Ciudadana de la Ciudad de México se reunieron en una emotiva ceremonia para dar el último adiós al Policía Segundo Román Martínez Estrada, quien perdió la vida en cumplimiento del deber al frustrar un robo a casa habitación ayer en la alcaldía Álvaro Obregón. El homenaje póstumo se realizó tras una misa de cuerpo presente en la explanada del Agrupamiento Guerrero, en la alcaldía Venustiano Carranza, y fue encabezado por el secretario de Seguridad Ciudadana, Pablo Vázquez Camacho, acompañado por subsecretarios y mandos de las distintas áreas de la corporación. Durante su mensaje, el titular destacó que la trayectoria del oficial caído deja un legado imborrable para la institución, al representar la vocación, la valentía y el sentido del deber que caracterizan a las y los policías capitalinos. Subrayó que, a lo largo de más de 30 años de servicio, Román Martínez cumplió con su labor con profesionalismo, determinación y honor, siempre comprometido con la seguridad, la paz y la justicia en la ciudad. Como parte de la ceremonia, se montó una guardia de honor alrededor del féretro, al que se le colocaron la bandera y el kepí que portó durante su carrera policial. La Banda de Guerra, integrada por elementos de la Policía Auxiliar, Bancaria e Industrial y del Agrupamiento Zorros, interpretó el toque de silencio, mientras un equipo de fusilería realizó una salva de honor. El último pase de lista fue pronunciado por el Inspector General Eder Alberto Otañez Herrera, director general regional de Álvaro Obregón, quien recordó la calidad humana del oficial y su convicción por hacer lo correcto, y expresó a la familia que no están solos y que su memoria permanecerá viva en la institución. Finalmente, Vázquez Camacho hizo un llamado a los policías a no descansar hasta detener a los responsables.</v>
      </c>
      <c r="O203" s="15">
        <f>IFERROR(__xludf.DUMMYFUNCTION("""COMPUTED_VALUE"""),0.499)</f>
        <v>0.499</v>
      </c>
      <c r="P203" s="2"/>
      <c r="Q203" s="17">
        <f>IFERROR(__xludf.DUMMYFUNCTION("""COMPUTED_VALUE"""),8.0)</f>
        <v>8</v>
      </c>
      <c r="R203" s="2" t="str">
        <f>IFERROR(__xludf.DUMMYFUNCTION("""COMPUTED_VALUE"""),"High")</f>
        <v>High</v>
      </c>
      <c r="S203" s="17">
        <f>IFERROR(__xludf.DUMMYFUNCTION("""COMPUTED_VALUE"""),3.0)</f>
        <v>3</v>
      </c>
      <c r="T203" s="17">
        <f>IFERROR(__xludf.DUMMYFUNCTION("""COMPUTED_VALUE"""),0.0)</f>
        <v>0</v>
      </c>
      <c r="U203" s="14">
        <f>IFERROR(__xludf.DUMMYFUNCTION("""COMPUTED_VALUE"""),3.0)</f>
        <v>3</v>
      </c>
      <c r="V203" s="14">
        <v>2025.0</v>
      </c>
      <c r="W203" s="2" t="s">
        <v>1168</v>
      </c>
      <c r="X203" s="2" t="s">
        <v>1169</v>
      </c>
      <c r="Y203" s="13" t="s">
        <v>23</v>
      </c>
      <c r="Z203" s="14">
        <v>0.0</v>
      </c>
      <c r="AA203" s="14">
        <v>0.0</v>
      </c>
      <c r="AB203" s="14">
        <v>0.0</v>
      </c>
      <c r="AC203" s="14">
        <v>0.0</v>
      </c>
      <c r="AD203" s="2">
        <v>0.0</v>
      </c>
      <c r="AE203" s="2">
        <v>0.0</v>
      </c>
      <c r="AF203" s="2">
        <v>12.0</v>
      </c>
      <c r="AG203" s="2" t="s">
        <v>1220</v>
      </c>
      <c r="AH203" s="2">
        <v>0.0</v>
      </c>
    </row>
    <row r="204" ht="15.75" customHeight="1">
      <c r="A204" s="2" t="str">
        <f>IFERROR(__xludf.DUMMYFUNCTION("""COMPUTED_VALUE"""),"La Jornada")</f>
        <v>La Jornada</v>
      </c>
      <c r="B204" s="12" t="str">
        <f>IFERROR(__xludf.DUMMYFUNCTION("""COMPUTED_VALUE"""),"SSC investiga agresión de policías a un hombre en Cuauhtémoc")</f>
        <v>SSC investiga agresión de policías a un hombre en Cuauhtémoc</v>
      </c>
      <c r="C204" s="13" t="str">
        <f>IFERROR(__xludf.DUMMYFUNCTION("""COMPUTED_VALUE"""),"2025-12-29")</f>
        <v>2025-12-29</v>
      </c>
      <c r="D204" s="14">
        <f>IFERROR(__xludf.DUMMYFUNCTION("""COMPUTED_VALUE"""),2.0)</f>
        <v>2</v>
      </c>
      <c r="E204" s="15">
        <f>IFERROR(__xludf.DUMMYFUNCTION("""COMPUTED_VALUE"""),-0.6305)</f>
        <v>-0.6305</v>
      </c>
      <c r="F204" s="2" t="str">
        <f>IFERROR(__xludf.DUMMYFUNCTION("""COMPUTED_VALUE"""),"Negativo")</f>
        <v>Negativo</v>
      </c>
      <c r="G204" s="15">
        <f>IFERROR(__xludf.DUMMYFUNCTION("""COMPUTED_VALUE"""),0.6305)</f>
        <v>0.6305</v>
      </c>
      <c r="H204" s="2" t="str">
        <f>IFERROR(__xludf.DUMMYFUNCTION("""COMPUTED_VALUE"""),"Operativo policial o detención")</f>
        <v>Operativo policial o detención</v>
      </c>
      <c r="I204" s="2" t="str">
        <f>IFERROR(__xludf.DUMMYFUNCTION("""COMPUTED_VALUE"""),"N/A")</f>
        <v>N/A</v>
      </c>
      <c r="J204" s="2" t="str">
        <f>IFERROR(__xludf.DUMMYFUNCTION("""COMPUTED_VALUE"""),"Monitoreo general.")</f>
        <v>Monitoreo general.</v>
      </c>
      <c r="K204" s="2" t="str">
        <f>IFERROR(__xludf.DUMMYFUNCTION("""COMPUTED_VALUE"""),"Cuauhtémoc")</f>
        <v>Cuauhtémoc</v>
      </c>
      <c r="L204" s="2" t="str">
        <f>IFERROR(__xludf.DUMMYFUNCTION("""COMPUTED_VALUE"""),"Ciudad de México")</f>
        <v>Ciudad de México</v>
      </c>
      <c r="M204" s="16" t="str">
        <f>IFERROR(__xludf.DUMMYFUNCTION("""COMPUTED_VALUE"""),"https://www.jornada.com.mx/noticia/2025/12/29/capital/ssc-investiga-agresion-de-policias-a-un-hombre-en-cuauhtemoc")</f>
        <v>https://www.jornada.com.mx/noticia/2025/12/29/capital/ssc-investiga-agresion-de-policias-a-un-hombre-en-cuauhtemoc</v>
      </c>
      <c r="N204" s="2" t="str">
        <f>IFERROR(__xludf.DUMMYFUNCTION("""COMPUTED_VALUE"""),"Ciudad de México.La Secretaría de Seguridad Ciudadana de la Ciudad de México informó que, tras la difusión de un video en redes sociales que muestra una detención en la alcaldía Cuauhtémoc, en la que un hombre es agredido por policías, la Dirección Genera"&amp;"l de Asuntos Internos inició la carpeta de investigación correspondiente para esclarecer los hechos.En las imágenes se observa presuntamente a un mando del sector Tlatelolco, junto con otro elemento de la misma corporación, golpeando en la espalda a un ci"&amp;"udadano con un palo.Ante esta situación, la SSC señaló que se trabaja en la identificación de los policías involucrados, quienes serán citados a rendir su declaración a fin de determinar posibles responsabilidades.")</f>
        <v>Ciudad de México.La Secretaría de Seguridad Ciudadana de la Ciudad de México informó que, tras la difusión de un video en redes sociales que muestra una detención en la alcaldía Cuauhtémoc, en la que un hombre es agredido por policías, la Dirección General de Asuntos Internos inició la carpeta de investigación correspondiente para esclarecer los hechos.En las imágenes se observa presuntamente a un mando del sector Tlatelolco, junto con otro elemento de la misma corporación, golpeando en la espalda a un ciudadano con un palo.Ante esta situación, la SSC señaló que se trabaja en la identificación de los policías involucrados, quienes serán citados a rendir su declaración a fin de determinar posibles responsabilidades.</v>
      </c>
      <c r="O204" s="15">
        <f>IFERROR(__xludf.DUMMYFUNCTION("""COMPUTED_VALUE"""),0.9194)</f>
        <v>0.9194</v>
      </c>
      <c r="P204" s="2"/>
      <c r="Q204" s="17">
        <f>IFERROR(__xludf.DUMMYFUNCTION("""COMPUTED_VALUE"""),8.5)</f>
        <v>8.5</v>
      </c>
      <c r="R204" s="2" t="str">
        <f>IFERROR(__xludf.DUMMYFUNCTION("""COMPUTED_VALUE"""),"High")</f>
        <v>High</v>
      </c>
      <c r="S204" s="17">
        <f>IFERROR(__xludf.DUMMYFUNCTION("""COMPUTED_VALUE"""),3.5)</f>
        <v>3.5</v>
      </c>
      <c r="T204" s="17">
        <f>IFERROR(__xludf.DUMMYFUNCTION("""COMPUTED_VALUE"""),0.0)</f>
        <v>0</v>
      </c>
      <c r="U204" s="14">
        <f>IFERROR(__xludf.DUMMYFUNCTION("""COMPUTED_VALUE"""),3.0)</f>
        <v>3</v>
      </c>
      <c r="V204" s="14">
        <v>2025.0</v>
      </c>
      <c r="W204" s="2" t="s">
        <v>1168</v>
      </c>
      <c r="X204" s="2" t="s">
        <v>1169</v>
      </c>
      <c r="Y204" s="13" t="s">
        <v>23</v>
      </c>
      <c r="Z204" s="14">
        <v>0.0</v>
      </c>
      <c r="AA204" s="14">
        <v>0.0</v>
      </c>
      <c r="AB204" s="14">
        <v>0.0</v>
      </c>
      <c r="AC204" s="14">
        <v>0.0</v>
      </c>
      <c r="AD204" s="2">
        <v>0.0</v>
      </c>
      <c r="AE204" s="2">
        <v>0.0</v>
      </c>
      <c r="AF204" s="2">
        <v>12.0</v>
      </c>
      <c r="AG204" s="2" t="s">
        <v>1205</v>
      </c>
      <c r="AH204" s="2">
        <v>0.0</v>
      </c>
    </row>
    <row r="205" ht="15.75" customHeight="1">
      <c r="A205" s="2" t="str">
        <f>IFERROR(__xludf.DUMMYFUNCTION("""COMPUTED_VALUE"""),"La Jornada")</f>
        <v>La Jornada</v>
      </c>
      <c r="B205" s="12" t="str">
        <f>IFERROR(__xludf.DUMMYFUNCTION("""COMPUTED_VALUE"""),"Metrobús concluye servicio temporal de la ruta Glorieta Cuitláhuac–Alameda Tacubaya")</f>
        <v>Metrobús concluye servicio temporal de la ruta Glorieta Cuitláhuac–Alameda Tacubaya</v>
      </c>
      <c r="C205" s="13" t="str">
        <f>IFERROR(__xludf.DUMMYFUNCTION("""COMPUTED_VALUE"""),"2025-12-29")</f>
        <v>2025-12-29</v>
      </c>
      <c r="D205" s="14">
        <f>IFERROR(__xludf.DUMMYFUNCTION("""COMPUTED_VALUE"""),1.0)</f>
        <v>1</v>
      </c>
      <c r="E205" s="15">
        <f>IFERROR(__xludf.DUMMYFUNCTION("""COMPUTED_VALUE"""),0.0)</f>
        <v>0</v>
      </c>
      <c r="F205" s="2" t="str">
        <f>IFERROR(__xludf.DUMMYFUNCTION("""COMPUTED_VALUE"""),"Neutral")</f>
        <v>Neutral</v>
      </c>
      <c r="G205" s="15">
        <f>IFERROR(__xludf.DUMMYFUNCTION("""COMPUTED_VALUE"""),0.5157)</f>
        <v>0.5157</v>
      </c>
      <c r="H205" s="2" t="str">
        <f>IFERROR(__xludf.DUMMYFUNCTION("""COMPUTED_VALUE"""),"Otros temas generales")</f>
        <v>Otros temas generales</v>
      </c>
      <c r="I205" s="2" t="str">
        <f>IFERROR(__xludf.DUMMYFUNCTION("""COMPUTED_VALUE"""),"N/A")</f>
        <v>N/A</v>
      </c>
      <c r="J205" s="2" t="str">
        <f>IFERROR(__xludf.DUMMYFUNCTION("""COMPUTED_VALUE"""),"Descartar / Baja prioridad.")</f>
        <v>Descartar / Baja prioridad.</v>
      </c>
      <c r="K205" s="2" t="str">
        <f>IFERROR(__xludf.DUMMYFUNCTION("""COMPUTED_VALUE"""),"Ciudad de México")</f>
        <v>Ciudad de México</v>
      </c>
      <c r="L205" s="2" t="str">
        <f>IFERROR(__xludf.DUMMYFUNCTION("""COMPUTED_VALUE"""),"Ciudad de México")</f>
        <v>Ciudad de México</v>
      </c>
      <c r="M205" s="16" t="str">
        <f>IFERROR(__xludf.DUMMYFUNCTION("""COMPUTED_VALUE"""),"https://www.jornada.com.mx/noticia/2025/12/29/capital/metrobus-concluye-servicio-temporal-de-la-ruta-glorieta-cuitlahuacalameda-tacubaya")</f>
        <v>https://www.jornada.com.mx/noticia/2025/12/29/capital/metrobus-concluye-servicio-temporal-de-la-ruta-glorieta-cuitlahuacalameda-tacubaya</v>
      </c>
      <c r="N205" s="2" t="str">
        <f>IFERROR(__xludf.DUMMYFUNCTION("""COMPUTED_VALUE"""),"Ciudad de México.A partir del lunes 5 de enero, el Metrobús concluirá el servicio de la ruta de apoyo Glorieta Cuitláhuac–Alameda Tacubaya, la cual operó desde noviembre de 2023 y fue ampliada en abril de 2024 como alternativa de movilidad durante la mode"&amp;"rnización de la Línea 1 del Sistema de Transporte Colectivo Metro.El organismo informó que con la apertura total de la Línea en noviembre pasado el servicio temporal cumplió su objetivo y por ello dejará de operar y precisó que las rutas que continuarán e"&amp;"n la Línea 7 son: Indios Verdes–Campo Marte, Hospital Infantil La Villa–Campo Marte, Indios Verdes–La Diana, Hospital Infantil La Villa–La Diana, Garibaldi–Campo Marte Los autobuses serán reasignados a las rutas Garibaldi–Campo Marte e Indios Verdes–La Di"&amp;"ana, por lo que seguirán circulando sobre Paseo de la Reforma. La dependencia recomendó a los usuarios verificar la pantalla frontal y lateral de las unidades antes de abordar.")</f>
        <v>Ciudad de México.A partir del lunes 5 de enero, el Metrobús concluirá el servicio de la ruta de apoyo Glorieta Cuitláhuac–Alameda Tacubaya, la cual operó desde noviembre de 2023 y fue ampliada en abril de 2024 como alternativa de movilidad durante la modernización de la Línea 1 del Sistema de Transporte Colectivo Metro.El organismo informó que con la apertura total de la Línea en noviembre pasado el servicio temporal cumplió su objetivo y por ello dejará de operar y precisó que las rutas que continuarán en la Línea 7 son: Indios Verdes–Campo Marte, Hospital Infantil La Villa–Campo Marte, Indios Verdes–La Diana, Hospital Infantil La Villa–La Diana, Garibaldi–Campo Marte Los autobuses serán reasignados a las rutas Garibaldi–Campo Marte e Indios Verdes–La Diana, por lo que seguirán circulando sobre Paseo de la Reforma. La dependencia recomendó a los usuarios verificar la pantalla frontal y lateral de las unidades antes de abordar.</v>
      </c>
      <c r="O205" s="15">
        <f>IFERROR(__xludf.DUMMYFUNCTION("""COMPUTED_VALUE"""),0.2278)</f>
        <v>0.2278</v>
      </c>
      <c r="P205" s="2"/>
      <c r="Q205" s="17">
        <f>IFERROR(__xludf.DUMMYFUNCTION("""COMPUTED_VALUE"""),5.0)</f>
        <v>5</v>
      </c>
      <c r="R205" s="2" t="str">
        <f>IFERROR(__xludf.DUMMYFUNCTION("""COMPUTED_VALUE"""),"High")</f>
        <v>High</v>
      </c>
      <c r="S205" s="17">
        <f>IFERROR(__xludf.DUMMYFUNCTION("""COMPUTED_VALUE"""),2.5)</f>
        <v>2.5</v>
      </c>
      <c r="T205" s="17">
        <f>IFERROR(__xludf.DUMMYFUNCTION("""COMPUTED_VALUE"""),0.0)</f>
        <v>0</v>
      </c>
      <c r="U205" s="14">
        <f>IFERROR(__xludf.DUMMYFUNCTION("""COMPUTED_VALUE"""),3.0)</f>
        <v>3</v>
      </c>
      <c r="V205" s="14">
        <v>2025.0</v>
      </c>
      <c r="W205" s="2" t="s">
        <v>1168</v>
      </c>
      <c r="X205" s="2" t="s">
        <v>1169</v>
      </c>
      <c r="Y205" s="13" t="s">
        <v>23</v>
      </c>
      <c r="Z205" s="14">
        <v>0.0</v>
      </c>
      <c r="AA205" s="14">
        <v>0.0</v>
      </c>
      <c r="AB205" s="14">
        <v>0.0</v>
      </c>
      <c r="AC205" s="14">
        <v>0.0</v>
      </c>
      <c r="AD205" s="2">
        <v>0.0</v>
      </c>
      <c r="AE205" s="2">
        <v>0.0</v>
      </c>
      <c r="AF205" s="2">
        <v>12.0</v>
      </c>
      <c r="AG205" s="2" t="s">
        <v>1175</v>
      </c>
      <c r="AH205" s="2">
        <v>0.0</v>
      </c>
    </row>
    <row r="206" ht="15.75" customHeight="1">
      <c r="A206" s="2" t="str">
        <f>IFERROR(__xludf.DUMMYFUNCTION("""COMPUTED_VALUE"""),"La Jornada")</f>
        <v>La Jornada</v>
      </c>
      <c r="B206" s="12" t="str">
        <f>IFERROR(__xludf.DUMMYFUNCTION("""COMPUTED_VALUE"""),"38 detenidos en tres días durante operativos de seguridad en la CDMX")</f>
        <v>38 detenidos en tres días durante operativos de seguridad en la CDMX</v>
      </c>
      <c r="C206" s="13" t="str">
        <f>IFERROR(__xludf.DUMMYFUNCTION("""COMPUTED_VALUE"""),"2025-12-29")</f>
        <v>2025-12-29</v>
      </c>
      <c r="D206" s="14">
        <f>IFERROR(__xludf.DUMMYFUNCTION("""COMPUTED_VALUE"""),4.0)</f>
        <v>4</v>
      </c>
      <c r="E206" s="15">
        <f>IFERROR(__xludf.DUMMYFUNCTION("""COMPUTED_VALUE"""),0.0)</f>
        <v>0</v>
      </c>
      <c r="F206" s="2" t="str">
        <f>IFERROR(__xludf.DUMMYFUNCTION("""COMPUTED_VALUE"""),"Neutral")</f>
        <v>Neutral</v>
      </c>
      <c r="G206" s="15">
        <f>IFERROR(__xludf.DUMMYFUNCTION("""COMPUTED_VALUE"""),0.5398)</f>
        <v>0.5398</v>
      </c>
      <c r="H206" s="2" t="str">
        <f>IFERROR(__xludf.DUMMYFUNCTION("""COMPUTED_VALUE"""),"Operativo policial o detención")</f>
        <v>Operativo policial o detención</v>
      </c>
      <c r="I206" s="2" t="str">
        <f>IFERROR(__xludf.DUMMYFUNCTION("""COMPUTED_VALUE"""),"N/A")</f>
        <v>N/A</v>
      </c>
      <c r="J206" s="2" t="str">
        <f>IFERROR(__xludf.DUMMYFUNCTION("""COMPUTED_VALUE"""),"Monitoreo general.")</f>
        <v>Monitoreo general.</v>
      </c>
      <c r="K206" s="2" t="str">
        <f>IFERROR(__xludf.DUMMYFUNCTION("""COMPUTED_VALUE"""),"Ciudad de México")</f>
        <v>Ciudad de México</v>
      </c>
      <c r="L206" s="2" t="str">
        <f>IFERROR(__xludf.DUMMYFUNCTION("""COMPUTED_VALUE"""),"Ciudad de México")</f>
        <v>Ciudad de México</v>
      </c>
      <c r="M206" s="16" t="str">
        <f>IFERROR(__xludf.DUMMYFUNCTION("""COMPUTED_VALUE"""),"https://www.jornada.com.mx/noticia/2025/12/29/capital/ssc-detiene-a-38-personas-en-tres-dias-durante-operativos-de-seguridad-en-la-cdmx")</f>
        <v>https://www.jornada.com.mx/noticia/2025/12/29/capital/ssc-detiene-a-38-personas-en-tres-dias-durante-operativos-de-seguridad-en-la-cdmx</v>
      </c>
      <c r="N206" s="2" t="str">
        <f>IFERROR(__xludf.DUMMYFUNCTION("""COMPUTED_VALUE"""),"Ciudad de México. En solo tres días, policías de la Secretaría de Seguridad Ciudadana (SSC) de la Ciudad de México, detuvieron a 38 personas por diversos ilícitos durante operativos integrales de prevención del delito desplegados en distintas zonas de la "&amp;"capital. Como parte del reforzamiento de la seguridad, del 26 al 28 de diciembre, la SSC movilizó diariamente a mil 384 policías, apoyados con 308 vehículos oficiales, quienes realizaron recorridos de vigilancia, instalaron puntos de control fijos y móvil"&amp;"es y efectuaron revisiones preventivas en las 16 alcaldías, en los que también participaron 20 elementos de la Secretaría de la Defensa Nacional, con ocho unidades.Durante el periodo referido se realizaron 2 mil 4 revisiones a motocicletas, principalmente"&amp;" en las alcaldías Cuauhtémoc, Iztapalapa, Azcapotzalco y Álvaro Obregón. Derivado de estas acciones, se aplicaron 269 infracciones por diversas faltas al Reglamento de Tránsito, en su mayoría por no portar casco de protección, y 266 motocicletas fueron en"&amp;"viadas a depósitos vehiculares.Además, 10 personas fueron detenidas por robo a transeúnte en diferentes demarcaciones, en Cuauhtémoc se aseguraron objetos punzocortantes y dinero; en Azcapotzalco fue detenida una persona que robó una bicicleta tras amenaz"&amp;"ar con un cúter y otra más por robo a negocio; en Álvaro Obregón se capturó a tres individuos con réplicas de armas de fuego; mientras que en Venustiano Carranza e Iztapalapa se realizaron detuvieron a tres personas. Asimismo, 22 personas fueron detenidas"&amp;" por delitos contra la salud, a quienes se les aseguraron diversas cantidades de mariguana, cocaína ycristal,en colonias de Iztapalapa, Tláhuac, Cuauhtémoc, Azcapotzalco, Benito Juárez y Álvaro Obregón. Entre los detenidos se encuentra un ciudadano de nac"&amp;"ionalidad extranjera. En otras acciones, policías recuperaron una motocicleta robada y aseguraron una réplica de arma de fuego en Iztapalapa, donde también fue detenida una persona que portaba un arma con cartuchos útiles y posible droga. Además, se refor"&amp;"zaron los dispositivos de seguridad en las inmediaciones del Aeropuerto Internacional de la Ciudad de México.La SSC informó que los detenidos y los objetos asegurados fueron puestos a disposición del Ministerio Público.")</f>
        <v>Ciudad de México. En solo tres días, policías de la Secretaría de Seguridad Ciudadana (SSC) de la Ciudad de México, detuvieron a 38 personas por diversos ilícitos durante operativos integrales de prevención del delito desplegados en distintas zonas de la capital. Como parte del reforzamiento de la seguridad, del 26 al 28 de diciembre, la SSC movilizó diariamente a mil 384 policías, apoyados con 308 vehículos oficiales, quienes realizaron recorridos de vigilancia, instalaron puntos de control fijos y móviles y efectuaron revisiones preventivas en las 16 alcaldías, en los que también participaron 20 elementos de la Secretaría de la Defensa Nacional, con ocho unidades.Durante el periodo referido se realizaron 2 mil 4 revisiones a motocicletas, principalmente en las alcaldías Cuauhtémoc, Iztapalapa, Azcapotzalco y Álvaro Obregón. Derivado de estas acciones, se aplicaron 269 infracciones por diversas faltas al Reglamento de Tránsito, en su mayoría por no portar casco de protección, y 266 motocicletas fueron enviadas a depósitos vehiculares.Además, 10 personas fueron detenidas por robo a transeúnte en diferentes demarcaciones, en Cuauhtémoc se aseguraron objetos punzocortantes y dinero; en Azcapotzalco fue detenida una persona que robó una bicicleta tras amenazar con un cúter y otra más por robo a negocio; en Álvaro Obregón se capturó a tres individuos con réplicas de armas de fuego; mientras que en Venustiano Carranza e Iztapalapa se realizaron detuvieron a tres personas. Asimismo, 22 personas fueron detenidas por delitos contra la salud, a quienes se les aseguraron diversas cantidades de mariguana, cocaína ycristal,en colonias de Iztapalapa, Tláhuac, Cuauhtémoc, Azcapotzalco, Benito Juárez y Álvaro Obregón. Entre los detenidos se encuentra un ciudadano de nacionalidad extranjera. En otras acciones, policías recuperaron una motocicleta robada y aseguraron una réplica de arma de fuego en Iztapalapa, donde también fue detenida una persona que portaba un arma con cartuchos útiles y posible droga. Además, se reforzaron los dispositivos de seguridad en las inmediaciones del Aeropuerto Internacional de la Ciudad de México.La SSC informó que los detenidos y los objetos asegurados fueron puestos a disposición del Ministerio Público.</v>
      </c>
      <c r="O206" s="15">
        <f>IFERROR(__xludf.DUMMYFUNCTION("""COMPUTED_VALUE"""),0.8451)</f>
        <v>0.8451</v>
      </c>
      <c r="P206" s="2"/>
      <c r="Q206" s="17">
        <f>IFERROR(__xludf.DUMMYFUNCTION("""COMPUTED_VALUE"""),8.0)</f>
        <v>8</v>
      </c>
      <c r="R206" s="2" t="str">
        <f>IFERROR(__xludf.DUMMYFUNCTION("""COMPUTED_VALUE"""),"High")</f>
        <v>High</v>
      </c>
      <c r="S206" s="17">
        <f>IFERROR(__xludf.DUMMYFUNCTION("""COMPUTED_VALUE"""),3.0)</f>
        <v>3</v>
      </c>
      <c r="T206" s="17">
        <f>IFERROR(__xludf.DUMMYFUNCTION("""COMPUTED_VALUE"""),0.0)</f>
        <v>0</v>
      </c>
      <c r="U206" s="14">
        <f>IFERROR(__xludf.DUMMYFUNCTION("""COMPUTED_VALUE"""),3.0)</f>
        <v>3</v>
      </c>
      <c r="V206" s="14">
        <v>2025.0</v>
      </c>
      <c r="W206" s="2" t="s">
        <v>1168</v>
      </c>
      <c r="X206" s="2" t="s">
        <v>1169</v>
      </c>
      <c r="Y206" s="13" t="s">
        <v>23</v>
      </c>
      <c r="Z206" s="14">
        <v>0.0</v>
      </c>
      <c r="AA206" s="14">
        <v>0.0</v>
      </c>
      <c r="AB206" s="14">
        <v>0.0</v>
      </c>
      <c r="AC206" s="14">
        <v>0.0</v>
      </c>
      <c r="AD206" s="2">
        <v>0.0</v>
      </c>
      <c r="AE206" s="2">
        <v>1.0</v>
      </c>
      <c r="AF206" s="2">
        <v>12.0</v>
      </c>
      <c r="AG206" s="2" t="s">
        <v>1175</v>
      </c>
      <c r="AH206" s="2">
        <v>0.0</v>
      </c>
    </row>
    <row r="207" ht="15.75" customHeight="1">
      <c r="A207" s="2" t="str">
        <f>IFERROR(__xludf.DUMMYFUNCTION("""COMPUTED_VALUE"""),"La Jornada")</f>
        <v>La Jornada</v>
      </c>
      <c r="B207" s="12" t="str">
        <f>IFERROR(__xludf.DUMMYFUNCTION("""COMPUTED_VALUE"""),"Socavones en vías primarias se incrementaron 300 por ciento en 2025: Segiagua")</f>
        <v>Socavones en vías primarias se incrementaron 300 por ciento en 2025: Segiagua</v>
      </c>
      <c r="C207" s="13" t="str">
        <f>IFERROR(__xludf.DUMMYFUNCTION("""COMPUTED_VALUE"""),"2025-12-29")</f>
        <v>2025-12-29</v>
      </c>
      <c r="D207" s="14">
        <f>IFERROR(__xludf.DUMMYFUNCTION("""COMPUTED_VALUE"""),1.0)</f>
        <v>1</v>
      </c>
      <c r="E207" s="15">
        <f>IFERROR(__xludf.DUMMYFUNCTION("""COMPUTED_VALUE"""),0.0)</f>
        <v>0</v>
      </c>
      <c r="F207" s="2" t="str">
        <f>IFERROR(__xludf.DUMMYFUNCTION("""COMPUTED_VALUE"""),"Neutral")</f>
        <v>Neutral</v>
      </c>
      <c r="G207" s="15">
        <f>IFERROR(__xludf.DUMMYFUNCTION("""COMPUTED_VALUE"""),0.51)</f>
        <v>0.51</v>
      </c>
      <c r="H207" s="2" t="str">
        <f>IFERROR(__xludf.DUMMYFUNCTION("""COMPUTED_VALUE"""),"Otros temas generales")</f>
        <v>Otros temas generales</v>
      </c>
      <c r="I207" s="2" t="str">
        <f>IFERROR(__xludf.DUMMYFUNCTION("""COMPUTED_VALUE"""),"N/A")</f>
        <v>N/A</v>
      </c>
      <c r="J207" s="2" t="str">
        <f>IFERROR(__xludf.DUMMYFUNCTION("""COMPUTED_VALUE"""),"Descartar / Baja prioridad.")</f>
        <v>Descartar / Baja prioridad.</v>
      </c>
      <c r="K207" s="2" t="str">
        <f>IFERROR(__xludf.DUMMYFUNCTION("""COMPUTED_VALUE"""),"Ciudad de México")</f>
        <v>Ciudad de México</v>
      </c>
      <c r="L207" s="2" t="str">
        <f>IFERROR(__xludf.DUMMYFUNCTION("""COMPUTED_VALUE"""),"Ciudad de México")</f>
        <v>Ciudad de México</v>
      </c>
      <c r="M207" s="16" t="str">
        <f>IFERROR(__xludf.DUMMYFUNCTION("""COMPUTED_VALUE"""),"https://www.jornada.com.mx/noticia/2025/12/29/capital/socavones-en-vias-primarias-se-incrementaron-300-por-ciento-en-2025-segiagua")</f>
        <v>https://www.jornada.com.mx/noticia/2025/12/29/capital/socavones-en-vias-primarias-se-incrementaron-300-por-ciento-en-2025-segiagua</v>
      </c>
      <c r="N207" s="2" t="str">
        <f>IFERROR(__xludf.DUMMYFUNCTION("""COMPUTED_VALUE"""),"Durante 2025 se registraron 132 socavones sólo en las vías primarias de la Ciudad de México, lo que representó un incremento de más de 300 por ciento en comparación con el año pasado, cuando se reportaron 39 oquedades, es decir, tres veces más. Informació"&amp;"n de la Secretaría de Gestión Integral del Agua (Segiagua) obtenida vía transparencia, detalla que tres alcaldías concentraron la mitad de los socavones: Gustavo A. Madero, con 35; Iztapalapa, con 19, e Iztacalco, con 12. A estas demarcaciones le siguen V"&amp;"enustiano Carranza y Azcapotzalco, con 11 en cada una; Álvaro Obregón, Coyoacán y Tláhuac, con cinco respectivamente, y Cuauhtémoc, con cuatro. En contraste, las que menor número de oquedades registraron son Milpa Alta y La Magdalena Contreras, con una ca"&amp;"da una; Tlalpan con dos y Miguel Hidalgo con tres. Aunque no hay un presupuesto destinado específicamente para la atención de socavones, a esta dependencia se le asignaron 110 millones de pesos para contingencias este año, de acuerdo con el programa opera"&amp;"tivo anual. En el informe que dio a conocer, aseguró que los 132 socavones fueron ya reparados. Hasta agosto pasado se habían reportado 37 socavones en vías primarias, lo que significa que prácticamente se cuadriplicaron en los cuatro meses anteriores. La"&amp;"s autoridades explicaron que la formación de estas oquedades obedecen a la saturación de los colectores de drenaje, así como al peso y la presión del agua que generan fisuras y provocan que se originen cavernas subterráneas bajo el asfalto, hasta que cola"&amp;"psa. A la formación de estos socavones se suman los de las vías secundarias, que son responsabilidad de las alcaldías atender, cuyo número en conjunto se desconoce, pero superan a los de las vías primarias. De enero a octubre, por ejemplo, en Iztapalapa s"&amp;"e originaron 232 oquedades de grandes dimensiones como los registrados en las colonias Renovación y Santa Martha Acatitla.")</f>
        <v>Durante 2025 se registraron 132 socavones sólo en las vías primarias de la Ciudad de México, lo que representó un incremento de más de 300 por ciento en comparación con el año pasado, cuando se reportaron 39 oquedades, es decir, tres veces más. Información de la Secretaría de Gestión Integral del Agua (Segiagua) obtenida vía transparencia, detalla que tres alcaldías concentraron la mitad de los socavones: Gustavo A. Madero, con 35; Iztapalapa, con 19, e Iztacalco, con 12. A estas demarcaciones le siguen Venustiano Carranza y Azcapotzalco, con 11 en cada una; Álvaro Obregón, Coyoacán y Tláhuac, con cinco respectivamente, y Cuauhtémoc, con cuatro. En contraste, las que menor número de oquedades registraron son Milpa Alta y La Magdalena Contreras, con una cada una; Tlalpan con dos y Miguel Hidalgo con tres. Aunque no hay un presupuesto destinado específicamente para la atención de socavones, a esta dependencia se le asignaron 110 millones de pesos para contingencias este año, de acuerdo con el programa operativo anual. En el informe que dio a conocer, aseguró que los 132 socavones fueron ya reparados. Hasta agosto pasado se habían reportado 37 socavones en vías primarias, lo que significa que prácticamente se cuadriplicaron en los cuatro meses anteriores. Las autoridades explicaron que la formación de estas oquedades obedecen a la saturación de los colectores de drenaje, así como al peso y la presión del agua que generan fisuras y provocan que se originen cavernas subterráneas bajo el asfalto, hasta que colapsa. A la formación de estos socavones se suman los de las vías secundarias, que son responsabilidad de las alcaldías atender, cuyo número en conjunto se desconoce, pero superan a los de las vías primarias. De enero a octubre, por ejemplo, en Iztapalapa se originaron 232 oquedades de grandes dimensiones como los registrados en las colonias Renovación y Santa Martha Acatitla.</v>
      </c>
      <c r="O207" s="15">
        <f>IFERROR(__xludf.DUMMYFUNCTION("""COMPUTED_VALUE"""),0.2286)</f>
        <v>0.2286</v>
      </c>
      <c r="P207" s="2"/>
      <c r="Q207" s="17">
        <f>IFERROR(__xludf.DUMMYFUNCTION("""COMPUTED_VALUE"""),5.0)</f>
        <v>5</v>
      </c>
      <c r="R207" s="2" t="str">
        <f>IFERROR(__xludf.DUMMYFUNCTION("""COMPUTED_VALUE"""),"Low")</f>
        <v>Low</v>
      </c>
      <c r="S207" s="17">
        <f>IFERROR(__xludf.DUMMYFUNCTION("""COMPUTED_VALUE"""),0.0)</f>
        <v>0</v>
      </c>
      <c r="T207" s="17">
        <f>IFERROR(__xludf.DUMMYFUNCTION("""COMPUTED_VALUE"""),0.0)</f>
        <v>0</v>
      </c>
      <c r="U207" s="14">
        <f>IFERROR(__xludf.DUMMYFUNCTION("""COMPUTED_VALUE"""),3.0)</f>
        <v>3</v>
      </c>
      <c r="V207" s="14">
        <v>2025.0</v>
      </c>
      <c r="W207" s="2" t="s">
        <v>1168</v>
      </c>
      <c r="X207" s="2" t="s">
        <v>1169</v>
      </c>
      <c r="Y207" s="13" t="s">
        <v>23</v>
      </c>
      <c r="Z207" s="14">
        <v>0.0</v>
      </c>
      <c r="AA207" s="14">
        <v>0.0</v>
      </c>
      <c r="AB207" s="14">
        <v>0.0</v>
      </c>
      <c r="AC207" s="14">
        <v>0.0</v>
      </c>
      <c r="AD207" s="2">
        <v>0.0</v>
      </c>
      <c r="AE207" s="2">
        <v>0.0</v>
      </c>
      <c r="AF207" s="2">
        <v>12.0</v>
      </c>
      <c r="AG207" s="2" t="s">
        <v>1175</v>
      </c>
      <c r="AH207" s="2">
        <v>0.0</v>
      </c>
    </row>
    <row r="208" ht="15.75" customHeight="1">
      <c r="A208" s="2" t="str">
        <f>IFERROR(__xludf.DUMMYFUNCTION("""COMPUTED_VALUE"""),"La Jornada")</f>
        <v>La Jornada</v>
      </c>
      <c r="B208" s="12" t="str">
        <f>IFERROR(__xludf.DUMMYFUNCTION("""COMPUTED_VALUE"""),"Menester, una reforma profunda de la Contraloría para mejorar su operación")</f>
        <v>Menester, una reforma profunda de la Contraloría para mejorar su operación</v>
      </c>
      <c r="C208" s="13" t="str">
        <f>IFERROR(__xludf.DUMMYFUNCTION("""COMPUTED_VALUE"""),"2025-12-29")</f>
        <v>2025-12-29</v>
      </c>
      <c r="D208" s="14">
        <f>IFERROR(__xludf.DUMMYFUNCTION("""COMPUTED_VALUE"""),1.0)</f>
        <v>1</v>
      </c>
      <c r="E208" s="15">
        <f>IFERROR(__xludf.DUMMYFUNCTION("""COMPUTED_VALUE"""),-0.5323)</f>
        <v>-0.5323</v>
      </c>
      <c r="F208" s="2" t="str">
        <f>IFERROR(__xludf.DUMMYFUNCTION("""COMPUTED_VALUE"""),"Negativo")</f>
        <v>Negativo</v>
      </c>
      <c r="G208" s="15">
        <f>IFERROR(__xludf.DUMMYFUNCTION("""COMPUTED_VALUE"""),0.5323)</f>
        <v>0.5323</v>
      </c>
      <c r="H208" s="2" t="str">
        <f>IFERROR(__xludf.DUMMYFUNCTION("""COMPUTED_VALUE"""),"Otros temas generales")</f>
        <v>Otros temas generales</v>
      </c>
      <c r="I208" s="2" t="str">
        <f>IFERROR(__xludf.DUMMYFUNCTION("""COMPUTED_VALUE"""),"N/A")</f>
        <v>N/A</v>
      </c>
      <c r="J208" s="2" t="str">
        <f>IFERROR(__xludf.DUMMYFUNCTION("""COMPUTED_VALUE"""),"Descartar / Baja prioridad.")</f>
        <v>Descartar / Baja prioridad.</v>
      </c>
      <c r="K208" s="2" t="str">
        <f>IFERROR(__xludf.DUMMYFUNCTION("""COMPUTED_VALUE"""),"Ciudad de México")</f>
        <v>Ciudad de México</v>
      </c>
      <c r="L208" s="2" t="str">
        <f>IFERROR(__xludf.DUMMYFUNCTION("""COMPUTED_VALUE"""),"Ciudad de México")</f>
        <v>Ciudad de México</v>
      </c>
      <c r="M208" s="16" t="str">
        <f>IFERROR(__xludf.DUMMYFUNCTION("""COMPUTED_VALUE"""),"https://www.jornada.com.mx/noticia/2025/12/29/capital/menester-una-reforma-profunda-de-la-contraloria-para-mejorar-su-operacion")</f>
        <v>https://www.jornada.com.mx/noticia/2025/12/29/capital/menester-una-reforma-profunda-de-la-contraloria-para-mejorar-su-operacion</v>
      </c>
      <c r="N208" s="2" t="str">
        <f>IFERROR(__xludf.DUMMYFUNCTION("""COMPUTED_VALUE"""),"La titular de la Secretaría de la Contraloría General del Gobierno de la Ciudad de México, Nashieli Ramírez Hernández, aseguró que la dependencia requiere de una profunda reforma legislativa que mejore su operación, pues una simple queja por pedir mordida"&amp;" para un trámite tarda en resolverse hasta 10 años si ésta llega a tribunales. Ramírez recibe a este diario en su oficina ubicada en el piso 16 de la secretaría, ubicada en avenida Arcos de Belén número 2, colonia Doctores, alcaldía Cuauhtémoc, desde dond"&amp;"e observa la ciudad y afirma que “hemos convertido a la Contraloría en un elefante blanco, pero en esencia no es un elefante”. Reconoce que en la resolución de casos por el Tribunal de Justicia Administrativa “no le va muy bien a la Contraloría, casi no g"&amp;"anamos ni uno”; además, la dependencia es lejana a la ciudadanía, pues la gente no conoce sus funciones ni a qué se dedica. Uno de los problemas es que una vez que se presenta una queja por corrupción y se inicia una investigación, no se informa a la pers"&amp;"ona afectada sobre la resolución, pues la ley considera que el Estado es el agravado, “acaba siendo opaco, pero no es que se quiera ser opaco, es simple interpretación de la ley”, aseguró la funcionaria, al comentar que las denuncias vía aplicación digita"&amp;"l pasaron de 300 en un año a mil 500. Por ello se requiere modificar unas 20 leyes locales –entre ellas la de Responsabilidad Administrativa, de la Administración Pública, de la Contraloría y de la Auditoría Superior, para disminuir a tres meses la resolu"&amp;"ción de quejas y denuncias. “Vamos a entrar con un bloque fuerte de reformas, lo estamos trabajando para que sea en paquete, pero no nos vamos a esperar a eso, queremos una interpretación menos formalista de la ley y con un enfoque de derechos humanos, má"&amp;"s de pro persona, más en la lógica de llegar a la gente”. Nashieli Ramírez, quien fue titular de la Comisión de Derechos Humanos local, afirmó que su visión de la Contraloría es la de fomentar el derecho de la ciudadanía a la buena administración, así com"&amp;"o fortalecer la labor interna preventiva para que las contralorías “dejen de ser una piedra en el zapato, que sean un acompañamiento para que las cosas se hagan bien y transparentes y de buen gobierno. Para ejercitar este derecho, es necesario atacar las "&amp;"desviaciones de corrupción o de mordidas, (…). Queremos hacer resoluciones técnicas, mi terreno no es la disputa política”. En el combate a la corrupción, dijo que se analizan las encuestas de seguridad ciudadana sobre extorsiones por servidores públicos,"&amp;" así como en la percepción. Este último indicador debería disminuir en cuanto se implemente en nuevo plan de trabajo, aseguró. A casi tres meses de haber sido nombrada contralora por el Congreso de la Ciudad de México, consideró que debe ser reactivado el"&amp;" Sistema Anticorrupción para tener más comunicación y coordinación entre todos los entes, por lo que propuso reformar la ley, pues en la actualidad el sistema está plasmado de una estructura que requiere recursos de varias dependencias. “Tal y como está p"&amp;"uesto ahorita tenemos que repensar el sistema para hacerlo más operativo, tenemos que tener mejor coordinación y pensar que la Contraloría tiene un papel, y no es pensar que por sí sola va a tener la fuerza o la lógica de atacar un fenómeno así”. Sobre el"&amp;" nuevo instituto de transparencia, órgano descentralizado de la Contraloría, consideró que debe ser colegiado sin que fomente egos políticos, porque había “disputa entre los propios comisionados por quién lucía más. Eso se tiene que evitar; el juego del p"&amp;"oder cuando no es un poder, es una responsabilidad”, comentó Ramírez, quien dijo que en los próximos meses habrá procesos de discusión con académicos y expertos en derecho a la información y rendición de cuentas para crear el nuevo instituto.")</f>
        <v>La titular de la Secretaría de la Contraloría General del Gobierno de la Ciudad de México, Nashieli Ramírez Hernández, aseguró que la dependencia requiere de una profunda reforma legislativa que mejore su operación, pues una simple queja por pedir mordida para un trámite tarda en resolverse hasta 10 años si ésta llega a tribunales. Ramírez recibe a este diario en su oficina ubicada en el piso 16 de la secretaría, ubicada en avenida Arcos de Belén número 2, colonia Doctores, alcaldía Cuauhtémoc, desde donde observa la ciudad y afirma que “hemos convertido a la Contraloría en un elefante blanco, pero en esencia no es un elefante”. Reconoce que en la resolución de casos por el Tribunal de Justicia Administrativa “no le va muy bien a la Contraloría, casi no ganamos ni uno”; además, la dependencia es lejana a la ciudadanía, pues la gente no conoce sus funciones ni a qué se dedica. Uno de los problemas es que una vez que se presenta una queja por corrupción y se inicia una investigación, no se informa a la persona afectada sobre la resolución, pues la ley considera que el Estado es el agravado, “acaba siendo opaco, pero no es que se quiera ser opaco, es simple interpretación de la ley”, aseguró la funcionaria, al comentar que las denuncias vía aplicación digital pasaron de 300 en un año a mil 500. Por ello se requiere modificar unas 20 leyes locales –entre ellas la de Responsabilidad Administrativa, de la Administración Pública, de la Contraloría y de la Auditoría Superior, para disminuir a tres meses la resolución de quejas y denuncias. “Vamos a entrar con un bloque fuerte de reformas, lo estamos trabajando para que sea en paquete, pero no nos vamos a esperar a eso, queremos una interpretación menos formalista de la ley y con un enfoque de derechos humanos, más de pro persona, más en la lógica de llegar a la gente”. Nashieli Ramírez, quien fue titular de la Comisión de Derechos Humanos local, afirmó que su visión de la Contraloría es la de fomentar el derecho de la ciudadanía a la buena administración, así como fortalecer la labor interna preventiva para que las contralorías “dejen de ser una piedra en el zapato, que sean un acompañamiento para que las cosas se hagan bien y transparentes y de buen gobierno. Para ejercitar este derecho, es necesario atacar las desviaciones de corrupción o de mordidas, (…). Queremos hacer resoluciones técnicas, mi terreno no es la disputa política”. En el combate a la corrupción, dijo que se analizan las encuestas de seguridad ciudadana sobre extorsiones por servidores públicos, así como en la percepción. Este último indicador debería disminuir en cuanto se implemente en nuevo plan de trabajo, aseguró. A casi tres meses de haber sido nombrada contralora por el Congreso de la Ciudad de México, consideró que debe ser reactivado el Sistema Anticorrupción para tener más comunicación y coordinación entre todos los entes, por lo que propuso reformar la ley, pues en la actualidad el sistema está plasmado de una estructura que requiere recursos de varias dependencias. “Tal y como está puesto ahorita tenemos que repensar el sistema para hacerlo más operativo, tenemos que tener mejor coordinación y pensar que la Contraloría tiene un papel, y no es pensar que por sí sola va a tener la fuerza o la lógica de atacar un fenómeno así”. Sobre el nuevo instituto de transparencia, órgano descentralizado de la Contraloría, consideró que debe ser colegiado sin que fomente egos políticos, porque había “disputa entre los propios comisionados por quién lucía más. Eso se tiene que evitar; el juego del poder cuando no es un poder, es una responsabilidad”, comentó Ramírez, quien dijo que en los próximos meses habrá procesos de discusión con académicos y expertos en derecho a la información y rendición de cuentas para crear el nuevo instituto.</v>
      </c>
      <c r="O208" s="15">
        <f>IFERROR(__xludf.DUMMYFUNCTION("""COMPUTED_VALUE"""),0.5015)</f>
        <v>0.5015</v>
      </c>
      <c r="P208" s="2"/>
      <c r="Q208" s="17">
        <f>IFERROR(__xludf.DUMMYFUNCTION("""COMPUTED_VALUE"""),5.0)</f>
        <v>5</v>
      </c>
      <c r="R208" s="2" t="str">
        <f>IFERROR(__xludf.DUMMYFUNCTION("""COMPUTED_VALUE"""),"Low")</f>
        <v>Low</v>
      </c>
      <c r="S208" s="17">
        <f>IFERROR(__xludf.DUMMYFUNCTION("""COMPUTED_VALUE"""),0.0)</f>
        <v>0</v>
      </c>
      <c r="T208" s="17">
        <f>IFERROR(__xludf.DUMMYFUNCTION("""COMPUTED_VALUE"""),0.0)</f>
        <v>0</v>
      </c>
      <c r="U208" s="14">
        <f>IFERROR(__xludf.DUMMYFUNCTION("""COMPUTED_VALUE"""),3.0)</f>
        <v>3</v>
      </c>
      <c r="V208" s="14">
        <v>2025.0</v>
      </c>
      <c r="W208" s="2" t="s">
        <v>1168</v>
      </c>
      <c r="X208" s="2" t="s">
        <v>1169</v>
      </c>
      <c r="Y208" s="13" t="s">
        <v>23</v>
      </c>
      <c r="Z208" s="14">
        <v>0.0</v>
      </c>
      <c r="AA208" s="14">
        <v>0.0</v>
      </c>
      <c r="AB208" s="14">
        <v>0.0</v>
      </c>
      <c r="AC208" s="14">
        <v>0.0</v>
      </c>
      <c r="AD208" s="2">
        <v>0.0</v>
      </c>
      <c r="AE208" s="2">
        <v>0.0</v>
      </c>
      <c r="AF208" s="2">
        <v>12.0</v>
      </c>
      <c r="AG208" s="2" t="s">
        <v>1175</v>
      </c>
      <c r="AH208" s="2">
        <v>0.0</v>
      </c>
    </row>
    <row r="209" ht="15.75" customHeight="1">
      <c r="A209" s="2" t="str">
        <f>IFERROR(__xludf.DUMMYFUNCTION("""COMPUTED_VALUE"""),"La Jornada")</f>
        <v>La Jornada</v>
      </c>
      <c r="B209" s="12" t="str">
        <f>IFERROR(__xludf.DUMMYFUNCTION("""COMPUTED_VALUE"""),"Asesinan a policía de la SSC durante atención a robo en Álvaro Obregón")</f>
        <v>Asesinan a policía de la SSC durante atención a robo en Álvaro Obregón</v>
      </c>
      <c r="C209" s="13" t="str">
        <f>IFERROR(__xludf.DUMMYFUNCTION("""COMPUTED_VALUE"""),"2025-12-28")</f>
        <v>2025-12-28</v>
      </c>
      <c r="D209" s="14">
        <f>IFERROR(__xludf.DUMMYFUNCTION("""COMPUTED_VALUE"""),4.0)</f>
        <v>4</v>
      </c>
      <c r="E209" s="15">
        <f>IFERROR(__xludf.DUMMYFUNCTION("""COMPUTED_VALUE"""),-0.7568)</f>
        <v>-0.7568</v>
      </c>
      <c r="F209" s="2" t="str">
        <f>IFERROR(__xludf.DUMMYFUNCTION("""COMPUTED_VALUE"""),"Negativo")</f>
        <v>Negativo</v>
      </c>
      <c r="G209" s="15">
        <f>IFERROR(__xludf.DUMMYFUNCTION("""COMPUTED_VALUE"""),0.7568)</f>
        <v>0.7568</v>
      </c>
      <c r="H209" s="2" t="str">
        <f>IFERROR(__xludf.DUMMYFUNCTION("""COMPUTED_VALUE"""),"Operativo policial o detención")</f>
        <v>Operativo policial o detención</v>
      </c>
      <c r="I209" s="2" t="str">
        <f>IFERROR(__xludf.DUMMYFUNCTION("""COMPUTED_VALUE"""),"N/A")</f>
        <v>N/A</v>
      </c>
      <c r="J209" s="2" t="str">
        <f>IFERROR(__xludf.DUMMYFUNCTION("""COMPUTED_VALUE"""),"Monitoreo general.")</f>
        <v>Monitoreo general.</v>
      </c>
      <c r="K209" s="2" t="str">
        <f>IFERROR(__xludf.DUMMYFUNCTION("""COMPUTED_VALUE"""),"Álvaro Obregón")</f>
        <v>Álvaro Obregón</v>
      </c>
      <c r="L209" s="2" t="str">
        <f>IFERROR(__xludf.DUMMYFUNCTION("""COMPUTED_VALUE"""),"Ciudad de México")</f>
        <v>Ciudad de México</v>
      </c>
      <c r="M209" s="16" t="str">
        <f>IFERROR(__xludf.DUMMYFUNCTION("""COMPUTED_VALUE"""),"https://www.jornada.com.mx/noticia/2025/12/28/capital/asesinan-a-policia-de-la-ssc-durante-atencion-a-robo-en-alvaro-obregon")</f>
        <v>https://www.jornada.com.mx/noticia/2025/12/28/capital/asesinan-a-policia-de-la-ssc-durante-atencion-a-robo-en-alvaro-obregon</v>
      </c>
      <c r="N209" s="2" t="str">
        <f>IFERROR(__xludf.DUMMYFUNCTION("""COMPUTED_VALUE"""),"Ciudad de México.El policía segundo Román Martínez Estrada, de la Secretaría de Seguridad Ciudadana, murió esta noche tras recibir varios disparos mientras atendía un reporte de robo a casa habitación en la colonia Jardines del Pedregal, alcaldía Álvaro O"&amp;"bregón. Así lo confirmó hace unos minutos el jefe de la policía capitalina, Pablo Vázquez, quien aseguró que “no habrá impunidad para quienes cometieron este cobarde ataque” y expresó su solidaridad y condolencias a los familiares. Según informó la depend"&amp;"encia, el hecho ocurrió cuando dos uniformados observaron que varios sujetos salían de la vivienda y comenzaron a correr al notar la presencia policial. Uno de ellos disparó contra un oficial, quien repelió la agresión, lesionando a uno de los implicados."&amp;" Los responsables huyeron en una camioneta azul, pero al perder el control tras ser averiada por impactos de arma de fuego, la abandonaron y continuaron la fuga en un vehículo robado y por un cerco de monitoreo fueron ubicados en Periférico y Mazaryk, en "&amp;"la colonia Polanco, demarcación Miguel Hidalgo, donde abandonaron el auto junto a una caja fuerte para huir hacia la plaza Antara, por lo que se generó una fuerte movilización policiaca, donde fue detenido uno de los responsables.")</f>
        <v>Ciudad de México.El policía segundo Román Martínez Estrada, de la Secretaría de Seguridad Ciudadana, murió esta noche tras recibir varios disparos mientras atendía un reporte de robo a casa habitación en la colonia Jardines del Pedregal, alcaldía Álvaro Obregón. Así lo confirmó hace unos minutos el jefe de la policía capitalina, Pablo Vázquez, quien aseguró que “no habrá impunidad para quienes cometieron este cobarde ataque” y expresó su solidaridad y condolencias a los familiares. Según informó la dependencia, el hecho ocurrió cuando dos uniformados observaron que varios sujetos salían de la vivienda y comenzaron a correr al notar la presencia policial. Uno de ellos disparó contra un oficial, quien repelió la agresión, lesionando a uno de los implicados. Los responsables huyeron en una camioneta azul, pero al perder el control tras ser averiada por impactos de arma de fuego, la abandonaron y continuaron la fuga en un vehículo robado y por un cerco de monitoreo fueron ubicados en Periférico y Mazaryk, en la colonia Polanco, demarcación Miguel Hidalgo, donde abandonaron el auto junto a una caja fuerte para huir hacia la plaza Antara, por lo que se generó una fuerte movilización policiaca, donde fue detenido uno de los responsables.</v>
      </c>
      <c r="O209" s="15">
        <f>IFERROR(__xludf.DUMMYFUNCTION("""COMPUTED_VALUE"""),0.7718)</f>
        <v>0.7718</v>
      </c>
      <c r="P209" s="2"/>
      <c r="Q209" s="17">
        <f>IFERROR(__xludf.DUMMYFUNCTION("""COMPUTED_VALUE"""),8.0)</f>
        <v>8</v>
      </c>
      <c r="R209" s="2" t="str">
        <f>IFERROR(__xludf.DUMMYFUNCTION("""COMPUTED_VALUE"""),"High")</f>
        <v>High</v>
      </c>
      <c r="S209" s="17">
        <f>IFERROR(__xludf.DUMMYFUNCTION("""COMPUTED_VALUE"""),3.0)</f>
        <v>3</v>
      </c>
      <c r="T209" s="17">
        <f>IFERROR(__xludf.DUMMYFUNCTION("""COMPUTED_VALUE"""),0.0)</f>
        <v>0</v>
      </c>
      <c r="U209" s="14">
        <f>IFERROR(__xludf.DUMMYFUNCTION("""COMPUTED_VALUE"""),3.0)</f>
        <v>3</v>
      </c>
      <c r="V209" s="14">
        <v>2025.0</v>
      </c>
      <c r="W209" s="2" t="s">
        <v>1168</v>
      </c>
      <c r="X209" s="2" t="s">
        <v>1188</v>
      </c>
      <c r="Y209" s="13" t="s">
        <v>171</v>
      </c>
      <c r="Z209" s="14">
        <v>0.0</v>
      </c>
      <c r="AA209" s="14">
        <v>0.0</v>
      </c>
      <c r="AB209" s="14">
        <v>0.0</v>
      </c>
      <c r="AC209" s="14">
        <v>0.0</v>
      </c>
      <c r="AD209" s="2">
        <v>0.0</v>
      </c>
      <c r="AE209" s="2">
        <v>1.0</v>
      </c>
      <c r="AF209" s="2">
        <v>12.0</v>
      </c>
      <c r="AG209" s="2" t="s">
        <v>1220</v>
      </c>
      <c r="AH209" s="2">
        <v>0.0</v>
      </c>
    </row>
    <row r="210" ht="15.75" customHeight="1">
      <c r="A210" s="2" t="str">
        <f>IFERROR(__xludf.DUMMYFUNCTION("""COMPUTED_VALUE"""),"La Jornada")</f>
        <v>La Jornada</v>
      </c>
      <c r="B210" s="12" t="str">
        <f>IFERROR(__xludf.DUMMYFUNCTION("""COMPUTED_VALUE"""),"Policía de la SSC es herido al frustrar robo a domicilio en Jardines del Pedregal")</f>
        <v>Policía de la SSC es herido al frustrar robo a domicilio en Jardines del Pedregal</v>
      </c>
      <c r="C210" s="13" t="str">
        <f>IFERROR(__xludf.DUMMYFUNCTION("""COMPUTED_VALUE"""),"2025-12-28")</f>
        <v>2025-12-28</v>
      </c>
      <c r="D210" s="14">
        <f>IFERROR(__xludf.DUMMYFUNCTION("""COMPUTED_VALUE"""),4.0)</f>
        <v>4</v>
      </c>
      <c r="E210" s="15">
        <f>IFERROR(__xludf.DUMMYFUNCTION("""COMPUTED_VALUE"""),-0.5804)</f>
        <v>-0.5804</v>
      </c>
      <c r="F210" s="2" t="str">
        <f>IFERROR(__xludf.DUMMYFUNCTION("""COMPUTED_VALUE"""),"Negativo")</f>
        <v>Negativo</v>
      </c>
      <c r="G210" s="15">
        <f>IFERROR(__xludf.DUMMYFUNCTION("""COMPUTED_VALUE"""),0.5804)</f>
        <v>0.5804</v>
      </c>
      <c r="H210" s="2" t="str">
        <f>IFERROR(__xludf.DUMMYFUNCTION("""COMPUTED_VALUE"""),"Operativo policial o detención")</f>
        <v>Operativo policial o detención</v>
      </c>
      <c r="I210" s="2" t="str">
        <f>IFERROR(__xludf.DUMMYFUNCTION("""COMPUTED_VALUE"""),"N/A")</f>
        <v>N/A</v>
      </c>
      <c r="J210" s="2" t="str">
        <f>IFERROR(__xludf.DUMMYFUNCTION("""COMPUTED_VALUE"""),"Monitoreo general.")</f>
        <v>Monitoreo general.</v>
      </c>
      <c r="K210" s="2" t="str">
        <f>IFERROR(__xludf.DUMMYFUNCTION("""COMPUTED_VALUE"""),"Ciudad de México")</f>
        <v>Ciudad de México</v>
      </c>
      <c r="L210" s="2" t="str">
        <f>IFERROR(__xludf.DUMMYFUNCTION("""COMPUTED_VALUE"""),"Ciudad de México")</f>
        <v>Ciudad de México</v>
      </c>
      <c r="M210" s="16" t="str">
        <f>IFERROR(__xludf.DUMMYFUNCTION("""COMPUTED_VALUE"""),"https://www.jornada.com.mx/noticia/2025/12/28/capital/policia-de-la-ssc-es-herido-en-intento-de-robo-de-vehiculo-en-jardines-del-pedregal")</f>
        <v>https://www.jornada.com.mx/noticia/2025/12/28/capital/policia-de-la-ssc-es-herido-en-intento-de-robo-de-vehiculo-en-jardines-del-pedregal</v>
      </c>
      <c r="N210" s="2" t="str">
        <f>IFERROR(__xludf.DUMMYFUNCTION("""COMPUTED_VALUE"""),"Ciudad de México.Un policía de la Secretaría de Seguridad Ciudadana resultó lesionado por disparo de arma de fuego mientras intentaba detener el robo en un domicilio en la calle Lluvia en la colonia Jardines del Pedregal, lo que provocó una fuerte moviliz"&amp;"ación policiaca para dar con los responsables. El incidente ocurrió cuando dos uniformados observaron que de la vivienda en la citada colonia salían varios sujetos que comenzaron a correr al notar su presencia, uno de ellos realizó disparos en contra de u"&amp;"n oficial, quien repelió la agresión, lesionando a uno de los implicados. Los presuntos culpables abandonaron una camioneta azul en la que se impactaron tras resultar averiada por los disparos, dejando la puerta abierta y las llaves puestas. Continuaron s"&amp;"u fuga en un vehículo que robaron, el cual fue hallado con una caja fuerte en inmediaciones de la alcaldía Miguel Hidalgo. Por ello, se les dio seguimiento en un cerco virtual. El elemento lesionado fue trasladado por sus propios medios en una patrulla al"&amp;" Hospital San Ángel Inn, quien tuvo una herida en la pierna. Personal del Escuadrón de Rescate y Urgencias Médicas y la unidad Cóndor apoyaron en el traslado y la atención médica.")</f>
        <v>Ciudad de México.Un policía de la Secretaría de Seguridad Ciudadana resultó lesionado por disparo de arma de fuego mientras intentaba detener el robo en un domicilio en la calle Lluvia en la colonia Jardines del Pedregal, lo que provocó una fuerte movilización policiaca para dar con los responsables. El incidente ocurrió cuando dos uniformados observaron que de la vivienda en la citada colonia salían varios sujetos que comenzaron a correr al notar su presencia, uno de ellos realizó disparos en contra de un oficial, quien repelió la agresión, lesionando a uno de los implicados. Los presuntos culpables abandonaron una camioneta azul en la que se impactaron tras resultar averiada por los disparos, dejando la puerta abierta y las llaves puestas. Continuaron su fuga en un vehículo que robaron, el cual fue hallado con una caja fuerte en inmediaciones de la alcaldía Miguel Hidalgo. Por ello, se les dio seguimiento en un cerco virtual. El elemento lesionado fue trasladado por sus propios medios en una patrulla al Hospital San Ángel Inn, quien tuvo una herida en la pierna. Personal del Escuadrón de Rescate y Urgencias Médicas y la unidad Cóndor apoyaron en el traslado y la atención médica.</v>
      </c>
      <c r="O210" s="15">
        <f>IFERROR(__xludf.DUMMYFUNCTION("""COMPUTED_VALUE"""),0.6388)</f>
        <v>0.6388</v>
      </c>
      <c r="P210" s="2"/>
      <c r="Q210" s="17">
        <f>IFERROR(__xludf.DUMMYFUNCTION("""COMPUTED_VALUE"""),5.0)</f>
        <v>5</v>
      </c>
      <c r="R210" s="2" t="str">
        <f>IFERROR(__xludf.DUMMYFUNCTION("""COMPUTED_VALUE"""),"Medium")</f>
        <v>Medium</v>
      </c>
      <c r="S210" s="17">
        <f>IFERROR(__xludf.DUMMYFUNCTION("""COMPUTED_VALUE"""),1.0)</f>
        <v>1</v>
      </c>
      <c r="T210" s="17">
        <f>IFERROR(__xludf.DUMMYFUNCTION("""COMPUTED_VALUE"""),0.0)</f>
        <v>0</v>
      </c>
      <c r="U210" s="14">
        <f>IFERROR(__xludf.DUMMYFUNCTION("""COMPUTED_VALUE"""),3.0)</f>
        <v>3</v>
      </c>
      <c r="V210" s="14">
        <v>2025.0</v>
      </c>
      <c r="W210" s="2" t="s">
        <v>1168</v>
      </c>
      <c r="X210" s="2" t="s">
        <v>1188</v>
      </c>
      <c r="Y210" s="13" t="s">
        <v>171</v>
      </c>
      <c r="Z210" s="14">
        <v>0.0</v>
      </c>
      <c r="AA210" s="14">
        <v>0.0</v>
      </c>
      <c r="AB210" s="14">
        <v>0.0</v>
      </c>
      <c r="AC210" s="14">
        <v>0.0</v>
      </c>
      <c r="AD210" s="2">
        <v>0.0</v>
      </c>
      <c r="AE210" s="2">
        <v>1.0</v>
      </c>
      <c r="AF210" s="2">
        <v>12.0</v>
      </c>
      <c r="AG210" s="2" t="s">
        <v>1175</v>
      </c>
      <c r="AH210" s="2">
        <v>0.0</v>
      </c>
    </row>
    <row r="211" ht="15.75" customHeight="1">
      <c r="A211" s="2" t="str">
        <f>IFERROR(__xludf.DUMMYFUNCTION("""COMPUTED_VALUE"""),"La Jornada")</f>
        <v>La Jornada</v>
      </c>
      <c r="B211" s="12" t="str">
        <f>IFERROR(__xludf.DUMMYFUNCTION("""COMPUTED_VALUE"""),"Patrulla de la SSC atropella a motociclista en la GAM")</f>
        <v>Patrulla de la SSC atropella a motociclista en la GAM</v>
      </c>
      <c r="C211" s="13" t="str">
        <f>IFERROR(__xludf.DUMMYFUNCTION("""COMPUTED_VALUE"""),"2025-12-28")</f>
        <v>2025-12-28</v>
      </c>
      <c r="D211" s="14">
        <f>IFERROR(__xludf.DUMMYFUNCTION("""COMPUTED_VALUE"""),2.0)</f>
        <v>2</v>
      </c>
      <c r="E211" s="15">
        <f>IFERROR(__xludf.DUMMYFUNCTION("""COMPUTED_VALUE"""),-0.7051)</f>
        <v>-0.7051</v>
      </c>
      <c r="F211" s="2" t="str">
        <f>IFERROR(__xludf.DUMMYFUNCTION("""COMPUTED_VALUE"""),"Negativo")</f>
        <v>Negativo</v>
      </c>
      <c r="G211" s="15">
        <f>IFERROR(__xludf.DUMMYFUNCTION("""COMPUTED_VALUE"""),0.7051)</f>
        <v>0.7051</v>
      </c>
      <c r="H211" s="2" t="str">
        <f>IFERROR(__xludf.DUMMYFUNCTION("""COMPUTED_VALUE"""),"Accidente de tránsito o choque vial")</f>
        <v>Accidente de tránsito o choque vial</v>
      </c>
      <c r="I211" s="2" t="str">
        <f>IFERROR(__xludf.DUMMYFUNCTION("""COMPUTED_VALUE"""),"atropellado")</f>
        <v>atropellado</v>
      </c>
      <c r="J211" s="2" t="str">
        <f>IFERROR(__xludf.DUMMYFUNCTION("""COMPUTED_VALUE"""),"Soporte DRV: Seguros/Guía post-siniestro.")</f>
        <v>Soporte DRV: Seguros/Guía post-siniestro.</v>
      </c>
      <c r="K211" s="2" t="str">
        <f>IFERROR(__xludf.DUMMYFUNCTION("""COMPUTED_VALUE"""),"Gustavo A. Madero")</f>
        <v>Gustavo A. Madero</v>
      </c>
      <c r="L211" s="2" t="str">
        <f>IFERROR(__xludf.DUMMYFUNCTION("""COMPUTED_VALUE"""),"Ciudad de México")</f>
        <v>Ciudad de México</v>
      </c>
      <c r="M211" s="16" t="str">
        <f>IFERROR(__xludf.DUMMYFUNCTION("""COMPUTED_VALUE"""),"https://www.jornada.com.mx/noticia/2025/12/28/capital/patrulla-de-la-ssc-atropella-a-motociclista-en-la-gam")</f>
        <v>https://www.jornada.com.mx/noticia/2025/12/28/capital/patrulla-de-la-ssc-atropella-a-motociclista-en-la-gam</v>
      </c>
      <c r="N211" s="2" t="str">
        <f>IFERROR(__xludf.DUMMYFUNCTION("""COMPUTED_VALUE"""),"Ciudad de México. El conductor de una motocicleta resultó lesionado luego de ser atropellado por una patrulla de la Secretaría de Seguridad Ciudadana de la Ciudad de México  en la Colonia Gabriel Hernández, demarcación Gustavo A. Madero.El incidente ocurr"&amp;"ió en el cruce de las calles Cabo Verde y Cabo Finisterri, cuando el elemento policiaco que conducía  la unidad embistió  al hombre, quien quedó en la parte frontal de la patrulla con el casco puesto debido a la fuerza del golpe y sus pertenencias se disp"&amp;"ersaron sobre el asfalto.Al lugar arribaron servicios de emergencia para brindar atención médica y trasladar al lesionado a un hospital cercano.Las autoridades iniciaron las investigaciones correspondientes para determinar las causas del accidente y desli"&amp;"ndar responsabilidades.")</f>
        <v>Ciudad de México. El conductor de una motocicleta resultó lesionado luego de ser atropellado por una patrulla de la Secretaría de Seguridad Ciudadana de la Ciudad de México  en la Colonia Gabriel Hernández, demarcación Gustavo A. Madero.El incidente ocurrió en el cruce de las calles Cabo Verde y Cabo Finisterri, cuando el elemento policiaco que conducía  la unidad embistió  al hombre, quien quedó en la parte frontal de la patrulla con el casco puesto debido a la fuerza del golpe y sus pertenencias se dispersaron sobre el asfalto.Al lugar arribaron servicios de emergencia para brindar atención médica y trasladar al lesionado a un hospital cercano.Las autoridades iniciaron las investigaciones correspondientes para determinar las causas del accidente y deslindar responsabilidades.</v>
      </c>
      <c r="O211" s="15">
        <f>IFERROR(__xludf.DUMMYFUNCTION("""COMPUTED_VALUE"""),1.0)</f>
        <v>1</v>
      </c>
      <c r="P211" s="2"/>
      <c r="Q211" s="17">
        <f>IFERROR(__xludf.DUMMYFUNCTION("""COMPUTED_VALUE"""),8.0)</f>
        <v>8</v>
      </c>
      <c r="R211" s="2" t="str">
        <f>IFERROR(__xludf.DUMMYFUNCTION("""COMPUTED_VALUE"""),"High")</f>
        <v>High</v>
      </c>
      <c r="S211" s="17">
        <f>IFERROR(__xludf.DUMMYFUNCTION("""COMPUTED_VALUE"""),3.0)</f>
        <v>3</v>
      </c>
      <c r="T211" s="17">
        <f>IFERROR(__xludf.DUMMYFUNCTION("""COMPUTED_VALUE"""),0.0)</f>
        <v>0</v>
      </c>
      <c r="U211" s="14">
        <f>IFERROR(__xludf.DUMMYFUNCTION("""COMPUTED_VALUE"""),3.0)</f>
        <v>3</v>
      </c>
      <c r="V211" s="14">
        <v>2025.0</v>
      </c>
      <c r="W211" s="2" t="s">
        <v>1168</v>
      </c>
      <c r="X211" s="2" t="s">
        <v>1188</v>
      </c>
      <c r="Y211" s="13" t="s">
        <v>171</v>
      </c>
      <c r="Z211" s="14">
        <v>0.0</v>
      </c>
      <c r="AA211" s="14">
        <v>0.0</v>
      </c>
      <c r="AB211" s="14">
        <v>0.0</v>
      </c>
      <c r="AC211" s="14">
        <v>0.0</v>
      </c>
      <c r="AD211" s="2">
        <v>0.0</v>
      </c>
      <c r="AE211" s="2">
        <v>0.0</v>
      </c>
      <c r="AF211" s="2">
        <v>12.0</v>
      </c>
      <c r="AG211" s="2" t="s">
        <v>1221</v>
      </c>
      <c r="AH211" s="2">
        <v>0.0</v>
      </c>
    </row>
    <row r="212" ht="15.75" customHeight="1">
      <c r="A212" s="2" t="str">
        <f>IFERROR(__xludf.DUMMYFUNCTION("""COMPUTED_VALUE"""),"La Jornada")</f>
        <v>La Jornada</v>
      </c>
      <c r="B212" s="12" t="str">
        <f>IFERROR(__xludf.DUMMYFUNCTION("""COMPUTED_VALUE"""),"En 2025, 246 personas remitidas al Juzgado Cívico por tirar basura en la Cuauhtémoc")</f>
        <v>En 2025, 246 personas remitidas al Juzgado Cívico por tirar basura en la Cuauhtémoc</v>
      </c>
      <c r="C212" s="13" t="str">
        <f>IFERROR(__xludf.DUMMYFUNCTION("""COMPUTED_VALUE"""),"2025-12-28")</f>
        <v>2025-12-28</v>
      </c>
      <c r="D212" s="14">
        <f>IFERROR(__xludf.DUMMYFUNCTION("""COMPUTED_VALUE"""),2.0)</f>
        <v>2</v>
      </c>
      <c r="E212" s="15">
        <f>IFERROR(__xludf.DUMMYFUNCTION("""COMPUTED_VALUE"""),0.0)</f>
        <v>0</v>
      </c>
      <c r="F212" s="2" t="str">
        <f>IFERROR(__xludf.DUMMYFUNCTION("""COMPUTED_VALUE"""),"Neutral")</f>
        <v>Neutral</v>
      </c>
      <c r="G212" s="15">
        <f>IFERROR(__xludf.DUMMYFUNCTION("""COMPUTED_VALUE"""),0.5035)</f>
        <v>0.5035</v>
      </c>
      <c r="H212" s="2" t="str">
        <f>IFERROR(__xludf.DUMMYFUNCTION("""COMPUTED_VALUE"""),"Operativo policial o detención")</f>
        <v>Operativo policial o detención</v>
      </c>
      <c r="I212" s="2" t="str">
        <f>IFERROR(__xludf.DUMMYFUNCTION("""COMPUTED_VALUE"""),"N/A")</f>
        <v>N/A</v>
      </c>
      <c r="J212" s="2" t="str">
        <f>IFERROR(__xludf.DUMMYFUNCTION("""COMPUTED_VALUE"""),"Monitoreo general.")</f>
        <v>Monitoreo general.</v>
      </c>
      <c r="K212" s="2" t="str">
        <f>IFERROR(__xludf.DUMMYFUNCTION("""COMPUTED_VALUE"""),"Cuauhtémoc")</f>
        <v>Cuauhtémoc</v>
      </c>
      <c r="L212" s="2" t="str">
        <f>IFERROR(__xludf.DUMMYFUNCTION("""COMPUTED_VALUE"""),"Ciudad de México")</f>
        <v>Ciudad de México</v>
      </c>
      <c r="M212" s="16" t="str">
        <f>IFERROR(__xludf.DUMMYFUNCTION("""COMPUTED_VALUE"""),"https://www.jornada.com.mx/noticia/2025/12/28/capital/en-2025-246-personas-remitidas-al-juzgado-civico-por-tirar-basura-en-la-cuauhtemoc")</f>
        <v>https://www.jornada.com.mx/noticia/2025/12/28/capital/en-2025-246-personas-remitidas-al-juzgado-civico-por-tirar-basura-en-la-cuauhtemoc</v>
      </c>
      <c r="N212" s="2" t="str">
        <f>IFERROR(__xludf.DUMMYFUNCTION("""COMPUTED_VALUE"""),"Ciudad de México.Durante 2025, un total de 246 personas fueron detenidas y remitidas al Juzgado Cívico en la Alcaldía Cuauhtémoc por tirar basura en la vía pública, de acuerdo con información oficial de la demarcación. Los hechos ocurrieron entre el 1 de "&amp;"enero y el 26 de diciembre de este año.Las detenciones fueron realizadas por elementos de la Policía Auxiliar, adscritos al sector 64 Orión, con presencia en las 33 colonias de la alcaldía, como parte de operativos de vigilancia en puntos identificados co"&amp;"mo tiraderos clandestinos. Las acciones se enmarcan en la estrategia denominada Blindar Cuauhtémoc.En paralelo, la Dirección General de Servicios Urbanos reportó la identificación de 205 puntos de disposición ilegal de residuos en la demarcación, de los c"&amp;"uales más de 100 han sido intervenidos o erradicados durante el año, según datos oficiales.De acuerdo con la Ley de Cultura Cívica de la Ciudad de México, tirar residuos en la calle constituye una infracción contra el entorno urbano; el artículo 29 de dic"&amp;"ha normativa establece sanciones que pueden ir desde trabajo comunitario y multas, hasta arrestos, según la gravedad y reincidencia de la falta.Para 2026, la alcaldía prevé la incorporación de dos nuevos camiones recolectores de basura, con el objetivo de"&amp;" ampliar la cobertura y frecuencia del servicio de limpia en la demarcación.Las autoridades locales señalaron que el manejo de residuos en el espacio público es una responsabilidad compartida entre gobierno y ciudadanía, y que las sanciones buscan disuadi"&amp;"r prácticas que afectan el entorno urbano.")</f>
        <v>Ciudad de México.Durante 2025, un total de 246 personas fueron detenidas y remitidas al Juzgado Cívico en la Alcaldía Cuauhtémoc por tirar basura en la vía pública, de acuerdo con información oficial de la demarcación. Los hechos ocurrieron entre el 1 de enero y el 26 de diciembre de este año.Las detenciones fueron realizadas por elementos de la Policía Auxiliar, adscritos al sector 64 Orión, con presencia en las 33 colonias de la alcaldía, como parte de operativos de vigilancia en puntos identificados como tiraderos clandestinos. Las acciones se enmarcan en la estrategia denominada Blindar Cuauhtémoc.En paralelo, la Dirección General de Servicios Urbanos reportó la identificación de 205 puntos de disposición ilegal de residuos en la demarcación, de los cuales más de 100 han sido intervenidos o erradicados durante el año, según datos oficiales.De acuerdo con la Ley de Cultura Cívica de la Ciudad de México, tirar residuos en la calle constituye una infracción contra el entorno urbano; el artículo 29 de dicha normativa establece sanciones que pueden ir desde trabajo comunitario y multas, hasta arrestos, según la gravedad y reincidencia de la falta.Para 2026, la alcaldía prevé la incorporación de dos nuevos camiones recolectores de basura, con el objetivo de ampliar la cobertura y frecuencia del servicio de limpia en la demarcación.Las autoridades locales señalaron que el manejo de residuos en el espacio público es una responsabilidad compartida entre gobierno y ciudadanía, y que las sanciones buscan disuadir prácticas que afectan el entorno urbano.</v>
      </c>
      <c r="O212" s="15">
        <f>IFERROR(__xludf.DUMMYFUNCTION("""COMPUTED_VALUE"""),0.8944)</f>
        <v>0.8944</v>
      </c>
      <c r="P212" s="2"/>
      <c r="Q212" s="17">
        <f>IFERROR(__xludf.DUMMYFUNCTION("""COMPUTED_VALUE"""),8.5)</f>
        <v>8.5</v>
      </c>
      <c r="R212" s="2" t="str">
        <f>IFERROR(__xludf.DUMMYFUNCTION("""COMPUTED_VALUE"""),"High")</f>
        <v>High</v>
      </c>
      <c r="S212" s="17">
        <f>IFERROR(__xludf.DUMMYFUNCTION("""COMPUTED_VALUE"""),3.5)</f>
        <v>3.5</v>
      </c>
      <c r="T212" s="17">
        <f>IFERROR(__xludf.DUMMYFUNCTION("""COMPUTED_VALUE"""),0.0)</f>
        <v>0</v>
      </c>
      <c r="U212" s="14">
        <f>IFERROR(__xludf.DUMMYFUNCTION("""COMPUTED_VALUE"""),3.0)</f>
        <v>3</v>
      </c>
      <c r="V212" s="14">
        <v>2025.0</v>
      </c>
      <c r="W212" s="2" t="s">
        <v>1168</v>
      </c>
      <c r="X212" s="2" t="s">
        <v>1188</v>
      </c>
      <c r="Y212" s="13" t="s">
        <v>171</v>
      </c>
      <c r="Z212" s="14">
        <v>0.0</v>
      </c>
      <c r="AA212" s="14">
        <v>0.0</v>
      </c>
      <c r="AB212" s="14">
        <v>0.0</v>
      </c>
      <c r="AC212" s="14">
        <v>0.0</v>
      </c>
      <c r="AD212" s="2">
        <v>0.0</v>
      </c>
      <c r="AE212" s="2">
        <v>0.0</v>
      </c>
      <c r="AF212" s="2">
        <v>12.0</v>
      </c>
      <c r="AG212" s="2" t="s">
        <v>1205</v>
      </c>
      <c r="AH212" s="2">
        <v>0.0</v>
      </c>
    </row>
    <row r="213" ht="15.75" customHeight="1">
      <c r="A213" s="2" t="str">
        <f>IFERROR(__xludf.DUMMYFUNCTION("""COMPUTED_VALUE"""),"La Jornada")</f>
        <v>La Jornada</v>
      </c>
      <c r="B213" s="12" t="str">
        <f>IFERROR(__xludf.DUMMYFUNCTION("""COMPUTED_VALUE"""),"Detienen a 8 personas, una de ellas menor, vinculadas a grupo delictivo de la zona oriente")</f>
        <v>Detienen a 8 personas, una de ellas menor, vinculadas a grupo delictivo de la zona oriente</v>
      </c>
      <c r="C213" s="13" t="str">
        <f>IFERROR(__xludf.DUMMYFUNCTION("""COMPUTED_VALUE"""),"2025-12-28")</f>
        <v>2025-12-28</v>
      </c>
      <c r="D213" s="14">
        <f>IFERROR(__xludf.DUMMYFUNCTION("""COMPUTED_VALUE"""),4.0)</f>
        <v>4</v>
      </c>
      <c r="E213" s="15">
        <f>IFERROR(__xludf.DUMMYFUNCTION("""COMPUTED_VALUE"""),0.0)</f>
        <v>0</v>
      </c>
      <c r="F213" s="2" t="str">
        <f>IFERROR(__xludf.DUMMYFUNCTION("""COMPUTED_VALUE"""),"Neutral")</f>
        <v>Neutral</v>
      </c>
      <c r="G213" s="15">
        <f>IFERROR(__xludf.DUMMYFUNCTION("""COMPUTED_VALUE"""),0.5011)</f>
        <v>0.5011</v>
      </c>
      <c r="H213" s="2" t="str">
        <f>IFERROR(__xludf.DUMMYFUNCTION("""COMPUTED_VALUE"""),"Operativo policial o detención")</f>
        <v>Operativo policial o detención</v>
      </c>
      <c r="I213" s="2" t="str">
        <f>IFERROR(__xludf.DUMMYFUNCTION("""COMPUTED_VALUE"""),"N/A")</f>
        <v>N/A</v>
      </c>
      <c r="J213" s="2" t="str">
        <f>IFERROR(__xludf.DUMMYFUNCTION("""COMPUTED_VALUE"""),"Monitoreo general.")</f>
        <v>Monitoreo general.</v>
      </c>
      <c r="K213" s="2" t="str">
        <f>IFERROR(__xludf.DUMMYFUNCTION("""COMPUTED_VALUE"""),"Ciudad de México")</f>
        <v>Ciudad de México</v>
      </c>
      <c r="L213" s="2" t="str">
        <f>IFERROR(__xludf.DUMMYFUNCTION("""COMPUTED_VALUE"""),"Ciudad de México")</f>
        <v>Ciudad de México</v>
      </c>
      <c r="M213" s="16" t="str">
        <f>IFERROR(__xludf.DUMMYFUNCTION("""COMPUTED_VALUE"""),"https://www.jornada.com.mx/noticia/2025/12/28/capital/detienen-a-8-personas-una-de-ellas-menor-vinculadas-a-grupo-delictivo-de-la-zona-oriente")</f>
        <v>https://www.jornada.com.mx/noticia/2025/12/28/capital/detienen-a-8-personas-una-de-ellas-menor-vinculadas-a-grupo-delictivo-de-la-zona-oriente</v>
      </c>
      <c r="N213" s="2" t="str">
        <f>IFERROR(__xludf.DUMMYFUNCTION("""COMPUTED_VALUE"""),"Ciudad de México.Ocho personas, entre ellas una mujer y un menor de edad, fueron detenidas por elementos de la Secretaría de Seguridad Ciudadana, presuntamente vinculadas con distintos hechos delictivos, durante un operativo de reforzamiento de seguridad "&amp;"desplegado en la zona oriente de la capital, en las demarcaciones  Iztapalapa y Tláhuac. Como parte del despliegue, los uniformados revisaron a mil 420 personas, así como 340 motocicletas y 140 vehículos; además, 22 unidades fueron remitidas a depósitos v"&amp;"ehiculares y se levantaron 25 infracciones. Las detenciones se realizaron en distintos hechos, presuntamente relacionados con delitos como robo, portación de droga y agresiones.El primer hecho ocurrió en la colonia Consejo Agrarista Mexicano, donde policí"&amp;"as atendieron el reporte de un robo de motocicleta en las calles Arroyo Frío y Palma. De acuerdo con el denunciante, dos sujetos que viajaban en una motocicleta negra lo amagaron con lo que parecía ser un arma de fuego para despojarlo de su unidad. Los pr"&amp;"esuntos responsables fueron alcanzados metros adelante y, tras ser identificados, quedaron detenidos un joven de 21 años y un menor de 16, a quienes se les aseguró una réplica de arma de fuego y se recuperó la motocicleta.En otro punto, en la colonia Sant"&amp;"a Ana Poniente, alcaldía Tláhuac, fue detenido un joven de 19 años que intentó evadir a los policías; durante una revisión preventiva se le aseguraron 24 bolsas con aparente marihuana, 38 dosis de posible crystal y una báscula gramera. Asimismo, en la col"&amp;"onia Selene, un hombre de 22 años fue detenido tras ser señalado como probable responsable de agredir a varias personas y portar 40 bolsas con probable marihuana.En la alcaldía Iztapalapa, dos hombres de 25 años fueron detenidos en la colonia Santa Martha"&amp;" Acatitla en posesión de 74 dosis de posible marihuana; durante esta acción también fue asegurada una mujer de 32 años, quien presuntamente intentó impedir la labor policial y forcejeó con los uniformados. En un hecho distinto, en la colonia Juan Escutia,"&amp;" un joven de 21 años fue detenido tras ser señalado por despojar de dinero en efectivo a una persona, a la que habría amagado con un cuchillo.La SSC informó que a todas las personas detenidas se les realizaron revisiones preventivas conforme a los protoco"&amp;"los, se les leyeron sus derechos constitucionales y fueron puestas a disposición del Ministerio Público, junto con lo asegurado, para definir su situación jurídica. Además, se indicó que uno de los detenidos cuenta con dos presentaciones previas ante el J"&amp;"uez Cívico, por faltas administrativas registradas en 2021 y 2025.El operativo se extendió a diversas colonias de Iztapalapa, entre ellas Derechos Democráticos, El Molino Tezonco, Chinampac de Juárez y Ejército de Oriente, así como a Zapotitlán Centro y N"&amp;"opalera, en la alcaldía Tláhuac, como parte de las acciones permanentes para el fortalecimiento de la seguridad en la zona oriente de la capital.")</f>
        <v>Ciudad de México.Ocho personas, entre ellas una mujer y un menor de edad, fueron detenidas por elementos de la Secretaría de Seguridad Ciudadana, presuntamente vinculadas con distintos hechos delictivos, durante un operativo de reforzamiento de seguridad desplegado en la zona oriente de la capital, en las demarcaciones  Iztapalapa y Tláhuac. Como parte del despliegue, los uniformados revisaron a mil 420 personas, así como 340 motocicletas y 140 vehículos; además, 22 unidades fueron remitidas a depósitos vehiculares y se levantaron 25 infracciones. Las detenciones se realizaron en distintos hechos, presuntamente relacionados con delitos como robo, portación de droga y agresiones.El primer hecho ocurrió en la colonia Consejo Agrarista Mexicano, donde policías atendieron el reporte de un robo de motocicleta en las calles Arroyo Frío y Palma. De acuerdo con el denunciante, dos sujetos que viajaban en una motocicleta negra lo amagaron con lo que parecía ser un arma de fuego para despojarlo de su unidad. Los presuntos responsables fueron alcanzados metros adelante y, tras ser identificados, quedaron detenidos un joven de 21 años y un menor de 16, a quienes se les aseguró una réplica de arma de fuego y se recuperó la motocicleta.En otro punto, en la colonia Santa Ana Poniente, alcaldía Tláhuac, fue detenido un joven de 19 años que intentó evadir a los policías; durante una revisión preventiva se le aseguraron 24 bolsas con aparente marihuana, 38 dosis de posible crystal y una báscula gramera. Asimismo, en la colonia Selene, un hombre de 22 años fue detenido tras ser señalado como probable responsable de agredir a varias personas y portar 40 bolsas con probable marihuana.En la alcaldía Iztapalapa, dos hombres de 25 años fueron detenidos en la colonia Santa Martha Acatitla en posesión de 74 dosis de posible marihuana; durante esta acción también fue asegurada una mujer de 32 años, quien presuntamente intentó impedir la labor policial y forcejeó con los uniformados. En un hecho distinto, en la colonia Juan Escutia, un joven de 21 años fue detenido tras ser señalado por despojar de dinero en efectivo a una persona, a la que habría amagado con un cuchillo.La SSC informó que a todas las personas detenidas se les realizaron revisiones preventivas conforme a los protocolos, se les leyeron sus derechos constitucionales y fueron puestas a disposición del Ministerio Público, junto con lo asegurado, para definir su situación jurídica. Además, se indicó que uno de los detenidos cuenta con dos presentaciones previas ante el Juez Cívico, por faltas administrativas registradas en 2021 y 2025.El operativo se extendió a diversas colonias de Iztapalapa, entre ellas Derechos Democráticos, El Molino Tezonco, Chinampac de Juárez y Ejército de Oriente, así como a Zapotitlán Centro y Nopalera, en la alcaldía Tláhuac, como parte de las acciones permanentes para el fortalecimiento de la seguridad en la zona oriente de la capital.</v>
      </c>
      <c r="O213" s="15">
        <f>IFERROR(__xludf.DUMMYFUNCTION("""COMPUTED_VALUE"""),0.8745)</f>
        <v>0.8745</v>
      </c>
      <c r="P213" s="2"/>
      <c r="Q213" s="17">
        <f>IFERROR(__xludf.DUMMYFUNCTION("""COMPUTED_VALUE"""),5.0)</f>
        <v>5</v>
      </c>
      <c r="R213" s="2" t="str">
        <f>IFERROR(__xludf.DUMMYFUNCTION("""COMPUTED_VALUE"""),"Low")</f>
        <v>Low</v>
      </c>
      <c r="S213" s="17">
        <f>IFERROR(__xludf.DUMMYFUNCTION("""COMPUTED_VALUE"""),0.0)</f>
        <v>0</v>
      </c>
      <c r="T213" s="17">
        <f>IFERROR(__xludf.DUMMYFUNCTION("""COMPUTED_VALUE"""),0.0)</f>
        <v>0</v>
      </c>
      <c r="U213" s="14">
        <f>IFERROR(__xludf.DUMMYFUNCTION("""COMPUTED_VALUE"""),3.0)</f>
        <v>3</v>
      </c>
      <c r="V213" s="14">
        <v>2025.0</v>
      </c>
      <c r="W213" s="2" t="s">
        <v>1168</v>
      </c>
      <c r="X213" s="2" t="s">
        <v>1188</v>
      </c>
      <c r="Y213" s="13" t="s">
        <v>171</v>
      </c>
      <c r="Z213" s="14">
        <v>0.0</v>
      </c>
      <c r="AA213" s="14">
        <v>0.0</v>
      </c>
      <c r="AB213" s="14">
        <v>0.0</v>
      </c>
      <c r="AC213" s="14">
        <v>0.0</v>
      </c>
      <c r="AD213" s="2">
        <v>0.0</v>
      </c>
      <c r="AE213" s="2">
        <v>1.0</v>
      </c>
      <c r="AF213" s="2">
        <v>12.0</v>
      </c>
      <c r="AG213" s="2" t="s">
        <v>1175</v>
      </c>
      <c r="AH213" s="2">
        <v>0.0</v>
      </c>
    </row>
    <row r="214" ht="15.75" customHeight="1">
      <c r="A214" s="2" t="str">
        <f>IFERROR(__xludf.DUMMYFUNCTION("""COMPUTED_VALUE"""),"La Jornada")</f>
        <v>La Jornada</v>
      </c>
      <c r="B214" s="12" t="str">
        <f>IFERROR(__xludf.DUMMYFUNCTION("""COMPUTED_VALUE"""),"Cae José 'N' por desaparición de mujer policía en la Álvaro Obregón ")</f>
        <v>Cae José 'N' por desaparición de mujer policía en la Álvaro Obregón </v>
      </c>
      <c r="C214" s="13" t="str">
        <f>IFERROR(__xludf.DUMMYFUNCTION("""COMPUTED_VALUE"""),"2025-12-28")</f>
        <v>2025-12-28</v>
      </c>
      <c r="D214" s="14">
        <f>IFERROR(__xludf.DUMMYFUNCTION("""COMPUTED_VALUE"""),2.0)</f>
        <v>2</v>
      </c>
      <c r="E214" s="15">
        <f>IFERROR(__xludf.DUMMYFUNCTION("""COMPUTED_VALUE"""),-0.5339)</f>
        <v>-0.5339</v>
      </c>
      <c r="F214" s="2" t="str">
        <f>IFERROR(__xludf.DUMMYFUNCTION("""COMPUTED_VALUE"""),"Negativo")</f>
        <v>Negativo</v>
      </c>
      <c r="G214" s="15">
        <f>IFERROR(__xludf.DUMMYFUNCTION("""COMPUTED_VALUE"""),0.5339)</f>
        <v>0.5339</v>
      </c>
      <c r="H214" s="2" t="str">
        <f>IFERROR(__xludf.DUMMYFUNCTION("""COMPUTED_VALUE"""),"Operativo policial o detención")</f>
        <v>Operativo policial o detención</v>
      </c>
      <c r="I214" s="2" t="str">
        <f>IFERROR(__xludf.DUMMYFUNCTION("""COMPUTED_VALUE"""),"N/A")</f>
        <v>N/A</v>
      </c>
      <c r="J214" s="2" t="str">
        <f>IFERROR(__xludf.DUMMYFUNCTION("""COMPUTED_VALUE"""),"Monitoreo general.")</f>
        <v>Monitoreo general.</v>
      </c>
      <c r="K214" s="2" t="str">
        <f>IFERROR(__xludf.DUMMYFUNCTION("""COMPUTED_VALUE"""),"Álvaro Obregón")</f>
        <v>Álvaro Obregón</v>
      </c>
      <c r="L214" s="2" t="str">
        <f>IFERROR(__xludf.DUMMYFUNCTION("""COMPUTED_VALUE"""),"Ciudad de México")</f>
        <v>Ciudad de México</v>
      </c>
      <c r="M214" s="16" t="str">
        <f>IFERROR(__xludf.DUMMYFUNCTION("""COMPUTED_VALUE"""),"https://www.jornada.com.mx/noticia/2025/12/28/capital/cae-jose-n-por-desaparicion-de-mujer-policia-en-la-alvaro-obregon")</f>
        <v>https://www.jornada.com.mx/noticia/2025/12/28/capital/cae-jose-n-por-desaparicion-de-mujer-policia-en-la-alvaro-obregon</v>
      </c>
      <c r="N214" s="2" t="str">
        <f>IFERROR(__xludf.DUMMYFUNCTION("""COMPUTED_VALUE"""),"Ciudad de México.Agentes de la Policía de Investigación de la Fiscalía General de Justicia de la Ciudad de México aprehendieron a José “N”, por su probable participación en el delito de desaparición agravada en perjuicio de una mujer policía adscrita a la"&amp;" Secretaría de Seguridad Ciudadana, quien fue reportada como desaparecida el 23 de diciembre. De acuerdo con la indagatoria a cargo de la Fiscalía de Investigación de los Delitos de Desaparición, la víctima fue vista por última vez el 15 de diciembre, cua"&amp;"ndo salió de su centro de trabajo ubicado en la alcaldía Álvaro Obregón. Las labores de inteligencia y el análisis de cámaras de videovigilancia permitieron establecer que ese día la mujer ingresó a su domicilio, localizado en la colonia Santa Rosa Xochia"&amp;"c en la misma demarcación, donde residía con su expareja sentimental, sin que exista registro posterior de su salida del inmueble.Con datos de prueba recabados, el Ministerio Público obtuvo de un juez de control una orden de aprehensión contra José “N”, a"&amp;"sí como una orden de cateo para el domicilio que compartía con la víctima. Ambos mandatos judiciales fueron cumplimentados el 27 de diciembre por personal ministerial.Durante el cateo, las autoridades localizaron una persona sin vida, además de dos teléfo"&amp;"nos celulares y una mochila, objetos que quedaron asegurados para su análisis. Ante ello, se realizan los estudios correspondientes para identificar el cuerpo y esclarecer los hechos.El imputado fue trasladado al Reclusorio Preventivo Varonil Norte, donde"&amp;" quedó a disposición de la autoridad judicial que determinará su situación jurídica.")</f>
        <v>Ciudad de México.Agentes de la Policía de Investigación de la Fiscalía General de Justicia de la Ciudad de México aprehendieron a José “N”, por su probable participación en el delito de desaparición agravada en perjuicio de una mujer policía adscrita a la Secretaría de Seguridad Ciudadana, quien fue reportada como desaparecida el 23 de diciembre. De acuerdo con la indagatoria a cargo de la Fiscalía de Investigación de los Delitos de Desaparición, la víctima fue vista por última vez el 15 de diciembre, cuando salió de su centro de trabajo ubicado en la alcaldía Álvaro Obregón. Las labores de inteligencia y el análisis de cámaras de videovigilancia permitieron establecer que ese día la mujer ingresó a su domicilio, localizado en la colonia Santa Rosa Xochiac en la misma demarcación, donde residía con su expareja sentimental, sin que exista registro posterior de su salida del inmueble.Con datos de prueba recabados, el Ministerio Público obtuvo de un juez de control una orden de aprehensión contra José “N”, así como una orden de cateo para el domicilio que compartía con la víctima. Ambos mandatos judiciales fueron cumplimentados el 27 de diciembre por personal ministerial.Durante el cateo, las autoridades localizaron una persona sin vida, además de dos teléfonos celulares y una mochila, objetos que quedaron asegurados para su análisis. Ante ello, se realizan los estudios correspondientes para identificar el cuerpo y esclarecer los hechos.El imputado fue trasladado al Reclusorio Preventivo Varonil Norte, donde quedó a disposición de la autoridad judicial que determinará su situación jurídica.</v>
      </c>
      <c r="O214" s="15">
        <f>IFERROR(__xludf.DUMMYFUNCTION("""COMPUTED_VALUE"""),0.454)</f>
        <v>0.454</v>
      </c>
      <c r="P214" s="2"/>
      <c r="Q214" s="17">
        <f>IFERROR(__xludf.DUMMYFUNCTION("""COMPUTED_VALUE"""),8.0)</f>
        <v>8</v>
      </c>
      <c r="R214" s="2" t="str">
        <f>IFERROR(__xludf.DUMMYFUNCTION("""COMPUTED_VALUE"""),"High")</f>
        <v>High</v>
      </c>
      <c r="S214" s="17">
        <f>IFERROR(__xludf.DUMMYFUNCTION("""COMPUTED_VALUE"""),3.0)</f>
        <v>3</v>
      </c>
      <c r="T214" s="17">
        <f>IFERROR(__xludf.DUMMYFUNCTION("""COMPUTED_VALUE"""),0.0)</f>
        <v>0</v>
      </c>
      <c r="U214" s="14">
        <f>IFERROR(__xludf.DUMMYFUNCTION("""COMPUTED_VALUE"""),3.0)</f>
        <v>3</v>
      </c>
      <c r="V214" s="14">
        <v>2025.0</v>
      </c>
      <c r="W214" s="2" t="s">
        <v>1168</v>
      </c>
      <c r="X214" s="2" t="s">
        <v>1188</v>
      </c>
      <c r="Y214" s="13" t="s">
        <v>171</v>
      </c>
      <c r="Z214" s="14">
        <v>0.0</v>
      </c>
      <c r="AA214" s="14">
        <v>0.0</v>
      </c>
      <c r="AB214" s="14">
        <v>0.0</v>
      </c>
      <c r="AC214" s="14">
        <v>0.0</v>
      </c>
      <c r="AD214" s="2">
        <v>0.0</v>
      </c>
      <c r="AE214" s="2">
        <v>0.0</v>
      </c>
      <c r="AF214" s="2">
        <v>12.0</v>
      </c>
      <c r="AG214" s="2" t="s">
        <v>1220</v>
      </c>
      <c r="AH214" s="2">
        <v>0.0</v>
      </c>
    </row>
    <row r="215" ht="15.75" customHeight="1">
      <c r="A215" s="2" t="str">
        <f>IFERROR(__xludf.DUMMYFUNCTION("""COMPUTED_VALUE"""),"La Jornada")</f>
        <v>La Jornada</v>
      </c>
      <c r="B215" s="12" t="str">
        <f>IFERROR(__xludf.DUMMYFUNCTION("""COMPUTED_VALUE"""),"Muere un hombre en entrada de sucursal bancaria en la alcaldía Cuauhtémoc")</f>
        <v>Muere un hombre en entrada de sucursal bancaria en la alcaldía Cuauhtémoc</v>
      </c>
      <c r="C215" s="13" t="str">
        <f>IFERROR(__xludf.DUMMYFUNCTION("""COMPUTED_VALUE"""),"2025-12-28")</f>
        <v>2025-12-28</v>
      </c>
      <c r="D215" s="14">
        <f>IFERROR(__xludf.DUMMYFUNCTION("""COMPUTED_VALUE"""),2.0)</f>
        <v>2</v>
      </c>
      <c r="E215" s="15">
        <f>IFERROR(__xludf.DUMMYFUNCTION("""COMPUTED_VALUE"""),0.0)</f>
        <v>0</v>
      </c>
      <c r="F215" s="2" t="str">
        <f>IFERROR(__xludf.DUMMYFUNCTION("""COMPUTED_VALUE"""),"Neutral")</f>
        <v>Neutral</v>
      </c>
      <c r="G215" s="15">
        <f>IFERROR(__xludf.DUMMYFUNCTION("""COMPUTED_VALUE"""),0.5681)</f>
        <v>0.5681</v>
      </c>
      <c r="H215" s="2" t="str">
        <f>IFERROR(__xludf.DUMMYFUNCTION("""COMPUTED_VALUE"""),"Operativo policial o detención")</f>
        <v>Operativo policial o detención</v>
      </c>
      <c r="I215" s="2" t="str">
        <f>IFERROR(__xludf.DUMMYFUNCTION("""COMPUTED_VALUE"""),"N/A")</f>
        <v>N/A</v>
      </c>
      <c r="J215" s="2" t="str">
        <f>IFERROR(__xludf.DUMMYFUNCTION("""COMPUTED_VALUE"""),"Monitoreo general.")</f>
        <v>Monitoreo general.</v>
      </c>
      <c r="K215" s="2" t="str">
        <f>IFERROR(__xludf.DUMMYFUNCTION("""COMPUTED_VALUE"""),"Cuauhtémoc")</f>
        <v>Cuauhtémoc</v>
      </c>
      <c r="L215" s="2" t="str">
        <f>IFERROR(__xludf.DUMMYFUNCTION("""COMPUTED_VALUE"""),"Ciudad de México")</f>
        <v>Ciudad de México</v>
      </c>
      <c r="M215" s="16" t="str">
        <f>IFERROR(__xludf.DUMMYFUNCTION("""COMPUTED_VALUE"""),"https://www.jornada.com.mx/noticia/2025/12/28/capital/un-hombre-muere-en-entrada-de-sucursal-bancaria-en-la-alcaldia-cuauhtemoc")</f>
        <v>https://www.jornada.com.mx/noticia/2025/12/28/capital/un-hombre-muere-en-entrada-de-sucursal-bancaria-en-la-alcaldia-cuauhtemoc</v>
      </c>
      <c r="N215" s="2" t="str">
        <f>IFERROR(__xludf.DUMMYFUNCTION("""COMPUTED_VALUE"""),"Ciudad de México.Un hombre murió en la entrada de una sucursal bancaria ubicada en avenida Juárez y calle Iturbide, en la colonia Centro, alcaldía Cuauhtémoc. De acuerdo con los primeros reportes, oficiales de la Secretaría de Seguridad Ciudadana (SSC) ac"&amp;"udieron al sitio tras recibir el reporte y coordinaron los servicios de emergencia. Paramédicos del Escuadrón de Rescate y Urgencias Médicas (ERUM), que brindaron la atención, diagnosticaron al hombre, de aproximadamente 45 años de edad, sin signos vitale"&amp;"s y sin huellas visibles de violencia, por lo que la causa de la muerte quedó pendiente a determinar. Ante estos hechos, el área fue acordonada y se dio aviso al Ministerio Público para que personal de servicios periciales realice las diligencias correspo"&amp;"ndientes.")</f>
        <v>Ciudad de México.Un hombre murió en la entrada de una sucursal bancaria ubicada en avenida Juárez y calle Iturbide, en la colonia Centro, alcaldía Cuauhtémoc. De acuerdo con los primeros reportes, oficiales de la Secretaría de Seguridad Ciudadana (SSC) acudieron al sitio tras recibir el reporte y coordinaron los servicios de emergencia. Paramédicos del Escuadrón de Rescate y Urgencias Médicas (ERUM), que brindaron la atención, diagnosticaron al hombre, de aproximadamente 45 años de edad, sin signos vitales y sin huellas visibles de violencia, por lo que la causa de la muerte quedó pendiente a determinar. Ante estos hechos, el área fue acordonada y se dio aviso al Ministerio Público para que personal de servicios periciales realice las diligencias correspondientes.</v>
      </c>
      <c r="O215" s="15">
        <f>IFERROR(__xludf.DUMMYFUNCTION("""COMPUTED_VALUE"""),0.4105)</f>
        <v>0.4105</v>
      </c>
      <c r="P215" s="2"/>
      <c r="Q215" s="17">
        <f>IFERROR(__xludf.DUMMYFUNCTION("""COMPUTED_VALUE"""),8.5)</f>
        <v>8.5</v>
      </c>
      <c r="R215" s="2" t="str">
        <f>IFERROR(__xludf.DUMMYFUNCTION("""COMPUTED_VALUE"""),"High")</f>
        <v>High</v>
      </c>
      <c r="S215" s="17">
        <f>IFERROR(__xludf.DUMMYFUNCTION("""COMPUTED_VALUE"""),3.5)</f>
        <v>3.5</v>
      </c>
      <c r="T215" s="17">
        <f>IFERROR(__xludf.DUMMYFUNCTION("""COMPUTED_VALUE"""),0.0)</f>
        <v>0</v>
      </c>
      <c r="U215" s="14">
        <f>IFERROR(__xludf.DUMMYFUNCTION("""COMPUTED_VALUE"""),3.0)</f>
        <v>3</v>
      </c>
      <c r="V215" s="14">
        <v>2025.0</v>
      </c>
      <c r="W215" s="2" t="s">
        <v>1168</v>
      </c>
      <c r="X215" s="2" t="s">
        <v>1188</v>
      </c>
      <c r="Y215" s="13" t="s">
        <v>171</v>
      </c>
      <c r="Z215" s="14">
        <v>0.0</v>
      </c>
      <c r="AA215" s="14">
        <v>0.0</v>
      </c>
      <c r="AB215" s="14">
        <v>0.0</v>
      </c>
      <c r="AC215" s="14">
        <v>0.0</v>
      </c>
      <c r="AD215" s="2">
        <v>0.0</v>
      </c>
      <c r="AE215" s="2">
        <v>0.0</v>
      </c>
      <c r="AF215" s="2">
        <v>12.0</v>
      </c>
      <c r="AG215" s="2" t="s">
        <v>1205</v>
      </c>
      <c r="AH215" s="2">
        <v>0.0</v>
      </c>
    </row>
    <row r="216" ht="15.75" customHeight="1">
      <c r="A216" s="2" t="str">
        <f>IFERROR(__xludf.DUMMYFUNCTION("""COMPUTED_VALUE"""),"La Jornada")</f>
        <v>La Jornada</v>
      </c>
      <c r="B216" s="12" t="str">
        <f>IFERROR(__xludf.DUMMYFUNCTION("""COMPUTED_VALUE"""),"STC Metro informa horarios de servicio para el 31 de diciembre y jueves 1 de enero")</f>
        <v>STC Metro informa horarios de servicio para el 31 de diciembre y jueves 1 de enero</v>
      </c>
      <c r="C216" s="13" t="str">
        <f>IFERROR(__xludf.DUMMYFUNCTION("""COMPUTED_VALUE"""),"2025-12-28")</f>
        <v>2025-12-28</v>
      </c>
      <c r="D216" s="14">
        <f>IFERROR(__xludf.DUMMYFUNCTION("""COMPUTED_VALUE"""),1.0)</f>
        <v>1</v>
      </c>
      <c r="E216" s="15">
        <f>IFERROR(__xludf.DUMMYFUNCTION("""COMPUTED_VALUE"""),0.0)</f>
        <v>0</v>
      </c>
      <c r="F216" s="2" t="str">
        <f>IFERROR(__xludf.DUMMYFUNCTION("""COMPUTED_VALUE"""),"Neutral")</f>
        <v>Neutral</v>
      </c>
      <c r="G216" s="15">
        <f>IFERROR(__xludf.DUMMYFUNCTION("""COMPUTED_VALUE"""),0.8075)</f>
        <v>0.8075</v>
      </c>
      <c r="H216" s="2" t="str">
        <f>IFERROR(__xludf.DUMMYFUNCTION("""COMPUTED_VALUE"""),"Noticia corporativa o regulación de transporte")</f>
        <v>Noticia corporativa o regulación de transporte</v>
      </c>
      <c r="I216" s="2" t="str">
        <f>IFERROR(__xludf.DUMMYFUNCTION("""COMPUTED_VALUE"""),"N/A")</f>
        <v>N/A</v>
      </c>
      <c r="J216" s="2" t="str">
        <f>IFERROR(__xludf.DUMMYFUNCTION("""COMPUTED_VALUE"""),"Monitoreo general.")</f>
        <v>Monitoreo general.</v>
      </c>
      <c r="K216" s="2" t="str">
        <f>IFERROR(__xludf.DUMMYFUNCTION("""COMPUTED_VALUE"""),"Ciudad de México")</f>
        <v>Ciudad de México</v>
      </c>
      <c r="L216" s="2" t="str">
        <f>IFERROR(__xludf.DUMMYFUNCTION("""COMPUTED_VALUE"""),"Ciudad de México")</f>
        <v>Ciudad de México</v>
      </c>
      <c r="M216" s="16" t="str">
        <f>IFERROR(__xludf.DUMMYFUNCTION("""COMPUTED_VALUE"""),"https://www.jornada.com.mx/noticia/2025/12/28/capital/stc-metro-informa-horarios-de-servicio-para-el-31-de-diciembre-y-jueves-1-de-enero")</f>
        <v>https://www.jornada.com.mx/noticia/2025/12/28/capital/stc-metro-informa-horarios-de-servicio-para-el-31-de-diciembre-y-jueves-1-de-enero</v>
      </c>
      <c r="N216" s="2" t="str">
        <f>IFERROR(__xludf.DUMMYFUNCTION("""COMPUTED_VALUE"""),"Ciudad de México.El Sistema de Transporte Colectivo (STC) Metro recordó a los usuarios que el miércoles 31 de diciembre el servicio operará de 5 a 23 horas. Indicó que la última salida de trenes será a las 22:30 horas desde las terminales de la red y para"&amp;" el jueves 1 de enero se aplicará el horario de día festivo, por lo que la operación iniciará a las 7 horas y concluirá a las 24 horas. El organismo indicó que ese día se permitirá el acceso de bicicletas, conforme al programa “Tu bici viaja en Metro”, vi"&amp;"gente los domingos y días festivos.")</f>
        <v>Ciudad de México.El Sistema de Transporte Colectivo (STC) Metro recordó a los usuarios que el miércoles 31 de diciembre el servicio operará de 5 a 23 horas. Indicó que la última salida de trenes será a las 22:30 horas desde las terminales de la red y para el jueves 1 de enero se aplicará el horario de día festivo, por lo que la operación iniciará a las 7 horas y concluirá a las 24 horas. El organismo indicó que ese día se permitirá el acceso de bicicletas, conforme al programa “Tu bici viaja en Metro”, vigente los domingos y días festivos.</v>
      </c>
      <c r="O216" s="15">
        <f>IFERROR(__xludf.DUMMYFUNCTION("""COMPUTED_VALUE"""),0.3158)</f>
        <v>0.3158</v>
      </c>
      <c r="P216" s="2"/>
      <c r="Q216" s="17">
        <f>IFERROR(__xludf.DUMMYFUNCTION("""COMPUTED_VALUE"""),5.0)</f>
        <v>5</v>
      </c>
      <c r="R216" s="2" t="str">
        <f>IFERROR(__xludf.DUMMYFUNCTION("""COMPUTED_VALUE"""),"High")</f>
        <v>High</v>
      </c>
      <c r="S216" s="17">
        <f>IFERROR(__xludf.DUMMYFUNCTION("""COMPUTED_VALUE"""),3.0)</f>
        <v>3</v>
      </c>
      <c r="T216" s="17">
        <f>IFERROR(__xludf.DUMMYFUNCTION("""COMPUTED_VALUE"""),0.0)</f>
        <v>0</v>
      </c>
      <c r="U216" s="14">
        <f>IFERROR(__xludf.DUMMYFUNCTION("""COMPUTED_VALUE"""),3.0)</f>
        <v>3</v>
      </c>
      <c r="V216" s="14">
        <v>2025.0</v>
      </c>
      <c r="W216" s="2" t="s">
        <v>1168</v>
      </c>
      <c r="X216" s="2" t="s">
        <v>1188</v>
      </c>
      <c r="Y216" s="13" t="s">
        <v>171</v>
      </c>
      <c r="Z216" s="14">
        <v>0.0</v>
      </c>
      <c r="AA216" s="14">
        <v>0.0</v>
      </c>
      <c r="AB216" s="14">
        <v>0.0</v>
      </c>
      <c r="AC216" s="14">
        <v>0.0</v>
      </c>
      <c r="AD216" s="2">
        <v>0.0</v>
      </c>
      <c r="AE216" s="2">
        <v>0.0</v>
      </c>
      <c r="AF216" s="2">
        <v>12.0</v>
      </c>
      <c r="AG216" s="2" t="s">
        <v>1175</v>
      </c>
      <c r="AH216" s="2">
        <v>0.0</v>
      </c>
    </row>
    <row r="217" ht="15.75" customHeight="1">
      <c r="A217" s="2" t="str">
        <f>IFERROR(__xludf.DUMMYFUNCTION("""COMPUTED_VALUE"""),"La Jornada")</f>
        <v>La Jornada</v>
      </c>
      <c r="B217" s="12" t="str">
        <f>IFERROR(__xludf.DUMMYFUNCTION("""COMPUTED_VALUE"""),"Remiten a más de mil conductores a 'El Torito' en lo que va de las fiestas decembrinas")</f>
        <v>Remiten a más de mil conductores a 'El Torito' en lo que va de las fiestas decembrinas</v>
      </c>
      <c r="C217" s="13" t="str">
        <f>IFERROR(__xludf.DUMMYFUNCTION("""COMPUTED_VALUE"""),"2025-12-28")</f>
        <v>2025-12-28</v>
      </c>
      <c r="D217" s="14">
        <f>IFERROR(__xludf.DUMMYFUNCTION("""COMPUTED_VALUE"""),2.0)</f>
        <v>2</v>
      </c>
      <c r="E217" s="15">
        <f>IFERROR(__xludf.DUMMYFUNCTION("""COMPUTED_VALUE"""),0.0)</f>
        <v>0</v>
      </c>
      <c r="F217" s="2" t="str">
        <f>IFERROR(__xludf.DUMMYFUNCTION("""COMPUTED_VALUE"""),"Neutral")</f>
        <v>Neutral</v>
      </c>
      <c r="G217" s="15">
        <f>IFERROR(__xludf.DUMMYFUNCTION("""COMPUTED_VALUE"""),0.5165)</f>
        <v>0.5165</v>
      </c>
      <c r="H217" s="2" t="str">
        <f>IFERROR(__xludf.DUMMYFUNCTION("""COMPUTED_VALUE"""),"Operativo policial o detención")</f>
        <v>Operativo policial o detención</v>
      </c>
      <c r="I217" s="2" t="str">
        <f>IFERROR(__xludf.DUMMYFUNCTION("""COMPUTED_VALUE"""),"N/A")</f>
        <v>N/A</v>
      </c>
      <c r="J217" s="2" t="str">
        <f>IFERROR(__xludf.DUMMYFUNCTION("""COMPUTED_VALUE"""),"Monitoreo general.")</f>
        <v>Monitoreo general.</v>
      </c>
      <c r="K217" s="2" t="str">
        <f>IFERROR(__xludf.DUMMYFUNCTION("""COMPUTED_VALUE"""),"Ciudad de México")</f>
        <v>Ciudad de México</v>
      </c>
      <c r="L217" s="2" t="str">
        <f>IFERROR(__xludf.DUMMYFUNCTION("""COMPUTED_VALUE"""),"Ciudad de México")</f>
        <v>Ciudad de México</v>
      </c>
      <c r="M217" s="16" t="str">
        <f>IFERROR(__xludf.DUMMYFUNCTION("""COMPUTED_VALUE"""),"https://www.jornada.com.mx/noticia/2025/12/28/capital/remiten-a-mas-de-mil-conductores-a-el-torito-por-operativo-conduce-sin-alcohol")</f>
        <v>https://www.jornada.com.mx/noticia/2025/12/28/capital/remiten-a-mas-de-mil-conductores-a-el-torito-por-operativo-conduce-sin-alcohol</v>
      </c>
      <c r="N217" s="2" t="str">
        <f>IFERROR(__xludf.DUMMYFUNCTION("""COMPUTED_VALUE"""),"Ciudad de México.Mil 64 conductores fueron remitidos al Centro de Sanciones Administrativas, conocido comoEl Torito, por rebasar los límites permitidos de alcohol en la sangre, informó la Secretaría de Seguridad Ciudadana de la ciudad de México. La depend"&amp;"encia señaló  que lo anterior fue como resultado de los operativos del programa Conduce Sin Alcohol implementados del 12 y el 27 de diciembre. Durante ese mismo periodo, personal de la Secretaría aplicó 299 mil 408 pruebas AlcoStop —para detectar alcohol "&amp;"en el ambiente interior de los vehículos—. Asimismo, 3 mil 427 pruebas de alcoholemia mediante aire espirado, acciones que derivaron además en el envío de mil 50 vehículos a depósitos vehiculares.")</f>
        <v>Ciudad de México.Mil 64 conductores fueron remitidos al Centro de Sanciones Administrativas, conocido comoEl Torito, por rebasar los límites permitidos de alcohol en la sangre, informó la Secretaría de Seguridad Ciudadana de la ciudad de México. La dependencia señaló  que lo anterior fue como resultado de los operativos del programa Conduce Sin Alcohol implementados del 12 y el 27 de diciembre. Durante ese mismo periodo, personal de la Secretaría aplicó 299 mil 408 pruebas AlcoStop —para detectar alcohol en el ambiente interior de los vehículos—. Asimismo, 3 mil 427 pruebas de alcoholemia mediante aire espirado, acciones que derivaron además en el envío de mil 50 vehículos a depósitos vehiculares.</v>
      </c>
      <c r="O217" s="15">
        <f>IFERROR(__xludf.DUMMYFUNCTION("""COMPUTED_VALUE"""),0.3398)</f>
        <v>0.3398</v>
      </c>
      <c r="P217" s="2"/>
      <c r="Q217" s="17">
        <f>IFERROR(__xludf.DUMMYFUNCTION("""COMPUTED_VALUE"""),5.0)</f>
        <v>5</v>
      </c>
      <c r="R217" s="2" t="str">
        <f>IFERROR(__xludf.DUMMYFUNCTION("""COMPUTED_VALUE"""),"High")</f>
        <v>High</v>
      </c>
      <c r="S217" s="17">
        <f>IFERROR(__xludf.DUMMYFUNCTION("""COMPUTED_VALUE"""),2.0)</f>
        <v>2</v>
      </c>
      <c r="T217" s="17">
        <f>IFERROR(__xludf.DUMMYFUNCTION("""COMPUTED_VALUE"""),0.0)</f>
        <v>0</v>
      </c>
      <c r="U217" s="14">
        <f>IFERROR(__xludf.DUMMYFUNCTION("""COMPUTED_VALUE"""),3.0)</f>
        <v>3</v>
      </c>
      <c r="V217" s="14">
        <v>2025.0</v>
      </c>
      <c r="W217" s="2" t="s">
        <v>1168</v>
      </c>
      <c r="X217" s="2" t="s">
        <v>1188</v>
      </c>
      <c r="Y217" s="13" t="s">
        <v>171</v>
      </c>
      <c r="Z217" s="14">
        <v>0.0</v>
      </c>
      <c r="AA217" s="14">
        <v>0.0</v>
      </c>
      <c r="AB217" s="14">
        <v>0.0</v>
      </c>
      <c r="AC217" s="14">
        <v>0.0</v>
      </c>
      <c r="AD217" s="2">
        <v>0.0</v>
      </c>
      <c r="AE217" s="2">
        <v>0.0</v>
      </c>
      <c r="AF217" s="2">
        <v>12.0</v>
      </c>
      <c r="AG217" s="2" t="s">
        <v>1175</v>
      </c>
      <c r="AH217" s="2">
        <v>0.0</v>
      </c>
    </row>
    <row r="218" ht="15.75" customHeight="1">
      <c r="A218" s="2" t="str">
        <f>IFERROR(__xludf.DUMMYFUNCTION("""COMPUTED_VALUE"""),"La Jornada")</f>
        <v>La Jornada</v>
      </c>
      <c r="B218" s="12" t="str">
        <f>IFERROR(__xludf.DUMMYFUNCTION("""COMPUTED_VALUE"""),"Suspenden servicio en estación del Metro Auditorio de Línea 7 ")</f>
        <v>Suspenden servicio en estación del Metro Auditorio de Línea 7 </v>
      </c>
      <c r="C218" s="13" t="str">
        <f>IFERROR(__xludf.DUMMYFUNCTION("""COMPUTED_VALUE"""),"2025-12-28")</f>
        <v>2025-12-28</v>
      </c>
      <c r="D218" s="14">
        <f>IFERROR(__xludf.DUMMYFUNCTION("""COMPUTED_VALUE"""),2.0)</f>
        <v>2</v>
      </c>
      <c r="E218" s="15">
        <f>IFERROR(__xludf.DUMMYFUNCTION("""COMPUTED_VALUE"""),0.0)</f>
        <v>0</v>
      </c>
      <c r="F218" s="2" t="str">
        <f>IFERROR(__xludf.DUMMYFUNCTION("""COMPUTED_VALUE"""),"Neutral")</f>
        <v>Neutral</v>
      </c>
      <c r="G218" s="15">
        <f>IFERROR(__xludf.DUMMYFUNCTION("""COMPUTED_VALUE"""),0.6851)</f>
        <v>0.6851</v>
      </c>
      <c r="H218" s="2" t="str">
        <f>IFERROR(__xludf.DUMMYFUNCTION("""COMPUTED_VALUE"""),"Operativo policial o detención")</f>
        <v>Operativo policial o detención</v>
      </c>
      <c r="I218" s="2" t="str">
        <f>IFERROR(__xludf.DUMMYFUNCTION("""COMPUTED_VALUE"""),"N/A")</f>
        <v>N/A</v>
      </c>
      <c r="J218" s="2" t="str">
        <f>IFERROR(__xludf.DUMMYFUNCTION("""COMPUTED_VALUE"""),"Monitoreo general.")</f>
        <v>Monitoreo general.</v>
      </c>
      <c r="K218" s="2" t="str">
        <f>IFERROR(__xludf.DUMMYFUNCTION("""COMPUTED_VALUE"""),"Ciudad de México")</f>
        <v>Ciudad de México</v>
      </c>
      <c r="L218" s="2" t="str">
        <f>IFERROR(__xludf.DUMMYFUNCTION("""COMPUTED_VALUE"""),"Ciudad de México")</f>
        <v>Ciudad de México</v>
      </c>
      <c r="M218" s="16" t="str">
        <f>IFERROR(__xludf.DUMMYFUNCTION("""COMPUTED_VALUE"""),"https://www.jornada.com.mx/noticia/2025/12/28/capital/suspenden-servicio-en-estacion-del-metro-auditorio-de-linea-7")</f>
        <v>https://www.jornada.com.mx/noticia/2025/12/28/capital/suspenden-servicio-en-estacion-del-metro-auditorio-de-linea-7</v>
      </c>
      <c r="N218" s="2" t="str">
        <f>IFERROR(__xludf.DUMMYFUNCTION("""COMPUTED_VALUE"""),"Ciudad de México.El Sistema de Transporte Colectivo Metro informó que hoy  se realizan trabajos en la estación Auditorio de la Línea 7, por lo que no habrá ascenso ni descenso en este punto. Señaló que lo anterior se debe a las acciones de mejora a la inf"&amp;"raestructura del organismo. El servicio de trenes en la Línea 7 opera con normalidad, sin realizar parada únicamente en Auditorio. Dijo que como alternativas, se pueden utilizar las estaciones Polanco y Constituyentes. El STC exhortó a los pasajeros a tom"&amp;"ar previsiones y planear sus traslados.")</f>
        <v>Ciudad de México.El Sistema de Transporte Colectivo Metro informó que hoy  se realizan trabajos en la estación Auditorio de la Línea 7, por lo que no habrá ascenso ni descenso en este punto. Señaló que lo anterior se debe a las acciones de mejora a la infraestructura del organismo. El servicio de trenes en la Línea 7 opera con normalidad, sin realizar parada únicamente en Auditorio. Dijo que como alternativas, se pueden utilizar las estaciones Polanco y Constituyentes. El STC exhortó a los pasajeros a tomar previsiones y planear sus traslados.</v>
      </c>
      <c r="O218" s="15">
        <f>IFERROR(__xludf.DUMMYFUNCTION("""COMPUTED_VALUE"""),0.168)</f>
        <v>0.168</v>
      </c>
      <c r="P218" s="2"/>
      <c r="Q218" s="17">
        <f>IFERROR(__xludf.DUMMYFUNCTION("""COMPUTED_VALUE"""),5.0)</f>
        <v>5</v>
      </c>
      <c r="R218" s="2" t="str">
        <f>IFERROR(__xludf.DUMMYFUNCTION("""COMPUTED_VALUE"""),"High")</f>
        <v>High</v>
      </c>
      <c r="S218" s="17">
        <f>IFERROR(__xludf.DUMMYFUNCTION("""COMPUTED_VALUE"""),3.0)</f>
        <v>3</v>
      </c>
      <c r="T218" s="17">
        <f>IFERROR(__xludf.DUMMYFUNCTION("""COMPUTED_VALUE"""),0.0)</f>
        <v>0</v>
      </c>
      <c r="U218" s="14">
        <f>IFERROR(__xludf.DUMMYFUNCTION("""COMPUTED_VALUE"""),3.0)</f>
        <v>3</v>
      </c>
      <c r="V218" s="14">
        <v>2025.0</v>
      </c>
      <c r="W218" s="2" t="s">
        <v>1168</v>
      </c>
      <c r="X218" s="2" t="s">
        <v>1188</v>
      </c>
      <c r="Y218" s="13" t="s">
        <v>171</v>
      </c>
      <c r="Z218" s="14">
        <v>0.0</v>
      </c>
      <c r="AA218" s="14">
        <v>0.0</v>
      </c>
      <c r="AB218" s="14">
        <v>0.0</v>
      </c>
      <c r="AC218" s="14">
        <v>0.0</v>
      </c>
      <c r="AD218" s="2">
        <v>0.0</v>
      </c>
      <c r="AE218" s="2">
        <v>0.0</v>
      </c>
      <c r="AF218" s="2">
        <v>12.0</v>
      </c>
      <c r="AG218" s="2" t="s">
        <v>1175</v>
      </c>
      <c r="AH218" s="2">
        <v>0.0</v>
      </c>
    </row>
    <row r="219" ht="15.75" customHeight="1">
      <c r="A219" s="2" t="str">
        <f>IFERROR(__xludf.DUMMYFUNCTION("""COMPUTED_VALUE"""),"La Jornada")</f>
        <v>La Jornada</v>
      </c>
      <c r="B219" s="12" t="str">
        <f>IFERROR(__xludf.DUMMYFUNCTION("""COMPUTED_VALUE"""),"Se aglomeran familias en feria de Reyes Magos en avenida Hidalgo")</f>
        <v>Se aglomeran familias en feria de Reyes Magos en avenida Hidalgo</v>
      </c>
      <c r="C219" s="13" t="str">
        <f>IFERROR(__xludf.DUMMYFUNCTION("""COMPUTED_VALUE"""),"2025-12-28")</f>
        <v>2025-12-28</v>
      </c>
      <c r="D219" s="14">
        <f>IFERROR(__xludf.DUMMYFUNCTION("""COMPUTED_VALUE"""),1.0)</f>
        <v>1</v>
      </c>
      <c r="E219" s="15">
        <f>IFERROR(__xludf.DUMMYFUNCTION("""COMPUTED_VALUE"""),0.0)</f>
        <v>0</v>
      </c>
      <c r="F219" s="2" t="str">
        <f>IFERROR(__xludf.DUMMYFUNCTION("""COMPUTED_VALUE"""),"Neutral")</f>
        <v>Neutral</v>
      </c>
      <c r="G219" s="15">
        <f>IFERROR(__xludf.DUMMYFUNCTION("""COMPUTED_VALUE"""),0.6154)</f>
        <v>0.6154</v>
      </c>
      <c r="H219" s="2" t="str">
        <f>IFERROR(__xludf.DUMMYFUNCTION("""COMPUTED_VALUE"""),"Otros temas generales")</f>
        <v>Otros temas generales</v>
      </c>
      <c r="I219" s="2" t="str">
        <f>IFERROR(__xludf.DUMMYFUNCTION("""COMPUTED_VALUE"""),"N/A")</f>
        <v>N/A</v>
      </c>
      <c r="J219" s="2" t="str">
        <f>IFERROR(__xludf.DUMMYFUNCTION("""COMPUTED_VALUE"""),"Descartar / Baja prioridad.")</f>
        <v>Descartar / Baja prioridad.</v>
      </c>
      <c r="K219" s="2" t="str">
        <f>IFERROR(__xludf.DUMMYFUNCTION("""COMPUTED_VALUE"""),"Hidalgo")</f>
        <v>Hidalgo</v>
      </c>
      <c r="L219" s="2" t="str">
        <f>IFERROR(__xludf.DUMMYFUNCTION("""COMPUTED_VALUE"""),"Hidalgo")</f>
        <v>Hidalgo</v>
      </c>
      <c r="M219" s="16" t="str">
        <f>IFERROR(__xludf.DUMMYFUNCTION("""COMPUTED_VALUE"""),"https://www.jornada.com.mx/noticia/2025/12/28/capital/se-aglomeran-familias-en-feria-de-reyes-magos-en-avenida-hidalgo")</f>
        <v>https://www.jornada.com.mx/noticia/2025/12/28/capital/se-aglomeran-familias-en-feria-de-reyes-magos-en-avenida-hidalgo</v>
      </c>
      <c r="N219" s="2" t="str">
        <f>IFERROR(__xludf.DUMMYFUNCTION("""COMPUTED_VALUE"""),"Cientos de familias despidieron el último fin de semana del año en la feria y romería de los Reyes Magos instalada en avenida Hidalgo, cuyas amenidades incluyen 26 diferentes escenarios para tomarse la fotografía con sus majestades y un trasnochado Santac"&amp;"lós. En un espacio incómodo para circular a un costado de la Alameda Central, entre el filo de la banqueta y los bordes de las jardineras, decenas de personas avanzaban, a veces a trompicones, para elegir el mejor escenario para su foto en formato de 20 p"&amp;"or 30 centímetros por un precio de 350 pesos en marco y 250 en calendario. En las escenografías predominaban las estampas evangélicas con el elefante, el camello y un caballo, pero las había también con decorados con protagonistas de la cinematografía inf"&amp;"antil:Frozen,Lilo y Stich,Entrenar a tu dragón,Toy StoryySuper Mario Bros. Para Jaime Trejo, quien llegó con su esposa y sus dos hijos desde el municipio de Teoloyucan, estado de México, a “dos horas de camino”, le pareció “no tan caro” el precio de la fo"&amp;"to, y compró también una corona con luces para cada integrante de su familia por 50 pesos la pieza. El viaje valió la pena por que disfrutó el sábado decembrino con su familia, aseguró mientras hacía fila para subir a sus niños al carrusel. Jimena Miranda"&amp;", encargada de uno de los escenarios, admitió que el espacio que les dieron para instalarse este año resultó muy incómodo, comparado con el que tuvieron en Plaza de la República en 2024 o del que les asignaron hace varios diciembres del otro lado de la Al"&amp;"ameda junto a avenida Juárez. No obstante la algarabía general, algunos consideraron “carísimo” el precio de los juegos mecánicos: a 100 pesos elMartilloy 80 pesos elSky Fire, y la Rueda de la fortuna, mientras que los juegos infantiles cuestan 50 pesos u"&amp;"nas pocas vueltas, el juego de canicas y el tiro al blanco con 15 tiros a 70 pesos. Guadalupe Galindo, quien junto con su hermana Jatziri y un sobrino que las visita de Mexicali, acudió desde Iztapalapa, comentó que en la feria que se puso el 22 de noviem"&amp;"bre en su colonia, Ejército de Agua Prieta, por la fiesta patronal del Sagrado Corazón, el precio de los juegos fue de 50 y 60 pesos. A la feria, que permanecerá hasta el 6 de enero, llegó también Cristopher Iván, con sus amigos Carlos Calero y Esteban Ro"&amp;"mero, después de vender en el tianguis decomicsyrock showde juguetes coleccionables, en avenida Hidalgo y Reforma, y con un piedra, papel y tijeras decidieron el turno para el toro mecánico.")</f>
        <v>Cientos de familias despidieron el último fin de semana del año en la feria y romería de los Reyes Magos instalada en avenida Hidalgo, cuyas amenidades incluyen 26 diferentes escenarios para tomarse la fotografía con sus majestades y un trasnochado Santaclós. En un espacio incómodo para circular a un costado de la Alameda Central, entre el filo de la banqueta y los bordes de las jardineras, decenas de personas avanzaban, a veces a trompicones, para elegir el mejor escenario para su foto en formato de 20 por 30 centímetros por un precio de 350 pesos en marco y 250 en calendario. En las escenografías predominaban las estampas evangélicas con el elefante, el camello y un caballo, pero las había también con decorados con protagonistas de la cinematografía infantil:Frozen,Lilo y Stich,Entrenar a tu dragón,Toy StoryySuper Mario Bros. Para Jaime Trejo, quien llegó con su esposa y sus dos hijos desde el municipio de Teoloyucan, estado de México, a “dos horas de camino”, le pareció “no tan caro” el precio de la foto, y compró también una corona con luces para cada integrante de su familia por 50 pesos la pieza. El viaje valió la pena por que disfrutó el sábado decembrino con su familia, aseguró mientras hacía fila para subir a sus niños al carrusel. Jimena Miranda, encargada de uno de los escenarios, admitió que el espacio que les dieron para instalarse este año resultó muy incómodo, comparado con el que tuvieron en Plaza de la República en 2024 o del que les asignaron hace varios diciembres del otro lado de la Alameda junto a avenida Juárez. No obstante la algarabía general, algunos consideraron “carísimo” el precio de los juegos mecánicos: a 100 pesos elMartilloy 80 pesos elSky Fire, y la Rueda de la fortuna, mientras que los juegos infantiles cuestan 50 pesos unas pocas vueltas, el juego de canicas y el tiro al blanco con 15 tiros a 70 pesos. Guadalupe Galindo, quien junto con su hermana Jatziri y un sobrino que las visita de Mexicali, acudió desde Iztapalapa, comentó que en la feria que se puso el 22 de noviembre en su colonia, Ejército de Agua Prieta, por la fiesta patronal del Sagrado Corazón, el precio de los juegos fue de 50 y 60 pesos. A la feria, que permanecerá hasta el 6 de enero, llegó también Cristopher Iván, con sus amigos Carlos Calero y Esteban Romero, después de vender en el tianguis decomicsyrock showde juguetes coleccionables, en avenida Hidalgo y Reforma, y con un piedra, papel y tijeras decidieron el turno para el toro mecánico.</v>
      </c>
      <c r="O219" s="15">
        <f>IFERROR(__xludf.DUMMYFUNCTION("""COMPUTED_VALUE"""),0.2592)</f>
        <v>0.2592</v>
      </c>
      <c r="P219" s="2"/>
      <c r="Q219" s="17">
        <f>IFERROR(__xludf.DUMMYFUNCTION("""COMPUTED_VALUE"""),8.5)</f>
        <v>8.5</v>
      </c>
      <c r="R219" s="2" t="str">
        <f>IFERROR(__xludf.DUMMYFUNCTION("""COMPUTED_VALUE"""),"Medium")</f>
        <v>Medium</v>
      </c>
      <c r="S219" s="17">
        <f>IFERROR(__xludf.DUMMYFUNCTION("""COMPUTED_VALUE"""),1.5)</f>
        <v>1.5</v>
      </c>
      <c r="T219" s="17">
        <f>IFERROR(__xludf.DUMMYFUNCTION("""COMPUTED_VALUE"""),0.0)</f>
        <v>0</v>
      </c>
      <c r="U219" s="14">
        <f>IFERROR(__xludf.DUMMYFUNCTION("""COMPUTED_VALUE"""),3.0)</f>
        <v>3</v>
      </c>
      <c r="V219" s="14">
        <v>2025.0</v>
      </c>
      <c r="W219" s="2" t="s">
        <v>1168</v>
      </c>
      <c r="X219" s="2" t="s">
        <v>1188</v>
      </c>
      <c r="Y219" s="13" t="s">
        <v>171</v>
      </c>
      <c r="Z219" s="14">
        <v>0.0</v>
      </c>
      <c r="AA219" s="14">
        <v>0.0</v>
      </c>
      <c r="AB219" s="14">
        <v>0.0</v>
      </c>
      <c r="AC219" s="14">
        <v>0.0</v>
      </c>
      <c r="AD219" s="2">
        <v>0.0</v>
      </c>
      <c r="AE219" s="2">
        <v>0.0</v>
      </c>
      <c r="AF219" s="2">
        <v>12.0</v>
      </c>
      <c r="AG219" s="2" t="s">
        <v>1178</v>
      </c>
      <c r="AH219" s="2">
        <v>0.0</v>
      </c>
    </row>
    <row r="220" ht="15.75" customHeight="1">
      <c r="A220" s="2" t="str">
        <f>IFERROR(__xludf.DUMMYFUNCTION("""COMPUTED_VALUE"""),"La Jornada")</f>
        <v>La Jornada</v>
      </c>
      <c r="B220" s="12" t="str">
        <f>IFERROR(__xludf.DUMMYFUNCTION("""COMPUTED_VALUE"""),"Hay inconsistencias en la demolición del teatro Manolo Fábregas: vecinos")</f>
        <v>Hay inconsistencias en la demolición del teatro Manolo Fábregas: vecinos</v>
      </c>
      <c r="C220" s="13" t="str">
        <f>IFERROR(__xludf.DUMMYFUNCTION("""COMPUTED_VALUE"""),"2025-12-28")</f>
        <v>2025-12-28</v>
      </c>
      <c r="D220" s="14">
        <f>IFERROR(__xludf.DUMMYFUNCTION("""COMPUTED_VALUE"""),1.0)</f>
        <v>1</v>
      </c>
      <c r="E220" s="15">
        <f>IFERROR(__xludf.DUMMYFUNCTION("""COMPUTED_VALUE"""),-0.936)</f>
        <v>-0.936</v>
      </c>
      <c r="F220" s="2" t="str">
        <f>IFERROR(__xludf.DUMMYFUNCTION("""COMPUTED_VALUE"""),"Negativo")</f>
        <v>Negativo</v>
      </c>
      <c r="G220" s="15">
        <f>IFERROR(__xludf.DUMMYFUNCTION("""COMPUTED_VALUE"""),0.936)</f>
        <v>0.936</v>
      </c>
      <c r="H220" s="2" t="str">
        <f>IFERROR(__xludf.DUMMYFUNCTION("""COMPUTED_VALUE"""),"Otros temas generales")</f>
        <v>Otros temas generales</v>
      </c>
      <c r="I220" s="2" t="str">
        <f>IFERROR(__xludf.DUMMYFUNCTION("""COMPUTED_VALUE"""),"N/A")</f>
        <v>N/A</v>
      </c>
      <c r="J220" s="2" t="str">
        <f>IFERROR(__xludf.DUMMYFUNCTION("""COMPUTED_VALUE"""),"Descartar / Baja prioridad.")</f>
        <v>Descartar / Baja prioridad.</v>
      </c>
      <c r="K220" s="2" t="str">
        <f>IFERROR(__xludf.DUMMYFUNCTION("""COMPUTED_VALUE"""),"Cuauhtémoc")</f>
        <v>Cuauhtémoc</v>
      </c>
      <c r="L220" s="2" t="str">
        <f>IFERROR(__xludf.DUMMYFUNCTION("""COMPUTED_VALUE"""),"Ciudad de México")</f>
        <v>Ciudad de México</v>
      </c>
      <c r="M220" s="16" t="str">
        <f>IFERROR(__xludf.DUMMYFUNCTION("""COMPUTED_VALUE"""),"https://www.jornada.com.mx/noticia/2025/12/28/capital/hay-inconsistencias-en-la-demolicion-del-teatro-manolo-fabregas-vecinos")</f>
        <v>https://www.jornada.com.mx/noticia/2025/12/28/capital/hay-inconsistencias-en-la-demolicion-del-teatro-manolo-fabregas-vecinos</v>
      </c>
      <c r="N220" s="2" t="str">
        <f>IFERROR(__xludf.DUMMYFUNCTION("""COMPUTED_VALUE"""),"Ante la inminente pérdida del teatro Manolo Fábregas con su consecuente impacto cultural y para evitar que en el predio, que supera los 2 mil 300 metros cuadrados de construcción, se edifiquen nuevas torres de departamentos, vecinos de la colonia San Rafa"&amp;"el se inconformaron con la administración de Alessandra Rojo de la Vega en la alcaldía Cuauhtémoc por las inconsistencias en la publicitación de demolición. De acuerdo con el oficio presentado en la dirección de obras y desarrollo urbano de dicha demarcac"&amp;"ión territorial, el permiso que se exhibe en el recinto, ubicado en la calle Serapio Rendón 15, tiene logotipos de la pasada administración 2021-2024. Además, no cuenta con estudio de impacto urbano ni ambiental, tampoco dictamen de riesgo y la publicitac"&amp;"ión está dirigida a los habitantes de la colonia Roma Norte, a pesar que el inmueble está en la San Rafael. El documento fue presentado antes del 11 de diciembre, que era el plazo que tenían los vecinos para inconformarse y detener el derrumbe del inmuebl"&amp;"e de planta baja y primer nivel a doble altura. Sin embargo, los residentes manifestaron que en el predio se han observado trabajos de demolición. La motivación principal de la querella es el temor a que se construyan nuevos conjuntos habitacionales; por "&amp;"eso, también difunden un video en el que advierten que una nueva obra sería “un acto de crimen urbanístico y depredación” para la San Rafael. Explicaron que la colonia se edificó sobre el antiguo lago, por lo cual reporta hundimientos; pese a eso, los des"&amp;"arrolladores siguen haciendo construcciones, pero un nuevo rascacielos afectará a toda la colonia porque sería un riesgo estructural ante la actividad sísmica. Asimismo, indicaron que el teatro Manolo Fábregas está rodeado de casas catalogadas que, con la"&amp;" demolición, la vibración y el nuevo peso de una construcción será un ataque directo a este patrimonio. Además, la falta de infraestructura en drenaje, agua potable sólo garantiza con la llegada de un desarrollo masivo se desate una crisis para las famili"&amp;"as. “Eliminar el teatro Manolo Fábregas es entregar la San Rafael a la gentrificación”. Luego de la inconformidad presentada por los vecinos, la alcaldía sólo se limitó a responder que realizaría la visita de verificación correspondiente para salvaguardar"&amp;" el cumplimiento de la normatividad.")</f>
        <v>Ante la inminente pérdida del teatro Manolo Fábregas con su consecuente impacto cultural y para evitar que en el predio, que supera los 2 mil 300 metros cuadrados de construcción, se edifiquen nuevas torres de departamentos, vecinos de la colonia San Rafael se inconformaron con la administración de Alessandra Rojo de la Vega en la alcaldía Cuauhtémoc por las inconsistencias en la publicitación de demolición. De acuerdo con el oficio presentado en la dirección de obras y desarrollo urbano de dicha demarcación territorial, el permiso que se exhibe en el recinto, ubicado en la calle Serapio Rendón 15, tiene logotipos de la pasada administración 2021-2024. Además, no cuenta con estudio de impacto urbano ni ambiental, tampoco dictamen de riesgo y la publicitación está dirigida a los habitantes de la colonia Roma Norte, a pesar que el inmueble está en la San Rafael. El documento fue presentado antes del 11 de diciembre, que era el plazo que tenían los vecinos para inconformarse y detener el derrumbe del inmueble de planta baja y primer nivel a doble altura. Sin embargo, los residentes manifestaron que en el predio se han observado trabajos de demolición. La motivación principal de la querella es el temor a que se construyan nuevos conjuntos habitacionales; por eso, también difunden un video en el que advierten que una nueva obra sería “un acto de crimen urbanístico y depredación” para la San Rafael. Explicaron que la colonia se edificó sobre el antiguo lago, por lo cual reporta hundimientos; pese a eso, los desarrolladores siguen haciendo construcciones, pero un nuevo rascacielos afectará a toda la colonia porque sería un riesgo estructural ante la actividad sísmica. Asimismo, indicaron que el teatro Manolo Fábregas está rodeado de casas catalogadas que, con la demolición, la vibración y el nuevo peso de una construcción será un ataque directo a este patrimonio. Además, la falta de infraestructura en drenaje, agua potable sólo garantiza con la llegada de un desarrollo masivo se desate una crisis para las familias. “Eliminar el teatro Manolo Fábregas es entregar la San Rafael a la gentrificación”. Luego de la inconformidad presentada por los vecinos, la alcaldía sólo se limitó a responder que realizaría la visita de verificación correspondiente para salvaguardar el cumplimiento de la normatividad.</v>
      </c>
      <c r="O220" s="15">
        <f>IFERROR(__xludf.DUMMYFUNCTION("""COMPUTED_VALUE"""),0.4376)</f>
        <v>0.4376</v>
      </c>
      <c r="P220" s="2"/>
      <c r="Q220" s="17">
        <f>IFERROR(__xludf.DUMMYFUNCTION("""COMPUTED_VALUE"""),2.0)</f>
        <v>2</v>
      </c>
      <c r="R220" s="2" t="str">
        <f>IFERROR(__xludf.DUMMYFUNCTION("""COMPUTED_VALUE"""),"Low")</f>
        <v>Low</v>
      </c>
      <c r="S220" s="17">
        <f>IFERROR(__xludf.DUMMYFUNCTION("""COMPUTED_VALUE"""),2.0)</f>
        <v>2</v>
      </c>
      <c r="T220" s="17">
        <f>IFERROR(__xludf.DUMMYFUNCTION("""COMPUTED_VALUE"""),0.0)</f>
        <v>0</v>
      </c>
      <c r="U220" s="14">
        <f>IFERROR(__xludf.DUMMYFUNCTION("""COMPUTED_VALUE"""),3.0)</f>
        <v>3</v>
      </c>
      <c r="V220" s="14">
        <v>2025.0</v>
      </c>
      <c r="W220" s="2" t="s">
        <v>1168</v>
      </c>
      <c r="X220" s="2" t="s">
        <v>1188</v>
      </c>
      <c r="Y220" s="13" t="s">
        <v>171</v>
      </c>
      <c r="Z220" s="14">
        <v>0.0</v>
      </c>
      <c r="AA220" s="14">
        <v>0.0</v>
      </c>
      <c r="AB220" s="14">
        <v>0.0</v>
      </c>
      <c r="AC220" s="14">
        <v>0.0</v>
      </c>
      <c r="AD220" s="2">
        <v>0.0</v>
      </c>
      <c r="AE220" s="2">
        <v>0.0</v>
      </c>
      <c r="AF220" s="2">
        <v>12.0</v>
      </c>
      <c r="AG220" s="2" t="s">
        <v>1205</v>
      </c>
      <c r="AH220" s="2">
        <v>0.0</v>
      </c>
    </row>
    <row r="221" ht="15.75" customHeight="1">
      <c r="A221" s="2" t="str">
        <f>IFERROR(__xludf.DUMMYFUNCTION("""COMPUTED_VALUE"""),"La Jornada")</f>
        <v>La Jornada</v>
      </c>
      <c r="B221" s="12" t="str">
        <f>IFERROR(__xludf.DUMMYFUNCTION("""COMPUTED_VALUE"""),"Mil 229 familias aún reciben apoyo para rentas por sismo de 2017")</f>
        <v>Mil 229 familias aún reciben apoyo para rentas por sismo de 2017</v>
      </c>
      <c r="C221" s="13" t="str">
        <f>IFERROR(__xludf.DUMMYFUNCTION("""COMPUTED_VALUE"""),"2025-12-28")</f>
        <v>2025-12-28</v>
      </c>
      <c r="D221" s="14">
        <f>IFERROR(__xludf.DUMMYFUNCTION("""COMPUTED_VALUE"""),2.0)</f>
        <v>2</v>
      </c>
      <c r="E221" s="15">
        <f>IFERROR(__xludf.DUMMYFUNCTION("""COMPUTED_VALUE"""),0.0)</f>
        <v>0</v>
      </c>
      <c r="F221" s="2" t="str">
        <f>IFERROR(__xludf.DUMMYFUNCTION("""COMPUTED_VALUE"""),"Neutral")</f>
        <v>Neutral</v>
      </c>
      <c r="G221" s="15">
        <f>IFERROR(__xludf.DUMMYFUNCTION("""COMPUTED_VALUE"""),0.5857)</f>
        <v>0.5857</v>
      </c>
      <c r="H221" s="2" t="str">
        <f>IFERROR(__xludf.DUMMYFUNCTION("""COMPUTED_VALUE"""),"Operativo policial o detención")</f>
        <v>Operativo policial o detención</v>
      </c>
      <c r="I221" s="2" t="str">
        <f>IFERROR(__xludf.DUMMYFUNCTION("""COMPUTED_VALUE"""),"N/A")</f>
        <v>N/A</v>
      </c>
      <c r="J221" s="2" t="str">
        <f>IFERROR(__xludf.DUMMYFUNCTION("""COMPUTED_VALUE"""),"Monitoreo general.")</f>
        <v>Monitoreo general.</v>
      </c>
      <c r="K221" s="2" t="str">
        <f>IFERROR(__xludf.DUMMYFUNCTION("""COMPUTED_VALUE"""),"Ciudad de México")</f>
        <v>Ciudad de México</v>
      </c>
      <c r="L221" s="2" t="str">
        <f>IFERROR(__xludf.DUMMYFUNCTION("""COMPUTED_VALUE"""),"Ciudad de México")</f>
        <v>Ciudad de México</v>
      </c>
      <c r="M221" s="16" t="str">
        <f>IFERROR(__xludf.DUMMYFUNCTION("""COMPUTED_VALUE"""),"https://www.jornada.com.mx/noticia/2025/12/28/capital/mil-229-familias-aun-reciben-apoyo-para-rentas-por-sismo-de-2017")</f>
        <v>https://www.jornada.com.mx/noticia/2025/12/28/capital/mil-229-familias-aun-reciben-apoyo-para-rentas-por-sismo-de-2017</v>
      </c>
      <c r="N221" s="2" t="str">
        <f>IFERROR(__xludf.DUMMYFUNCTION("""COMPUTED_VALUE"""),"Ciudad de México.Un total de mil 229 familias damnificadas por el sismo de 2017 aún reciben apoyo para renta por parte del Gobierno de la Ciudad de México, en tanto se concluye la rehabilitación o reconstrucción de sus viviendas. Según datos de la Comisió"&amp;"n para la Reconstrucción de la Ciudad de México, de 2019 a noviembre de este año se han erogado más de mil 677 millones de pesos en ese rubro. En un principio, el apoyo era de 4 mil pesos mensuales; sin embargo, desde el año pasado se incrementó a 5 mil 3"&amp;"95, ajuste calculado con base en la inflación. Dicho ayuda se encuentra estipulada en el Plan para la Reconstrucción Integral de la Ciudad de México dirigido a las personas que tuvieron que desocupar su vivienda en tanto se refuerzan o rehabilitan, por lo"&amp;" que el número de apoyos entregados a la fecha suman 413 mil 117. En enero de este año se destinaron 7 millones 430 mil 292 en este programa, cifra que para octubre se redujo a 6 millones 820 mil 544 pesos, según los datos publicados por la Comisión para "&amp;"la Reconstrucción en el portal de transparencia. La mayoría están relacionadas con viviendas ubicadas en las alcaldías Coyoacán, Cuauhtémoc, Benito Juárez e Iztapalapa, y en menor medida Miguel Hidalgo y Tlalpan. Por otro lado, el gasto ejercido en la rec"&amp;"onstrucción de 2019 a la fecha suma más de 9 mil 149 millones de pesos; 56 por ciento se destinaron a la vivienda multifamiliar y 39 por ciento a la de tipo unifamiliar. Los datos de la comisión señalan que hasta el 11 de diciembre se habían entregado 20 "&amp;"mil 246 viviendas dañadas por el terremoto, de un total de 22 mil 95. De los inmuebles en los que ya se concluyeron las obras, 7 mil 16 fueron reconstruidos, mientras en 13 mil 238 se realizaron trabajos de rehabilitación. En tanto, 433 familias fueron re"&amp;"ubicadas debido a que sus viviendas se localizaban en un predio cuyas condiciones geológicas no pueden ser mitigadas, ya sea por grietas, fallas, fracturas o escalonamientos, que ponen en riesgo su seguridad. En este rubro se utilizaron dos modelos de ate"&amp;"nción: la reubicación a una vivienda localizada en suelo seguro; en los casos en que no se haya podido acreditar la propiedad del inmueble afectado o se encuentren en el supuesto de familia extendida o desdoblada, el acceso al beneficio es por medio de un"&amp;" crédito del Instituto de Vivienda local. El otro esquema fue la entrega de un apoyo económico, a quienes decidieron buscar por cuenta propia otra opción, por un monto máximo de 520 mil pesos.")</f>
        <v>Ciudad de México.Un total de mil 229 familias damnificadas por el sismo de 2017 aún reciben apoyo para renta por parte del Gobierno de la Ciudad de México, en tanto se concluye la rehabilitación o reconstrucción de sus viviendas. Según datos de la Comisión para la Reconstrucción de la Ciudad de México, de 2019 a noviembre de este año se han erogado más de mil 677 millones de pesos en ese rubro. En un principio, el apoyo era de 4 mil pesos mensuales; sin embargo, desde el año pasado se incrementó a 5 mil 395, ajuste calculado con base en la inflación. Dicho ayuda se encuentra estipulada en el Plan para la Reconstrucción Integral de la Ciudad de México dirigido a las personas que tuvieron que desocupar su vivienda en tanto se refuerzan o rehabilitan, por lo que el número de apoyos entregados a la fecha suman 413 mil 117. En enero de este año se destinaron 7 millones 430 mil 292 en este programa, cifra que para octubre se redujo a 6 millones 820 mil 544 pesos, según los datos publicados por la Comisión para la Reconstrucción en el portal de transparencia. La mayoría están relacionadas con viviendas ubicadas en las alcaldías Coyoacán, Cuauhtémoc, Benito Juárez e Iztapalapa, y en menor medida Miguel Hidalgo y Tlalpan. Por otro lado, el gasto ejercido en la reconstrucción de 2019 a la fecha suma más de 9 mil 149 millones de pesos; 56 por ciento se destinaron a la vivienda multifamiliar y 39 por ciento a la de tipo unifamiliar. Los datos de la comisión señalan que hasta el 11 de diciembre se habían entregado 20 mil 246 viviendas dañadas por el terremoto, de un total de 22 mil 95. De los inmuebles en los que ya se concluyeron las obras, 7 mil 16 fueron reconstruidos, mientras en 13 mil 238 se realizaron trabajos de rehabilitación. En tanto, 433 familias fueron reubicadas debido a que sus viviendas se localizaban en un predio cuyas condiciones geológicas no pueden ser mitigadas, ya sea por grietas, fallas, fracturas o escalonamientos, que ponen en riesgo su seguridad. En este rubro se utilizaron dos modelos de atención: la reubicación a una vivienda localizada en suelo seguro; en los casos en que no se haya podido acreditar la propiedad del inmueble afectado o se encuentren en el supuesto de familia extendida o desdoblada, el acceso al beneficio es por medio de un crédito del Instituto de Vivienda local. El otro esquema fue la entrega de un apoyo económico, a quienes decidieron buscar por cuenta propia otra opción, por un monto máximo de 520 mil pesos.</v>
      </c>
      <c r="O221" s="15">
        <f>IFERROR(__xludf.DUMMYFUNCTION("""COMPUTED_VALUE"""),0.2819)</f>
        <v>0.2819</v>
      </c>
      <c r="P221" s="2"/>
      <c r="Q221" s="17">
        <f>IFERROR(__xludf.DUMMYFUNCTION("""COMPUTED_VALUE"""),5.0)</f>
        <v>5</v>
      </c>
      <c r="R221" s="2" t="str">
        <f>IFERROR(__xludf.DUMMYFUNCTION("""COMPUTED_VALUE"""),"Low")</f>
        <v>Low</v>
      </c>
      <c r="S221" s="17">
        <f>IFERROR(__xludf.DUMMYFUNCTION("""COMPUTED_VALUE"""),0.0)</f>
        <v>0</v>
      </c>
      <c r="T221" s="17">
        <f>IFERROR(__xludf.DUMMYFUNCTION("""COMPUTED_VALUE"""),0.0)</f>
        <v>0</v>
      </c>
      <c r="U221" s="14">
        <f>IFERROR(__xludf.DUMMYFUNCTION("""COMPUTED_VALUE"""),3.0)</f>
        <v>3</v>
      </c>
      <c r="V221" s="14">
        <v>2025.0</v>
      </c>
      <c r="W221" s="2" t="s">
        <v>1168</v>
      </c>
      <c r="X221" s="2" t="s">
        <v>1188</v>
      </c>
      <c r="Y221" s="13" t="s">
        <v>171</v>
      </c>
      <c r="Z221" s="14">
        <v>0.0</v>
      </c>
      <c r="AA221" s="14">
        <v>0.0</v>
      </c>
      <c r="AB221" s="14">
        <v>0.0</v>
      </c>
      <c r="AC221" s="14">
        <v>0.0</v>
      </c>
      <c r="AD221" s="2">
        <v>0.0</v>
      </c>
      <c r="AE221" s="2">
        <v>0.0</v>
      </c>
      <c r="AF221" s="2">
        <v>12.0</v>
      </c>
      <c r="AG221" s="2" t="s">
        <v>1175</v>
      </c>
      <c r="AH221" s="2">
        <v>0.0</v>
      </c>
    </row>
    <row r="222" ht="15.75" customHeight="1">
      <c r="A222" s="2" t="str">
        <f>IFERROR(__xludf.DUMMYFUNCTION("""COMPUTED_VALUE"""),"La Jornada")</f>
        <v>La Jornada</v>
      </c>
      <c r="B222" s="12" t="str">
        <f>IFERROR(__xludf.DUMMYFUNCTION("""COMPUTED_VALUE"""),"Con programa preventivo, evitan 104 intentos de suicidio en el Metro de la CDMX")</f>
        <v>Con programa preventivo, evitan 104 intentos de suicidio en el Metro de la CDMX</v>
      </c>
      <c r="C222" s="13" t="str">
        <f>IFERROR(__xludf.DUMMYFUNCTION("""COMPUTED_VALUE"""),"2025-12-27")</f>
        <v>2025-12-27</v>
      </c>
      <c r="D222" s="14">
        <f>IFERROR(__xludf.DUMMYFUNCTION("""COMPUTED_VALUE"""),1.0)</f>
        <v>1</v>
      </c>
      <c r="E222" s="15">
        <f>IFERROR(__xludf.DUMMYFUNCTION("""COMPUTED_VALUE"""),-0.5761)</f>
        <v>-0.5761</v>
      </c>
      <c r="F222" s="2" t="str">
        <f>IFERROR(__xludf.DUMMYFUNCTION("""COMPUTED_VALUE"""),"Negativo")</f>
        <v>Negativo</v>
      </c>
      <c r="G222" s="15">
        <f>IFERROR(__xludf.DUMMYFUNCTION("""COMPUTED_VALUE"""),0.5761)</f>
        <v>0.5761</v>
      </c>
      <c r="H222" s="2" t="str">
        <f>IFERROR(__xludf.DUMMYFUNCTION("""COMPUTED_VALUE"""),"Noticia corporativa o regulación de transporte")</f>
        <v>Noticia corporativa o regulación de transporte</v>
      </c>
      <c r="I222" s="2" t="str">
        <f>IFERROR(__xludf.DUMMYFUNCTION("""COMPUTED_VALUE"""),"N/A")</f>
        <v>N/A</v>
      </c>
      <c r="J222" s="2" t="str">
        <f>IFERROR(__xludf.DUMMYFUNCTION("""COMPUTED_VALUE"""),"Monitoreo general.")</f>
        <v>Monitoreo general.</v>
      </c>
      <c r="K222" s="2" t="str">
        <f>IFERROR(__xludf.DUMMYFUNCTION("""COMPUTED_VALUE"""),"Ciudad de México")</f>
        <v>Ciudad de México</v>
      </c>
      <c r="L222" s="2" t="str">
        <f>IFERROR(__xludf.DUMMYFUNCTION("""COMPUTED_VALUE"""),"Ciudad de México")</f>
        <v>Ciudad de México</v>
      </c>
      <c r="M222" s="16" t="str">
        <f>IFERROR(__xludf.DUMMYFUNCTION("""COMPUTED_VALUE"""),"https://www.jornada.com.mx/noticia/2025/12/27/capital/metro-evita-104-atentados-contra-la-vida-propia-en-2025")</f>
        <v>https://www.jornada.com.mx/noticia/2025/12/27/capital/metro-evita-104-atentados-contra-la-vida-propia-en-2025</v>
      </c>
      <c r="N222" s="2" t="str">
        <f>IFERROR(__xludf.DUMMYFUNCTION("""COMPUTED_VALUE"""),"Ciudad de México.El Metro es el sitio donde más personas intentan quitarse la vida, sin embargo, a través del programa Salvemos Vidas del Sistema de Transporte Colectivo se logró la contención de 104 ciudadanos que trataron de suicidarse o que presentaban"&amp;" fuertes crisis emocionales durante este año que termina. Los datos del sistema detallan que, en promedio al año han apoyado a 97 personas, a quienes también las reúnen con sus familiares. La asistencia no solo se concentra en atender la crisis, también s"&amp;"e les ha proporcionó atención psicológica personalizada, incluso traslados a unidades de atención especializada. El programa se realiza desde el 2016, desde ese año se han apoyado a un total de 872 personas. El personal del programa, lo conforman profesio"&amp;"nistas en psicología, quienes han capacitado a policías de la Secretaría de Seguridad Ciudadana de la ciudad de México asignados a vigilancia en las estaciones, así como al personal de la gerencia de Seguridad Institucional del Metro. La capacitación incl"&amp;"uyó guías de apoyo para la detección y disuasión de personas con comportamiento suicida en las instalaciones del STC Metro; empatía, manejo de situaciones de crisis y gestión emocional; también, abordaje de usuarios consumidores de sustancias psicoactivas"&amp;". Además para reforzar los esquemas de contención, Salvemos Vidas mantiene una agenda anual de instalación de módulos informativos itinerantes en la red y cuenta con un módulo permanente, en la estación Juárez de Línea 3, en un horario de 10:00 a 18:00 ho"&amp;"ras, con atención de personal especializado en psicología.")</f>
        <v>Ciudad de México.El Metro es el sitio donde más personas intentan quitarse la vida, sin embargo, a través del programa Salvemos Vidas del Sistema de Transporte Colectivo se logró la contención de 104 ciudadanos que trataron de suicidarse o que presentaban fuertes crisis emocionales durante este año que termina. Los datos del sistema detallan que, en promedio al año han apoyado a 97 personas, a quienes también las reúnen con sus familiares. La asistencia no solo se concentra en atender la crisis, también se les ha proporcionó atención psicológica personalizada, incluso traslados a unidades de atención especializada. El programa se realiza desde el 2016, desde ese año se han apoyado a un total de 872 personas. El personal del programa, lo conforman profesionistas en psicología, quienes han capacitado a policías de la Secretaría de Seguridad Ciudadana de la ciudad de México asignados a vigilancia en las estaciones, así como al personal de la gerencia de Seguridad Institucional del Metro. La capacitación incluyó guías de apoyo para la detección y disuasión de personas con comportamiento suicida en las instalaciones del STC Metro; empatía, manejo de situaciones de crisis y gestión emocional; también, abordaje de usuarios consumidores de sustancias psicoactivas. Además para reforzar los esquemas de contención, Salvemos Vidas mantiene una agenda anual de instalación de módulos informativos itinerantes en la red y cuenta con un módulo permanente, en la estación Juárez de Línea 3, en un horario de 10:00 a 18:00 horas, con atención de personal especializado en psicología.</v>
      </c>
      <c r="O222" s="15">
        <f>IFERROR(__xludf.DUMMYFUNCTION("""COMPUTED_VALUE"""),0.5837)</f>
        <v>0.5837</v>
      </c>
      <c r="P222" s="2"/>
      <c r="Q222" s="17">
        <f>IFERROR(__xludf.DUMMYFUNCTION("""COMPUTED_VALUE"""),8.0)</f>
        <v>8</v>
      </c>
      <c r="R222" s="2" t="str">
        <f>IFERROR(__xludf.DUMMYFUNCTION("""COMPUTED_VALUE"""),"High")</f>
        <v>High</v>
      </c>
      <c r="S222" s="17">
        <f>IFERROR(__xludf.DUMMYFUNCTION("""COMPUTED_VALUE"""),5.0)</f>
        <v>5</v>
      </c>
      <c r="T222" s="17">
        <f>IFERROR(__xludf.DUMMYFUNCTION("""COMPUTED_VALUE"""),0.0)</f>
        <v>0</v>
      </c>
      <c r="U222" s="14">
        <f>IFERROR(__xludf.DUMMYFUNCTION("""COMPUTED_VALUE"""),3.0)</f>
        <v>3</v>
      </c>
      <c r="V222" s="14">
        <v>2025.0</v>
      </c>
      <c r="W222" s="2" t="s">
        <v>1168</v>
      </c>
      <c r="X222" s="2" t="s">
        <v>1194</v>
      </c>
      <c r="Y222" s="13" t="s">
        <v>231</v>
      </c>
      <c r="Z222" s="14">
        <v>0.0</v>
      </c>
      <c r="AA222" s="14">
        <v>0.0</v>
      </c>
      <c r="AB222" s="14">
        <v>0.0</v>
      </c>
      <c r="AC222" s="14">
        <v>0.0</v>
      </c>
      <c r="AD222" s="2">
        <v>0.0</v>
      </c>
      <c r="AE222" s="2">
        <v>0.0</v>
      </c>
      <c r="AF222" s="2">
        <v>12.0</v>
      </c>
      <c r="AG222" s="2" t="s">
        <v>1175</v>
      </c>
      <c r="AH222" s="2">
        <v>0.0</v>
      </c>
    </row>
    <row r="223" ht="15.75" customHeight="1">
      <c r="A223" s="2" t="str">
        <f>IFERROR(__xludf.DUMMYFUNCTION("""COMPUTED_VALUE"""),"La Jornada")</f>
        <v>La Jornada</v>
      </c>
      <c r="B223" s="12" t="str">
        <f>IFERROR(__xludf.DUMMYFUNCTION("""COMPUTED_VALUE"""),"Joven es detenido tras atropellar a policía en punto de revisión en La Lagunilla")</f>
        <v>Joven es detenido tras atropellar a policía en punto de revisión en La Lagunilla</v>
      </c>
      <c r="C223" s="13" t="str">
        <f>IFERROR(__xludf.DUMMYFUNCTION("""COMPUTED_VALUE"""),"2025-12-27")</f>
        <v>2025-12-27</v>
      </c>
      <c r="D223" s="14">
        <f>IFERROR(__xludf.DUMMYFUNCTION("""COMPUTED_VALUE"""),2.0)</f>
        <v>2</v>
      </c>
      <c r="E223" s="15">
        <f>IFERROR(__xludf.DUMMYFUNCTION("""COMPUTED_VALUE"""),-0.4621)</f>
        <v>-0.4621</v>
      </c>
      <c r="F223" s="2" t="str">
        <f>IFERROR(__xludf.DUMMYFUNCTION("""COMPUTED_VALUE"""),"Negativo")</f>
        <v>Negativo</v>
      </c>
      <c r="G223" s="15">
        <f>IFERROR(__xludf.DUMMYFUNCTION("""COMPUTED_VALUE"""),0.4621)</f>
        <v>0.4621</v>
      </c>
      <c r="H223" s="2" t="str">
        <f>IFERROR(__xludf.DUMMYFUNCTION("""COMPUTED_VALUE"""),"Operativo policial o detención")</f>
        <v>Operativo policial o detención</v>
      </c>
      <c r="I223" s="2" t="str">
        <f>IFERROR(__xludf.DUMMYFUNCTION("""COMPUTED_VALUE"""),"N/A")</f>
        <v>N/A</v>
      </c>
      <c r="J223" s="2" t="str">
        <f>IFERROR(__xludf.DUMMYFUNCTION("""COMPUTED_VALUE"""),"Monitoreo general.")</f>
        <v>Monitoreo general.</v>
      </c>
      <c r="K223" s="2" t="str">
        <f>IFERROR(__xludf.DUMMYFUNCTION("""COMPUTED_VALUE"""),"Ciudad de México")</f>
        <v>Ciudad de México</v>
      </c>
      <c r="L223" s="2" t="str">
        <f>IFERROR(__xludf.DUMMYFUNCTION("""COMPUTED_VALUE"""),"Ciudad de México")</f>
        <v>Ciudad de México</v>
      </c>
      <c r="M223" s="16" t="str">
        <f>IFERROR(__xludf.DUMMYFUNCTION("""COMPUTED_VALUE"""),"https://www.jornada.com.mx/noticia/2025/12/27/capital/joven-es-detenido-tras-atropellar-a-policia-en-punto-de-revision-en-la-lagunilla")</f>
        <v>https://www.jornada.com.mx/noticia/2025/12/27/capital/joven-es-detenido-tras-atropellar-a-policia-en-punto-de-revision-en-la-lagunilla</v>
      </c>
      <c r="N223" s="2" t="str">
        <f>IFERROR(__xludf.DUMMYFUNCTION("""COMPUTED_VALUE"""),"Ciudad de México. Un joven fue detenido por elementos de la Subsecretaría de Control de Tránsito luego de atropellar a un uniformado con su motocicleta, para evitar una revisión en las inmediaciones del mercado de La Lagunilla. Como parte del programa de "&amp;"revisión a motociclistas, los oficiales establecieron un dispositivo sobre el Eje 1 Norte Rayón y la calle Comonfort, en la colonia Morelos, cuando le marcaron el alto a un motociclista que no portaba la placa de circulación. En ese momento, el sujeto hiz"&amp;"o caso omiso a la indicación y ante la proximidad de los uniformados intentó emprender la huida por lo que impactó a un oficial de Tránsito. Paramédicos de la Cruz Roja Mexicana que arribaron al punto, diagnosticaron al uniformado con fractura de tibia, m"&amp;"otivo por el cual lo trasladaron a un hospital para su atención médica especializada. En tanto el joven de 20 años de edad fue detenido y junto con la motocicleta asegurada, fue presentado ante el agente del Ministerio Público correspondiente, quien se en"&amp;"cargará de definir su situación jurídica.")</f>
        <v>Ciudad de México. Un joven fue detenido por elementos de la Subsecretaría de Control de Tránsito luego de atropellar a un uniformado con su motocicleta, para evitar una revisión en las inmediaciones del mercado de La Lagunilla. Como parte del programa de revisión a motociclistas, los oficiales establecieron un dispositivo sobre el Eje 1 Norte Rayón y la calle Comonfort, en la colonia Morelos, cuando le marcaron el alto a un motociclista que no portaba la placa de circulación. En ese momento, el sujeto hizo caso omiso a la indicación y ante la proximidad de los uniformados intentó emprender la huida por lo que impactó a un oficial de Tránsito. Paramédicos de la Cruz Roja Mexicana que arribaron al punto, diagnosticaron al uniformado con fractura de tibia, motivo por el cual lo trasladaron a un hospital para su atención médica especializada. En tanto el joven de 20 años de edad fue detenido y junto con la motocicleta asegurada, fue presentado ante el agente del Ministerio Público correspondiente, quien se encargará de definir su situación jurídica.</v>
      </c>
      <c r="O223" s="15">
        <f>IFERROR(__xludf.DUMMYFUNCTION("""COMPUTED_VALUE"""),0.7183)</f>
        <v>0.7183</v>
      </c>
      <c r="P223" s="2"/>
      <c r="Q223" s="17">
        <f>IFERROR(__xludf.DUMMYFUNCTION("""COMPUTED_VALUE"""),5.0)</f>
        <v>5</v>
      </c>
      <c r="R223" s="2" t="str">
        <f>IFERROR(__xludf.DUMMYFUNCTION("""COMPUTED_VALUE"""),"High")</f>
        <v>High</v>
      </c>
      <c r="S223" s="17">
        <f>IFERROR(__xludf.DUMMYFUNCTION("""COMPUTED_VALUE"""),3.0)</f>
        <v>3</v>
      </c>
      <c r="T223" s="17">
        <f>IFERROR(__xludf.DUMMYFUNCTION("""COMPUTED_VALUE"""),0.0)</f>
        <v>0</v>
      </c>
      <c r="U223" s="14">
        <f>IFERROR(__xludf.DUMMYFUNCTION("""COMPUTED_VALUE"""),3.0)</f>
        <v>3</v>
      </c>
      <c r="V223" s="14">
        <v>2025.0</v>
      </c>
      <c r="W223" s="2" t="s">
        <v>1168</v>
      </c>
      <c r="X223" s="2" t="s">
        <v>1194</v>
      </c>
      <c r="Y223" s="13" t="s">
        <v>231</v>
      </c>
      <c r="Z223" s="14">
        <v>0.0</v>
      </c>
      <c r="AA223" s="14">
        <v>0.0</v>
      </c>
      <c r="AB223" s="14">
        <v>0.0</v>
      </c>
      <c r="AC223" s="14">
        <v>0.0</v>
      </c>
      <c r="AD223" s="2">
        <v>0.0</v>
      </c>
      <c r="AE223" s="2">
        <v>0.0</v>
      </c>
      <c r="AF223" s="2">
        <v>12.0</v>
      </c>
      <c r="AG223" s="2" t="s">
        <v>1175</v>
      </c>
      <c r="AH223" s="2">
        <v>0.0</v>
      </c>
    </row>
    <row r="224" ht="15.75" customHeight="1">
      <c r="A224" s="2" t="str">
        <f>IFERROR(__xludf.DUMMYFUNCTION("""COMPUTED_VALUE"""),"La Jornada")</f>
        <v>La Jornada</v>
      </c>
      <c r="B224" s="12" t="str">
        <f>IFERROR(__xludf.DUMMYFUNCTION("""COMPUTED_VALUE"""),"Venta de nochebuenas deja derrama por 98 millones de pesos: Sedema")</f>
        <v>Venta de nochebuenas deja derrama por 98 millones de pesos: Sedema</v>
      </c>
      <c r="C224" s="13" t="str">
        <f>IFERROR(__xludf.DUMMYFUNCTION("""COMPUTED_VALUE"""),"2025-12-27")</f>
        <v>2025-12-27</v>
      </c>
      <c r="D224" s="14">
        <f>IFERROR(__xludf.DUMMYFUNCTION("""COMPUTED_VALUE"""),1.0)</f>
        <v>1</v>
      </c>
      <c r="E224" s="15">
        <f>IFERROR(__xludf.DUMMYFUNCTION("""COMPUTED_VALUE"""),0.5409)</f>
        <v>0.5409</v>
      </c>
      <c r="F224" s="2" t="str">
        <f>IFERROR(__xludf.DUMMYFUNCTION("""COMPUTED_VALUE"""),"Positivo")</f>
        <v>Positivo</v>
      </c>
      <c r="G224" s="15">
        <f>IFERROR(__xludf.DUMMYFUNCTION("""COMPUTED_VALUE"""),0.5409)</f>
        <v>0.5409</v>
      </c>
      <c r="H224" s="2" t="str">
        <f>IFERROR(__xludf.DUMMYFUNCTION("""COMPUTED_VALUE"""),"Otros temas generales")</f>
        <v>Otros temas generales</v>
      </c>
      <c r="I224" s="2" t="str">
        <f>IFERROR(__xludf.DUMMYFUNCTION("""COMPUTED_VALUE"""),"N/A")</f>
        <v>N/A</v>
      </c>
      <c r="J224" s="2" t="str">
        <f>IFERROR(__xludf.DUMMYFUNCTION("""COMPUTED_VALUE"""),"Descartar / Baja prioridad.")</f>
        <v>Descartar / Baja prioridad.</v>
      </c>
      <c r="K224" s="2" t="str">
        <f>IFERROR(__xludf.DUMMYFUNCTION("""COMPUTED_VALUE"""),"Ciudad de México")</f>
        <v>Ciudad de México</v>
      </c>
      <c r="L224" s="2" t="str">
        <f>IFERROR(__xludf.DUMMYFUNCTION("""COMPUTED_VALUE"""),"Ciudad de México")</f>
        <v>Ciudad de México</v>
      </c>
      <c r="M224" s="16" t="str">
        <f>IFERROR(__xludf.DUMMYFUNCTION("""COMPUTED_VALUE"""),"https://www.jornada.com.mx/noticia/2025/12/27/capital/venta-de-nochebuenas-deja-derrama-por-98-millones-de-pesos-sedema")</f>
        <v>https://www.jornada.com.mx/noticia/2025/12/27/capital/venta-de-nochebuenas-deja-derrama-por-98-millones-de-pesos-sedema</v>
      </c>
      <c r="N224" s="2" t="str">
        <f>IFERROR(__xludf.DUMMYFUNCTION("""COMPUTED_VALUE"""),"Ciudad de México.La Secretaría de Medio Ambiente (Sedema) informó que la temporada de comercialización de flores de nochebuena dejó una derrama por más de 98 millones de pesos gracias a la venta de un millón 711 mil 336 plantas, lo que significó 91 por ci"&amp;"ento de la producción total lograda en el suelo de conservación de la capital. Esto benefició a 216 productores, principalmente de cinco pueblos de Xochimilco, quienes recibieron apoyos económicos como parte del programa Altépetl Bienestar, que incluyó ad"&amp;"emás de capacitación técnica, inversión en infraestructura rural, acceso a tecnología y estrategias de comercialización. Las nochebuenas fueron cultivadas en 29.6 hectáreas ubicadas en zonas productoras de los pueblos San Luis Tlaxialtemalco, San Gregorio"&amp;" Atlapulco, Santiago Tepalcatlalpan, San Juan Ixtayopan y Santiago Tulyehualco, logrando una producción total de un millón 874 mil 453 plantas, la más alta registrada en los pasados cinco años. Además, se apoyó a los productores con la habilitación de cam"&amp;"inos rurales para visitar las áreas de siembra y comprar la flor en el mismo lugar, como el denominado Sendero de la estrella de invierno. También se instalaron puntos de venta directa, como el llamado Festival de Flores de Nochebuena en la Puerta de los "&amp;"Leones del Bosque de Chapultepec y el Zócalo, además de campañas de difusión para promover el consumo local y fortalecer la identidad cultural del producto. Todo se hizo con el apoyo de las autoridades capitalinas; de esa manera, indicó la dependencia, re"&amp;"afirman su compromiso con las familias del campo capitalino, al impulsar una producción local sostenible, promoviendo el consumo directo con productores y se fortalece el bienestar de quienes cuidan el territorio, la biodiversidad y las tradiciones de la "&amp;"capital. “Fortalecer la economía local es indispensable para apoyar y dignificar el trabajo de los productores del suelo de conservación. Además, es un paso para la economía circular con la que la trazabilidad de los productos (origen y destino) es clara."&amp;"” La Sedema agregó que el esfuerzo de los productores contribuye a la conservación del suelo, ya que permite mantener vivos los servicios ambientales que benefician a la metrópoli, como la recarga de acuíferos, la regulación climática y la protección de l"&amp;"a biodiversidad.")</f>
        <v>Ciudad de México.La Secretaría de Medio Ambiente (Sedema) informó que la temporada de comercialización de flores de nochebuena dejó una derrama por más de 98 millones de pesos gracias a la venta de un millón 711 mil 336 plantas, lo que significó 91 por ciento de la producción total lograda en el suelo de conservación de la capital. Esto benefició a 216 productores, principalmente de cinco pueblos de Xochimilco, quienes recibieron apoyos económicos como parte del programa Altépetl Bienestar, que incluyó además de capacitación técnica, inversión en infraestructura rural, acceso a tecnología y estrategias de comercialización. Las nochebuenas fueron cultivadas en 29.6 hectáreas ubicadas en zonas productoras de los pueblos San Luis Tlaxialtemalco, San Gregorio Atlapulco, Santiago Tepalcatlalpan, San Juan Ixtayopan y Santiago Tulyehualco, logrando una producción total de un millón 874 mil 453 plantas, la más alta registrada en los pasados cinco años. Además, se apoyó a los productores con la habilitación de caminos rurales para visitar las áreas de siembra y comprar la flor en el mismo lugar, como el denominado Sendero de la estrella de invierno. También se instalaron puntos de venta directa, como el llamado Festival de Flores de Nochebuena en la Puerta de los Leones del Bosque de Chapultepec y el Zócalo, además de campañas de difusión para promover el consumo local y fortalecer la identidad cultural del producto. Todo se hizo con el apoyo de las autoridades capitalinas; de esa manera, indicó la dependencia, reafirman su compromiso con las familias del campo capitalino, al impulsar una producción local sostenible, promoviendo el consumo directo con productores y se fortalece el bienestar de quienes cuidan el territorio, la biodiversidad y las tradiciones de la capital. “Fortalecer la economía local es indispensable para apoyar y dignificar el trabajo de los productores del suelo de conservación. Además, es un paso para la economía circular con la que la trazabilidad de los productos (origen y destino) es clara.” La Sedema agregó que el esfuerzo de los productores contribuye a la conservación del suelo, ya que permite mantener vivos los servicios ambientales que benefician a la metrópoli, como la recarga de acuíferos, la regulación climática y la protección de la biodiversidad.</v>
      </c>
      <c r="O224" s="15">
        <f>IFERROR(__xludf.DUMMYFUNCTION("""COMPUTED_VALUE"""),0.2859)</f>
        <v>0.2859</v>
      </c>
      <c r="P224" s="2"/>
      <c r="Q224" s="17">
        <f>IFERROR(__xludf.DUMMYFUNCTION("""COMPUTED_VALUE"""),5.0)</f>
        <v>5</v>
      </c>
      <c r="R224" s="2" t="str">
        <f>IFERROR(__xludf.DUMMYFUNCTION("""COMPUTED_VALUE"""),"Medium")</f>
        <v>Medium</v>
      </c>
      <c r="S224" s="17">
        <f>IFERROR(__xludf.DUMMYFUNCTION("""COMPUTED_VALUE"""),1.0)</f>
        <v>1</v>
      </c>
      <c r="T224" s="17">
        <f>IFERROR(__xludf.DUMMYFUNCTION("""COMPUTED_VALUE"""),0.0)</f>
        <v>0</v>
      </c>
      <c r="U224" s="14">
        <f>IFERROR(__xludf.DUMMYFUNCTION("""COMPUTED_VALUE"""),3.0)</f>
        <v>3</v>
      </c>
      <c r="V224" s="14">
        <v>2025.0</v>
      </c>
      <c r="W224" s="2" t="s">
        <v>1168</v>
      </c>
      <c r="X224" s="2" t="s">
        <v>1194</v>
      </c>
      <c r="Y224" s="13" t="s">
        <v>231</v>
      </c>
      <c r="Z224" s="14">
        <v>0.0</v>
      </c>
      <c r="AA224" s="14">
        <v>0.0</v>
      </c>
      <c r="AB224" s="14">
        <v>0.0</v>
      </c>
      <c r="AC224" s="14">
        <v>0.0</v>
      </c>
      <c r="AD224" s="2">
        <v>0.0</v>
      </c>
      <c r="AE224" s="2">
        <v>0.0</v>
      </c>
      <c r="AF224" s="2">
        <v>12.0</v>
      </c>
      <c r="AG224" s="2" t="s">
        <v>1175</v>
      </c>
      <c r="AH224" s="2">
        <v>0.0</v>
      </c>
    </row>
    <row r="225" ht="15.75" customHeight="1">
      <c r="A225" s="2" t="str">
        <f>IFERROR(__xludf.DUMMYFUNCTION("""COMPUTED_VALUE"""),"La Jornada")</f>
        <v>La Jornada</v>
      </c>
      <c r="B225" s="12" t="str">
        <f>IFERROR(__xludf.DUMMYFUNCTION("""COMPUTED_VALUE"""),"La Zona Rosa es segura, afirman comerciantes")</f>
        <v>La Zona Rosa es segura, afirman comerciantes</v>
      </c>
      <c r="C225" s="13" t="str">
        <f>IFERROR(__xludf.DUMMYFUNCTION("""COMPUTED_VALUE"""),"2025-12-27")</f>
        <v>2025-12-27</v>
      </c>
      <c r="D225" s="14">
        <f>IFERROR(__xludf.DUMMYFUNCTION("""COMPUTED_VALUE"""),1.0)</f>
        <v>1</v>
      </c>
      <c r="E225" s="15">
        <f>IFERROR(__xludf.DUMMYFUNCTION("""COMPUTED_VALUE"""),0.673)</f>
        <v>0.673</v>
      </c>
      <c r="F225" s="2" t="str">
        <f>IFERROR(__xludf.DUMMYFUNCTION("""COMPUTED_VALUE"""),"Positivo")</f>
        <v>Positivo</v>
      </c>
      <c r="G225" s="15">
        <f>IFERROR(__xludf.DUMMYFUNCTION("""COMPUTED_VALUE"""),0.673)</f>
        <v>0.673</v>
      </c>
      <c r="H225" s="2" t="str">
        <f>IFERROR(__xludf.DUMMYFUNCTION("""COMPUTED_VALUE"""),"Otros temas generales")</f>
        <v>Otros temas generales</v>
      </c>
      <c r="I225" s="2" t="str">
        <f>IFERROR(__xludf.DUMMYFUNCTION("""COMPUTED_VALUE"""),"N/A")</f>
        <v>N/A</v>
      </c>
      <c r="J225" s="2" t="str">
        <f>IFERROR(__xludf.DUMMYFUNCTION("""COMPUTED_VALUE"""),"Descartar / Baja prioridad.")</f>
        <v>Descartar / Baja prioridad.</v>
      </c>
      <c r="K225" s="2" t="str">
        <f>IFERROR(__xludf.DUMMYFUNCTION("""COMPUTED_VALUE"""),"Ciudad de México")</f>
        <v>Ciudad de México</v>
      </c>
      <c r="L225" s="2" t="str">
        <f>IFERROR(__xludf.DUMMYFUNCTION("""COMPUTED_VALUE"""),"Ciudad de México")</f>
        <v>Ciudad de México</v>
      </c>
      <c r="M225" s="16" t="str">
        <f>IFERROR(__xludf.DUMMYFUNCTION("""COMPUTED_VALUE"""),"https://www.jornada.com.mx/noticia/2025/12/27/capital/la-zona-rosa-es-segura-afirman-comerciantes")</f>
        <v>https://www.jornada.com.mx/noticia/2025/12/27/capital/la-zona-rosa-es-segura-afirman-comerciantes</v>
      </c>
      <c r="N225" s="2" t="str">
        <f>IFERROR(__xludf.DUMMYFUNCTION("""COMPUTED_VALUE"""),"Ciudad de México.Para la Agrupación de Comerciantes de la Zona Rosa, este polígono es seguro y se halla en un proceso de renovación de imagen urbana y cultural de cara a 2026, con calles semipeatonales, más luminarias, baños públicos y hasta la restauraci"&amp;"ón de estatuas como parte de su conservación patrimonial. El presidente de dicha asociación, Rafael Saavedra, aseguró que la Zona Rosa cuenta con dos caras para los visitantes: la primera durante el día, llena de comercios de ropa y restaurantes, mientras"&amp;" por la noche se transforma en un corredor de bares y antros, por lo que el crimen perpetrado el 21 de diciembre en el restaurante Luau es un caso atípico que bien pudo ocurrir en otra parte de la capital. Mencionó que la víctima no era un cliente asiduo "&amp;"de este lugar, según le refirieron encargados del mismo negocio ubicado en la calle Niza, uno de los de mayor tradición en esta parte de la ciudad y que forma parte de la agrupación de comerciantes. Saavedra aseguró que el Mundial de Futbol 2026 volvió a "&amp;"poner los ojos en este polígono, séptimo a nivel nacional en ocupación hotelera, por lo que se trabaja en un proyecto que va lento, pero volverá las calles de “accesibilidad universal”, esto es, que cualquier persona con discapacidad podrá moverse con nor"&amp;"malidad. Se instalarán luminarias nuevas que contarán con un sistema de telegestión, con supervisión de 24 horas para casos de vandalismo y daños. También la calle Amberes se convertirá en semipeatonal, con la instalación de bolardos, jardineras nuevas y "&amp;"bancas de reposo. En un recorrido, se constató que las obras ya empezaron en Amberes hasta su cruce con Hamburgo, que se encuentra cerrada por la maquinaria y a que el piso fue levantado. Los peatones tienen que pasar por una sola acera, por lo que trabaj"&amp;"adores los orientan para que puedan continuar con su paso. Dicha renovación de imagen urbana incluye las calles Génova, Londres, Hamburgo, Florencia, Niza, Sevilla, Varsovia, Copenhague y hasta avenida Chapultepec, donde habrá jardineras nuevas y se coloc"&amp;"arán esculturas “para que la cultura sea el eje más importante alrededor del cual la Zona Rosa puede volver a resurgir”. También habrá módulos de atención turística, pasajes escultóricos y rescate de por lo menos una treintena de inmuebles catalogados, se"&amp;"is de ellos cerca de este polígono. Incluso se pretende renovar la glorieta del Metro Insurgentes para “hacerla más moderna”, con equipamiento urbano y donde habrá un centro cultural. “Nosotros quisiéramos más, que se hubiera hecho antes (renovación) que "&amp;"tuviera otra trascendencia, realmente es para que la Zona Rosa estuviera en muchísimo mejor nivel… Sí creo que nos ha afectado esta brecha política que ha habido, estas distancias, ya no te digo la de la administración pasada, que era un verdadero campo d"&amp;"e batalla en la Cuauhtémoc, pero bueno estamos avanzando con mucha lentitud.” Saavedra agregó que para esta parte de la capital ha sido fundamental la presencia de la policía capitalina, en específico de la turística, y que el proyecto en curso prevé que "&amp;"haya mayor presencia de efectivos que garanticen la seguridad en el perímetro.")</f>
        <v>Ciudad de México.Para la Agrupación de Comerciantes de la Zona Rosa, este polígono es seguro y se halla en un proceso de renovación de imagen urbana y cultural de cara a 2026, con calles semipeatonales, más luminarias, baños públicos y hasta la restauración de estatuas como parte de su conservación patrimonial. El presidente de dicha asociación, Rafael Saavedra, aseguró que la Zona Rosa cuenta con dos caras para los visitantes: la primera durante el día, llena de comercios de ropa y restaurantes, mientras por la noche se transforma en un corredor de bares y antros, por lo que el crimen perpetrado el 21 de diciembre en el restaurante Luau es un caso atípico que bien pudo ocurrir en otra parte de la capital. Mencionó que la víctima no era un cliente asiduo de este lugar, según le refirieron encargados del mismo negocio ubicado en la calle Niza, uno de los de mayor tradición en esta parte de la ciudad y que forma parte de la agrupación de comerciantes. Saavedra aseguró que el Mundial de Futbol 2026 volvió a poner los ojos en este polígono, séptimo a nivel nacional en ocupación hotelera, por lo que se trabaja en un proyecto que va lento, pero volverá las calles de “accesibilidad universal”, esto es, que cualquier persona con discapacidad podrá moverse con normalidad. Se instalarán luminarias nuevas que contarán con un sistema de telegestión, con supervisión de 24 horas para casos de vandalismo y daños. También la calle Amberes se convertirá en semipeatonal, con la instalación de bolardos, jardineras nuevas y bancas de reposo. En un recorrido, se constató que las obras ya empezaron en Amberes hasta su cruce con Hamburgo, que se encuentra cerrada por la maquinaria y a que el piso fue levantado. Los peatones tienen que pasar por una sola acera, por lo que trabajadores los orientan para que puedan continuar con su paso. Dicha renovación de imagen urbana incluye las calles Génova, Londres, Hamburgo, Florencia, Niza, Sevilla, Varsovia, Copenhague y hasta avenida Chapultepec, donde habrá jardineras nuevas y se colocarán esculturas “para que la cultura sea el eje más importante alrededor del cual la Zona Rosa puede volver a resurgir”. También habrá módulos de atención turística, pasajes escultóricos y rescate de por lo menos una treintena de inmuebles catalogados, seis de ellos cerca de este polígono. Incluso se pretende renovar la glorieta del Metro Insurgentes para “hacerla más moderna”, con equipamiento urbano y donde habrá un centro cultural. “Nosotros quisiéramos más, que se hubiera hecho antes (renovación) que tuviera otra trascendencia, realmente es para que la Zona Rosa estuviera en muchísimo mejor nivel… Sí creo que nos ha afectado esta brecha política que ha habido, estas distancias, ya no te digo la de la administración pasada, que era un verdadero campo de batalla en la Cuauhtémoc, pero bueno estamos avanzando con mucha lentitud.” Saavedra agregó que para esta parte de la capital ha sido fundamental la presencia de la policía capitalina, en específico de la turística, y que el proyecto en curso prevé que haya mayor presencia de efectivos que garanticen la seguridad en el perímetro.</v>
      </c>
      <c r="O225" s="15">
        <f>IFERROR(__xludf.DUMMYFUNCTION("""COMPUTED_VALUE"""),0.4781)</f>
        <v>0.4781</v>
      </c>
      <c r="P225" s="2"/>
      <c r="Q225" s="17">
        <f>IFERROR(__xludf.DUMMYFUNCTION("""COMPUTED_VALUE"""),5.0)</f>
        <v>5</v>
      </c>
      <c r="R225" s="2" t="str">
        <f>IFERROR(__xludf.DUMMYFUNCTION("""COMPUTED_VALUE"""),"Low")</f>
        <v>Low</v>
      </c>
      <c r="S225" s="17">
        <f>IFERROR(__xludf.DUMMYFUNCTION("""COMPUTED_VALUE"""),0.0)</f>
        <v>0</v>
      </c>
      <c r="T225" s="17">
        <f>IFERROR(__xludf.DUMMYFUNCTION("""COMPUTED_VALUE"""),0.0)</f>
        <v>0</v>
      </c>
      <c r="U225" s="14">
        <f>IFERROR(__xludf.DUMMYFUNCTION("""COMPUTED_VALUE"""),3.0)</f>
        <v>3</v>
      </c>
      <c r="V225" s="14">
        <v>2025.0</v>
      </c>
      <c r="W225" s="2" t="s">
        <v>1168</v>
      </c>
      <c r="X225" s="2" t="s">
        <v>1194</v>
      </c>
      <c r="Y225" s="13" t="s">
        <v>231</v>
      </c>
      <c r="Z225" s="14">
        <v>0.0</v>
      </c>
      <c r="AA225" s="14">
        <v>0.0</v>
      </c>
      <c r="AB225" s="14">
        <v>0.0</v>
      </c>
      <c r="AC225" s="14">
        <v>0.0</v>
      </c>
      <c r="AD225" s="2">
        <v>0.0</v>
      </c>
      <c r="AE225" s="2">
        <v>0.0</v>
      </c>
      <c r="AF225" s="2">
        <v>12.0</v>
      </c>
      <c r="AG225" s="2" t="s">
        <v>1175</v>
      </c>
      <c r="AH225" s="2">
        <v>0.0</v>
      </c>
    </row>
    <row r="226" ht="15.75" customHeight="1">
      <c r="A226" s="2" t="str">
        <f>IFERROR(__xludf.DUMMYFUNCTION("""COMPUTED_VALUE"""),"La Jornada")</f>
        <v>La Jornada</v>
      </c>
      <c r="B226" s="12" t="str">
        <f>IFERROR(__xludf.DUMMYFUNCTION("""COMPUTED_VALUE"""),"Hasta 15 emergencias al día en la CDMX por fugas de gas y flamazos")</f>
        <v>Hasta 15 emergencias al día en la CDMX por fugas de gas y flamazos</v>
      </c>
      <c r="C226" s="13" t="str">
        <f>IFERROR(__xludf.DUMMYFUNCTION("""COMPUTED_VALUE"""),"2025-12-27")</f>
        <v>2025-12-27</v>
      </c>
      <c r="D226" s="14">
        <f>IFERROR(__xludf.DUMMYFUNCTION("""COMPUTED_VALUE"""),1.0)</f>
        <v>1</v>
      </c>
      <c r="E226" s="15">
        <f>IFERROR(__xludf.DUMMYFUNCTION("""COMPUTED_VALUE"""),-0.9137)</f>
        <v>-0.9137</v>
      </c>
      <c r="F226" s="2" t="str">
        <f>IFERROR(__xludf.DUMMYFUNCTION("""COMPUTED_VALUE"""),"Negativo")</f>
        <v>Negativo</v>
      </c>
      <c r="G226" s="15">
        <f>IFERROR(__xludf.DUMMYFUNCTION("""COMPUTED_VALUE"""),0.9137)</f>
        <v>0.9137</v>
      </c>
      <c r="H226" s="2" t="str">
        <f>IFERROR(__xludf.DUMMYFUNCTION("""COMPUTED_VALUE"""),"Noticia corporativa o regulación de transporte")</f>
        <v>Noticia corporativa o regulación de transporte</v>
      </c>
      <c r="I226" s="2" t="str">
        <f>IFERROR(__xludf.DUMMYFUNCTION("""COMPUTED_VALUE"""),"N/A")</f>
        <v>N/A</v>
      </c>
      <c r="J226" s="2" t="str">
        <f>IFERROR(__xludf.DUMMYFUNCTION("""COMPUTED_VALUE"""),"Monitoreo general.")</f>
        <v>Monitoreo general.</v>
      </c>
      <c r="K226" s="2" t="str">
        <f>IFERROR(__xludf.DUMMYFUNCTION("""COMPUTED_VALUE"""),"Ciudad de México")</f>
        <v>Ciudad de México</v>
      </c>
      <c r="L226" s="2" t="str">
        <f>IFERROR(__xludf.DUMMYFUNCTION("""COMPUTED_VALUE"""),"Ciudad de México")</f>
        <v>Ciudad de México</v>
      </c>
      <c r="M226" s="16" t="str">
        <f>IFERROR(__xludf.DUMMYFUNCTION("""COMPUTED_VALUE"""),"https://www.jornada.com.mx/noticia/2025/12/27/capital/hasta-15-emergencias-al-dia-en-la-cdmx-por-fugas-de-gas-y-flamazos")</f>
        <v>https://www.jornada.com.mx/noticia/2025/12/27/capital/hasta-15-emergencias-al-dia-en-la-cdmx-por-fugas-de-gas-y-flamazos</v>
      </c>
      <c r="N226" s="2" t="str">
        <f>IFERROR(__xludf.DUMMYFUNCTION("""COMPUTED_VALUE"""),"Cada día, los servicios de emergencia de la Ciudad de México atienden en promedio entre 11 y 15 accidentes relacionados con la falta de mantenimiento de las instalaciones de gas en las viviendas, afirmó la secretaria de Gestión Integral de Riesgos y Prote"&amp;"cción Civil capitalina, Myriam Urzúa Venegas. Una fuga de gas puede convertirse en un accidente muy grave, expresó la funcionaria, quien señaló que en esta temporada se tiene un registro de 17 personas fallecidas por intoxicación, de allí la necesidad de "&amp;"tomar medidas preventivas para evitar ese tipo de casos. Tan sólo entre el 24 y 26 de diciembre, el Heroico Cuerpo de Bomberos atendió 38 incidencias, principalmente fugas de gas y flamazos, ocurridas principalmente en domicilios ubicados en las alcaldías"&amp;" Iztapalapa, Gustavo A. Madero, Álvaro Obregón y Azcapotzalco. Urzúa acompañó ayer a la jefa de Gobierno, Clara Brugada Molina, a un acto de entrega de cobijas, durante el cual destacó que “cada día tenemos alrededor de una o dos personas fallecidas por l"&amp;"amentables accidentes que pasan en casa, por intoxicaciones de gas o por incendios, que se han hecho por los cables de luz, que tampoco tienen una revisión. La encargada de Protección Civil en la ciudad hizo una serie de recomendaciones a los capitalinos,"&amp;" como revisar que las instalaciones de gas y los tanques se encuentren en buenas condiciones, y destacó que en el caso de los estacionarios tienen que ser remplazados al cumplir 10 años, que es su tiempo máximo de servicio. Asimismo, pidió a la población "&amp;"no llenarlos más allá de 80 por ciento de su capacidad y revisar que no tengan fugas, los cual se puede revisar utilizando agua jabonosa en las tuberías, “y si les empiezan a salir burbujitas, quiere decir que tenemos un escape”. Subrayó que los tanques e"&amp;"stacionarios deben estar ubicados especialmente en las azoteas y no cerca de marquesinas, mientras los cilindros tienen que colocarse lejos de las cocinas, de los boilers y cualquier fuente de calor. Recordó que los calentadores de agua no pueden estar en"&amp;" lugares cerrados, sino en zonas ventiladas, ya que se registra un incremento en los casos de intoxicación debido a que dichos aparatos se colocan con frecuencia dentro de las viviendas y el gas se acumula, lo que puede provocar un accidente. La funcionar"&amp;"ia agregó que las válvulas tienen que ser revisadas cada siete años y en medida de los posible se debe contar con un dictamen de seguridad vigente hecho por especialistas.")</f>
        <v>Cada día, los servicios de emergencia de la Ciudad de México atienden en promedio entre 11 y 15 accidentes relacionados con la falta de mantenimiento de las instalaciones de gas en las viviendas, afirmó la secretaria de Gestión Integral de Riesgos y Protección Civil capitalina, Myriam Urzúa Venegas. Una fuga de gas puede convertirse en un accidente muy grave, expresó la funcionaria, quien señaló que en esta temporada se tiene un registro de 17 personas fallecidas por intoxicación, de allí la necesidad de tomar medidas preventivas para evitar ese tipo de casos. Tan sólo entre el 24 y 26 de diciembre, el Heroico Cuerpo de Bomberos atendió 38 incidencias, principalmente fugas de gas y flamazos, ocurridas principalmente en domicilios ubicados en las alcaldías Iztapalapa, Gustavo A. Madero, Álvaro Obregón y Azcapotzalco. Urzúa acompañó ayer a la jefa de Gobierno, Clara Brugada Molina, a un acto de entrega de cobijas, durante el cual destacó que “cada día tenemos alrededor de una o dos personas fallecidas por lamentables accidentes que pasan en casa, por intoxicaciones de gas o por incendios, que se han hecho por los cables de luz, que tampoco tienen una revisión. La encargada de Protección Civil en la ciudad hizo una serie de recomendaciones a los capitalinos, como revisar que las instalaciones de gas y los tanques se encuentren en buenas condiciones, y destacó que en el caso de los estacionarios tienen que ser remplazados al cumplir 10 años, que es su tiempo máximo de servicio. Asimismo, pidió a la población no llenarlos más allá de 80 por ciento de su capacidad y revisar que no tengan fugas, los cual se puede revisar utilizando agua jabonosa en las tuberías, “y si les empiezan a salir burbujitas, quiere decir que tenemos un escape”. Subrayó que los tanques estacionarios deben estar ubicados especialmente en las azoteas y no cerca de marquesinas, mientras los cilindros tienen que colocarse lejos de las cocinas, de los boilers y cualquier fuente de calor. Recordó que los calentadores de agua no pueden estar en lugares cerrados, sino en zonas ventiladas, ya que se registra un incremento en los casos de intoxicación debido a que dichos aparatos se colocan con frecuencia dentro de las viviendas y el gas se acumula, lo que puede provocar un accidente. La funcionaria agregó que las válvulas tienen que ser revisadas cada siete años y en medida de los posible se debe contar con un dictamen de seguridad vigente hecho por especialistas.</v>
      </c>
      <c r="O226" s="15">
        <f>IFERROR(__xludf.DUMMYFUNCTION("""COMPUTED_VALUE"""),0.4124)</f>
        <v>0.4124</v>
      </c>
      <c r="P226" s="2"/>
      <c r="Q226" s="17">
        <f>IFERROR(__xludf.DUMMYFUNCTION("""COMPUTED_VALUE"""),8.0)</f>
        <v>8</v>
      </c>
      <c r="R226" s="2" t="str">
        <f>IFERROR(__xludf.DUMMYFUNCTION("""COMPUTED_VALUE"""),"High")</f>
        <v>High</v>
      </c>
      <c r="S226" s="17">
        <f>IFERROR(__xludf.DUMMYFUNCTION("""COMPUTED_VALUE"""),3.0)</f>
        <v>3</v>
      </c>
      <c r="T226" s="17">
        <f>IFERROR(__xludf.DUMMYFUNCTION("""COMPUTED_VALUE"""),0.0)</f>
        <v>0</v>
      </c>
      <c r="U226" s="14">
        <f>IFERROR(__xludf.DUMMYFUNCTION("""COMPUTED_VALUE"""),3.0)</f>
        <v>3</v>
      </c>
      <c r="V226" s="14">
        <v>2025.0</v>
      </c>
      <c r="W226" s="2" t="s">
        <v>1168</v>
      </c>
      <c r="X226" s="2" t="s">
        <v>1194</v>
      </c>
      <c r="Y226" s="13" t="s">
        <v>231</v>
      </c>
      <c r="Z226" s="14">
        <v>0.0</v>
      </c>
      <c r="AA226" s="14">
        <v>0.0</v>
      </c>
      <c r="AB226" s="14">
        <v>0.0</v>
      </c>
      <c r="AC226" s="14">
        <v>0.0</v>
      </c>
      <c r="AD226" s="2">
        <v>0.0</v>
      </c>
      <c r="AE226" s="2">
        <v>0.0</v>
      </c>
      <c r="AF226" s="2">
        <v>12.0</v>
      </c>
      <c r="AG226" s="2" t="s">
        <v>1175</v>
      </c>
      <c r="AH226" s="2">
        <v>0.0</v>
      </c>
    </row>
    <row r="227" ht="15.75" customHeight="1">
      <c r="A227" s="2" t="str">
        <f>IFERROR(__xludf.DUMMYFUNCTION("""COMPUTED_VALUE"""),"La Jornada")</f>
        <v>La Jornada</v>
      </c>
      <c r="B227" s="12" t="str">
        <f>IFERROR(__xludf.DUMMYFUNCTION("""COMPUTED_VALUE"""),"Catean bodegas de U-Storage en CDMX por robo de transporte de carga en Michoacán")</f>
        <v>Catean bodegas de U-Storage en CDMX por robo de transporte de carga en Michoacán</v>
      </c>
      <c r="C227" s="13" t="str">
        <f>IFERROR(__xludf.DUMMYFUNCTION("""COMPUTED_VALUE"""),"2025-12-26")</f>
        <v>2025-12-26</v>
      </c>
      <c r="D227" s="14">
        <f>IFERROR(__xludf.DUMMYFUNCTION("""COMPUTED_VALUE"""),2.0)</f>
        <v>2</v>
      </c>
      <c r="E227" s="15">
        <f>IFERROR(__xludf.DUMMYFUNCTION("""COMPUTED_VALUE"""),0.0)</f>
        <v>0</v>
      </c>
      <c r="F227" s="2" t="str">
        <f>IFERROR(__xludf.DUMMYFUNCTION("""COMPUTED_VALUE"""),"Neutral")</f>
        <v>Neutral</v>
      </c>
      <c r="G227" s="15">
        <f>IFERROR(__xludf.DUMMYFUNCTION("""COMPUTED_VALUE"""),0.4989)</f>
        <v>0.4989</v>
      </c>
      <c r="H227" s="2" t="str">
        <f>IFERROR(__xludf.DUMMYFUNCTION("""COMPUTED_VALUE"""),"Operativo policial o detención")</f>
        <v>Operativo policial o detención</v>
      </c>
      <c r="I227" s="2" t="str">
        <f>IFERROR(__xludf.DUMMYFUNCTION("""COMPUTED_VALUE"""),"N/A")</f>
        <v>N/A</v>
      </c>
      <c r="J227" s="2" t="str">
        <f>IFERROR(__xludf.DUMMYFUNCTION("""COMPUTED_VALUE"""),"Monitoreo general.")</f>
        <v>Monitoreo general.</v>
      </c>
      <c r="K227" s="2" t="str">
        <f>IFERROR(__xludf.DUMMYFUNCTION("""COMPUTED_VALUE"""),"Michoacán")</f>
        <v>Michoacán</v>
      </c>
      <c r="L227" s="2" t="str">
        <f>IFERROR(__xludf.DUMMYFUNCTION("""COMPUTED_VALUE"""),"Michoacán")</f>
        <v>Michoacán</v>
      </c>
      <c r="M227" s="16" t="str">
        <f>IFERROR(__xludf.DUMMYFUNCTION("""COMPUTED_VALUE"""),"https://www.jornada.com.mx/noticia/2025/12/26/capital/catean-bodegas-de-ustorage-en-cdmx-por-robo-de-transporte-de-carga-en-michoacan")</f>
        <v>https://www.jornada.com.mx/noticia/2025/12/26/capital/catean-bodegas-de-ustorage-en-cdmx-por-robo-de-transporte-de-carga-en-michoacan</v>
      </c>
      <c r="N227" s="2" t="str">
        <f>IFERROR(__xludf.DUMMYFUNCTION("""COMPUTED_VALUE"""),"Ciudad de México.Agentes de inteligencia de la policía capitalina realizaron un cateo en bodegas de la empresa U-Storage, ubicadas en la Calzada México-Tacuba, derivado de una investigación por robo de transporte de carga ocurrido el pasado 18 de diciembr"&amp;"e en Maravatío de Ocampo Michoacán. La investigación CI-FIERVT/ORIENTEII/UI-4 S/D/03003/12-2025 refiere que sujetos robaron un camión de carga con  diferentes productos como cables HDMI, controles remotos, mochilas para laptop y bicicletas eléctricas. La "&amp;"policía Estatal de Michoacán en coordinación con la Policía Estatal del área de recuperación de vehículos del Estado de México, realizaron un seguimiento virtual d donde constataron que la mercancía fue trasladada hasta la capital del país por dos sujetos"&amp;" identificados como Diego N y Julio Jesús N. Estos sujetos fueron detenidos en el Municipio de Naucalpan, Estado de México, según los reportes. Fue así que agentes de la Subsecretaría de Inteligencia e Investigación Policial de la Secretaría de Seguridad "&amp;"Ciudadana (SSC) hallaron que los objetos se encontraba en bodegas de esta empresa por lo que solicitaron una órden de cateo En el lugar hallaron 207 bicicletas eléctricas, 2 mil 600 piezas de soportes de televisión para pared, 5 mil 40 controles remoto, 9"&amp;"60 piezas de cables HDMI, y 5 mil 80 mochilas de laptop.")</f>
        <v>Ciudad de México.Agentes de inteligencia de la policía capitalina realizaron un cateo en bodegas de la empresa U-Storage, ubicadas en la Calzada México-Tacuba, derivado de una investigación por robo de transporte de carga ocurrido el pasado 18 de diciembre en Maravatío de Ocampo Michoacán. La investigación CI-FIERVT/ORIENTEII/UI-4 S/D/03003/12-2025 refiere que sujetos robaron un camión de carga con  diferentes productos como cables HDMI, controles remotos, mochilas para laptop y bicicletas eléctricas. La policía Estatal de Michoacán en coordinación con la Policía Estatal del área de recuperación de vehículos del Estado de México, realizaron un seguimiento virtual d donde constataron que la mercancía fue trasladada hasta la capital del país por dos sujetos identificados como Diego N y Julio Jesús N. Estos sujetos fueron detenidos en el Municipio de Naucalpan, Estado de México, según los reportes. Fue así que agentes de la Subsecretaría de Inteligencia e Investigación Policial de la Secretaría de Seguridad Ciudadana (SSC) hallaron que los objetos se encontraba en bodegas de esta empresa por lo que solicitaron una órden de cateo En el lugar hallaron 207 bicicletas eléctricas, 2 mil 600 piezas de soportes de televisión para pared, 5 mil 40 controles remoto, 960 piezas de cables HDMI, y 5 mil 80 mochilas de laptop.</v>
      </c>
      <c r="O227" s="15">
        <f>IFERROR(__xludf.DUMMYFUNCTION("""COMPUTED_VALUE"""),0.4942)</f>
        <v>0.4942</v>
      </c>
      <c r="P227" s="2"/>
      <c r="Q227" s="17">
        <f>IFERROR(__xludf.DUMMYFUNCTION("""COMPUTED_VALUE"""),8.5)</f>
        <v>8.5</v>
      </c>
      <c r="R227" s="2" t="str">
        <f>IFERROR(__xludf.DUMMYFUNCTION("""COMPUTED_VALUE"""),"Low")</f>
        <v>Low</v>
      </c>
      <c r="S227" s="17">
        <f>IFERROR(__xludf.DUMMYFUNCTION("""COMPUTED_VALUE"""),0.5)</f>
        <v>0.5</v>
      </c>
      <c r="T227" s="17">
        <f>IFERROR(__xludf.DUMMYFUNCTION("""COMPUTED_VALUE"""),0.0)</f>
        <v>0</v>
      </c>
      <c r="U227" s="14">
        <f>IFERROR(__xludf.DUMMYFUNCTION("""COMPUTED_VALUE"""),3.0)</f>
        <v>3</v>
      </c>
      <c r="V227" s="14">
        <v>2025.0</v>
      </c>
      <c r="W227" s="2" t="s">
        <v>1168</v>
      </c>
      <c r="X227" s="2" t="s">
        <v>1199</v>
      </c>
      <c r="Y227" s="13" t="s">
        <v>886</v>
      </c>
      <c r="Z227" s="14">
        <v>0.0</v>
      </c>
      <c r="AA227" s="14">
        <v>0.0</v>
      </c>
      <c r="AB227" s="14">
        <v>0.0</v>
      </c>
      <c r="AC227" s="14">
        <v>0.0</v>
      </c>
      <c r="AD227" s="2">
        <v>0.0</v>
      </c>
      <c r="AE227" s="2">
        <v>0.0</v>
      </c>
      <c r="AF227" s="2">
        <v>12.0</v>
      </c>
      <c r="AG227" s="2" t="s">
        <v>1174</v>
      </c>
      <c r="AH227" s="2">
        <v>0.0</v>
      </c>
    </row>
    <row r="228" ht="15.75" customHeight="1">
      <c r="A228" s="2" t="str">
        <f>IFERROR(__xludf.DUMMYFUNCTION("""COMPUTED_VALUE"""),"La Jornada")</f>
        <v>La Jornada</v>
      </c>
      <c r="B228" s="12" t="str">
        <f>IFERROR(__xludf.DUMMYFUNCTION("""COMPUTED_VALUE"""),"Encuentran cadáver envuelto en cobija en calles de Tepito")</f>
        <v>Encuentran cadáver envuelto en cobija en calles de Tepito</v>
      </c>
      <c r="C228" s="13" t="str">
        <f>IFERROR(__xludf.DUMMYFUNCTION("""COMPUTED_VALUE"""),"2025-12-26")</f>
        <v>2025-12-26</v>
      </c>
      <c r="D228" s="14">
        <f>IFERROR(__xludf.DUMMYFUNCTION("""COMPUTED_VALUE"""),4.0)</f>
        <v>4</v>
      </c>
      <c r="E228" s="15">
        <f>IFERROR(__xludf.DUMMYFUNCTION("""COMPUTED_VALUE"""),0.0)</f>
        <v>0</v>
      </c>
      <c r="F228" s="2" t="str">
        <f>IFERROR(__xludf.DUMMYFUNCTION("""COMPUTED_VALUE"""),"Neutral")</f>
        <v>Neutral</v>
      </c>
      <c r="G228" s="15">
        <f>IFERROR(__xludf.DUMMYFUNCTION("""COMPUTED_VALUE"""),0.6665)</f>
        <v>0.6665</v>
      </c>
      <c r="H228" s="2" t="str">
        <f>IFERROR(__xludf.DUMMYFUNCTION("""COMPUTED_VALUE"""),"Operativo policial o detención")</f>
        <v>Operativo policial o detención</v>
      </c>
      <c r="I228" s="2" t="str">
        <f>IFERROR(__xludf.DUMMYFUNCTION("""COMPUTED_VALUE"""),"N/A")</f>
        <v>N/A</v>
      </c>
      <c r="J228" s="2" t="str">
        <f>IFERROR(__xludf.DUMMYFUNCTION("""COMPUTED_VALUE"""),"Monitoreo general.")</f>
        <v>Monitoreo general.</v>
      </c>
      <c r="K228" s="2" t="str">
        <f>IFERROR(__xludf.DUMMYFUNCTION("""COMPUTED_VALUE"""),"Ciudad de México")</f>
        <v>Ciudad de México</v>
      </c>
      <c r="L228" s="2" t="str">
        <f>IFERROR(__xludf.DUMMYFUNCTION("""COMPUTED_VALUE"""),"Ciudad de México")</f>
        <v>Ciudad de México</v>
      </c>
      <c r="M228" s="16" t="str">
        <f>IFERROR(__xludf.DUMMYFUNCTION("""COMPUTED_VALUE"""),"https://www.jornada.com.mx/noticia/2025/12/26/capital/encuentran-cadaver-envuelto-en-cobija-en-calles-de-tepito")</f>
        <v>https://www.jornada.com.mx/noticia/2025/12/26/capital/encuentran-cadaver-envuelto-en-cobija-en-calles-de-tepito</v>
      </c>
      <c r="N228" s="2" t="str">
        <f>IFERROR(__xludf.DUMMYFUNCTION("""COMPUTED_VALUE"""),"Ciudad de México.El cuerpo de una muerta fue hallado encobijado sobre la calle Toltecas y esquina con Fray Bartolomé, en el Barrio de Tepito, de la alcaldía Cuauhtémoc, por lo que se iniciaron las investigaciones correspondientes. El hallazgo se realizó e"&amp;"n medio de los puestos comerciales de esa zona, por lo que elementos de la policía capitalina acordonaron el lugar. Al arribar se percataron del cuerpo correspondía a una persona de aproximadamente 25 años. De los hechos se dio parte al agente del Ministe"&amp;"rio Público para los servicios periciales correspondientes y e iniciar las investigaciones derivadas del caso. En tanto, la SSC realiza el análisis de las cámaras de videovigilancia en la zona para colaborar en las indagatorias.")</f>
        <v>Ciudad de México.El cuerpo de una muerta fue hallado encobijado sobre la calle Toltecas y esquina con Fray Bartolomé, en el Barrio de Tepito, de la alcaldía Cuauhtémoc, por lo que se iniciaron las investigaciones correspondientes. El hallazgo se realizó en medio de los puestos comerciales de esa zona, por lo que elementos de la policía capitalina acordonaron el lugar. Al arribar se percataron del cuerpo correspondía a una persona de aproximadamente 25 años. De los hechos se dio parte al agente del Ministerio Público para los servicios periciales correspondientes y e iniciar las investigaciones derivadas del caso. En tanto, la SSC realiza el análisis de las cámaras de videovigilancia en la zona para colaborar en las indagatorias.</v>
      </c>
      <c r="O228" s="15">
        <f>IFERROR(__xludf.DUMMYFUNCTION("""COMPUTED_VALUE"""),0.5944)</f>
        <v>0.5944</v>
      </c>
      <c r="P228" s="2"/>
      <c r="Q228" s="17">
        <f>IFERROR(__xludf.DUMMYFUNCTION("""COMPUTED_VALUE"""),5.0)</f>
        <v>5</v>
      </c>
      <c r="R228" s="2" t="str">
        <f>IFERROR(__xludf.DUMMYFUNCTION("""COMPUTED_VALUE"""),"Low")</f>
        <v>Low</v>
      </c>
      <c r="S228" s="17">
        <f>IFERROR(__xludf.DUMMYFUNCTION("""COMPUTED_VALUE"""),0.0)</f>
        <v>0</v>
      </c>
      <c r="T228" s="17">
        <f>IFERROR(__xludf.DUMMYFUNCTION("""COMPUTED_VALUE"""),0.0)</f>
        <v>0</v>
      </c>
      <c r="U228" s="14">
        <f>IFERROR(__xludf.DUMMYFUNCTION("""COMPUTED_VALUE"""),3.0)</f>
        <v>3</v>
      </c>
      <c r="V228" s="14">
        <v>2025.0</v>
      </c>
      <c r="W228" s="2" t="s">
        <v>1168</v>
      </c>
      <c r="X228" s="2" t="s">
        <v>1199</v>
      </c>
      <c r="Y228" s="13" t="s">
        <v>886</v>
      </c>
      <c r="Z228" s="14">
        <v>0.0</v>
      </c>
      <c r="AA228" s="14">
        <v>0.0</v>
      </c>
      <c r="AB228" s="14">
        <v>0.0</v>
      </c>
      <c r="AC228" s="14">
        <v>0.0</v>
      </c>
      <c r="AD228" s="2">
        <v>0.0</v>
      </c>
      <c r="AE228" s="2">
        <v>1.0</v>
      </c>
      <c r="AF228" s="2">
        <v>12.0</v>
      </c>
      <c r="AG228" s="2" t="s">
        <v>1175</v>
      </c>
      <c r="AH228" s="2">
        <v>0.0</v>
      </c>
    </row>
    <row r="229" ht="15.75" customHeight="1">
      <c r="A229" s="2" t="str">
        <f>IFERROR(__xludf.DUMMYFUNCTION("""COMPUTED_VALUE"""),"La Jornada")</f>
        <v>La Jornada</v>
      </c>
      <c r="B229" s="12" t="str">
        <f>IFERROR(__xludf.DUMMYFUNCTION("""COMPUTED_VALUE"""),"Detienen a 'El Tuxpan', involucrado en asaltos de tiendas Oxxo en Iztapalapa")</f>
        <v>Detienen a 'El Tuxpan', involucrado en asaltos de tiendas Oxxo en Iztapalapa</v>
      </c>
      <c r="C229" s="13" t="str">
        <f>IFERROR(__xludf.DUMMYFUNCTION("""COMPUTED_VALUE"""),"2025-12-26")</f>
        <v>2025-12-26</v>
      </c>
      <c r="D229" s="14">
        <f>IFERROR(__xludf.DUMMYFUNCTION("""COMPUTED_VALUE"""),4.0)</f>
        <v>4</v>
      </c>
      <c r="E229" s="15">
        <f>IFERROR(__xludf.DUMMYFUNCTION("""COMPUTED_VALUE"""),0.0)</f>
        <v>0</v>
      </c>
      <c r="F229" s="2" t="str">
        <f>IFERROR(__xludf.DUMMYFUNCTION("""COMPUTED_VALUE"""),"Neutral")</f>
        <v>Neutral</v>
      </c>
      <c r="G229" s="15">
        <f>IFERROR(__xludf.DUMMYFUNCTION("""COMPUTED_VALUE"""),0.5008)</f>
        <v>0.5008</v>
      </c>
      <c r="H229" s="2" t="str">
        <f>IFERROR(__xludf.DUMMYFUNCTION("""COMPUTED_VALUE"""),"Operativo policial o detención")</f>
        <v>Operativo policial o detención</v>
      </c>
      <c r="I229" s="2" t="str">
        <f>IFERROR(__xludf.DUMMYFUNCTION("""COMPUTED_VALUE"""),"N/A")</f>
        <v>N/A</v>
      </c>
      <c r="J229" s="2" t="str">
        <f>IFERROR(__xludf.DUMMYFUNCTION("""COMPUTED_VALUE"""),"Monitoreo general.")</f>
        <v>Monitoreo general.</v>
      </c>
      <c r="K229" s="2" t="str">
        <f>IFERROR(__xludf.DUMMYFUNCTION("""COMPUTED_VALUE"""),"Iztapalapa")</f>
        <v>Iztapalapa</v>
      </c>
      <c r="L229" s="2" t="str">
        <f>IFERROR(__xludf.DUMMYFUNCTION("""COMPUTED_VALUE"""),"Ciudad de México")</f>
        <v>Ciudad de México</v>
      </c>
      <c r="M229" s="16" t="str">
        <f>IFERROR(__xludf.DUMMYFUNCTION("""COMPUTED_VALUE"""),"https://www.jornada.com.mx/noticia/2025/12/26/capital/detiene-a-el-tuxpan-involucrado-en-asaltos-de-tiendas-oxxo-en-iztapalapa")</f>
        <v>https://www.jornada.com.mx/noticia/2025/12/26/capital/detiene-a-el-tuxpan-involucrado-en-asaltos-de-tiendas-oxxo-en-iztapalapa</v>
      </c>
      <c r="N229" s="2" t="str">
        <f>IFERROR(__xludf.DUMMYFUNCTION("""COMPUTED_VALUE"""),"Ciudad de México.La policía capitalina detuvo a Sergio Silva aliasEl Tuxpan, relacionado con al menos cinco robos a la misma cadena de tiendas “OXXO”, cometidos en la alcaldía Iztapalapa. El sujeto era buscado por las autoridades por lo que se habían mont"&amp;"ado recorridos de reconocimiento en diferentes colonias, y visitas diarias a los establecimientos. Tras atender un reporte emitido por los operadores del Centro de Comando y Control (C2) Oriente, elementos de la Secretaría de Seguridad Ciudadana (SSC) log"&amp;"ró su detención en la colonia Santa María Aztahuacán. Previo a su aseguramiento,El Tuxpaningresó a robar una tienda en el cruce del Eje 6 avenida De las Torres y la calle 20 de Noviembre, por lo que acudieron de inmediato al lugar. En el sitio, los policí"&amp;"as observaron al interior del local a un sujeto que agredía verbalmente y amagaba con un objeto con las características de una pistola a la cajera. De inmediato lo detuvieron y le realizaron una revisión preventiva tras la cual le aseguraron una réplica d"&amp;"e arma de fuego, cuatro cajas de cigarros, dos teléfonos celulares con dos accesorios, un dispositivo para pago de peajes y dinero en efectivo. El Tuxpanestá relacionado con dos asaltos a dos negocios ocurridos el 21 del mes en curso, en las colonias Leye"&amp;"s de Reforma y Central de Abasto, en la misma demarcación.")</f>
        <v>Ciudad de México.La policía capitalina detuvo a Sergio Silva aliasEl Tuxpan, relacionado con al menos cinco robos a la misma cadena de tiendas “OXXO”, cometidos en la alcaldía Iztapalapa. El sujeto era buscado por las autoridades por lo que se habían montado recorridos de reconocimiento en diferentes colonias, y visitas diarias a los establecimientos. Tras atender un reporte emitido por los operadores del Centro de Comando y Control (C2) Oriente, elementos de la Secretaría de Seguridad Ciudadana (SSC) logró su detención en la colonia Santa María Aztahuacán. Previo a su aseguramiento,El Tuxpaningresó a robar una tienda en el cruce del Eje 6 avenida De las Torres y la calle 20 de Noviembre, por lo que acudieron de inmediato al lugar. En el sitio, los policías observaron al interior del local a un sujeto que agredía verbalmente y amagaba con un objeto con las características de una pistola a la cajera. De inmediato lo detuvieron y le realizaron una revisión preventiva tras la cual le aseguraron una réplica de arma de fuego, cuatro cajas de cigarros, dos teléfonos celulares con dos accesorios, un dispositivo para pago de peajes y dinero en efectivo. El Tuxpanestá relacionado con dos asaltos a dos negocios ocurridos el 21 del mes en curso, en las colonias Leyes de Reforma y Central de Abasto, en la misma demarcación.</v>
      </c>
      <c r="O229" s="15">
        <f>IFERROR(__xludf.DUMMYFUNCTION("""COMPUTED_VALUE"""),0.717)</f>
        <v>0.717</v>
      </c>
      <c r="P229" s="2"/>
      <c r="Q229" s="17">
        <f>IFERROR(__xludf.DUMMYFUNCTION("""COMPUTED_VALUE"""),8.5)</f>
        <v>8.5</v>
      </c>
      <c r="R229" s="2" t="str">
        <f>IFERROR(__xludf.DUMMYFUNCTION("""COMPUTED_VALUE"""),"High")</f>
        <v>High</v>
      </c>
      <c r="S229" s="17">
        <f>IFERROR(__xludf.DUMMYFUNCTION("""COMPUTED_VALUE"""),3.5)</f>
        <v>3.5</v>
      </c>
      <c r="T229" s="17">
        <f>IFERROR(__xludf.DUMMYFUNCTION("""COMPUTED_VALUE"""),0.0)</f>
        <v>0</v>
      </c>
      <c r="U229" s="14">
        <f>IFERROR(__xludf.DUMMYFUNCTION("""COMPUTED_VALUE"""),3.0)</f>
        <v>3</v>
      </c>
      <c r="V229" s="14">
        <v>2025.0</v>
      </c>
      <c r="W229" s="2" t="s">
        <v>1168</v>
      </c>
      <c r="X229" s="2" t="s">
        <v>1199</v>
      </c>
      <c r="Y229" s="13" t="s">
        <v>886</v>
      </c>
      <c r="Z229" s="14">
        <v>0.0</v>
      </c>
      <c r="AA229" s="14">
        <v>0.0</v>
      </c>
      <c r="AB229" s="14">
        <v>0.0</v>
      </c>
      <c r="AC229" s="14">
        <v>0.0</v>
      </c>
      <c r="AD229" s="2">
        <v>0.0</v>
      </c>
      <c r="AE229" s="2">
        <v>1.0</v>
      </c>
      <c r="AF229" s="2">
        <v>12.0</v>
      </c>
      <c r="AG229" s="2" t="s">
        <v>1222</v>
      </c>
      <c r="AH229" s="2">
        <v>0.0</v>
      </c>
    </row>
    <row r="230" ht="15.75" customHeight="1">
      <c r="A230" s="2" t="str">
        <f>IFERROR(__xludf.DUMMYFUNCTION("""COMPUTED_VALUE"""),"La Jornada")</f>
        <v>La Jornada</v>
      </c>
      <c r="B230" s="12" t="str">
        <f>IFERROR(__xludf.DUMMYFUNCTION("""COMPUTED_VALUE"""),"Un lesionado al colapsar barda en construcción en Iztacalco")</f>
        <v>Un lesionado al colapsar barda en construcción en Iztacalco</v>
      </c>
      <c r="C230" s="13" t="str">
        <f>IFERROR(__xludf.DUMMYFUNCTION("""COMPUTED_VALUE"""),"2025-12-26")</f>
        <v>2025-12-26</v>
      </c>
      <c r="D230" s="14">
        <f>IFERROR(__xludf.DUMMYFUNCTION("""COMPUTED_VALUE"""),1.0)</f>
        <v>1</v>
      </c>
      <c r="E230" s="15">
        <f>IFERROR(__xludf.DUMMYFUNCTION("""COMPUTED_VALUE"""),-0.6604)</f>
        <v>-0.6604</v>
      </c>
      <c r="F230" s="2" t="str">
        <f>IFERROR(__xludf.DUMMYFUNCTION("""COMPUTED_VALUE"""),"Negativo")</f>
        <v>Negativo</v>
      </c>
      <c r="G230" s="15">
        <f>IFERROR(__xludf.DUMMYFUNCTION("""COMPUTED_VALUE"""),0.6604)</f>
        <v>0.6604</v>
      </c>
      <c r="H230" s="2" t="str">
        <f>IFERROR(__xludf.DUMMYFUNCTION("""COMPUTED_VALUE"""),"Otros temas generales")</f>
        <v>Otros temas generales</v>
      </c>
      <c r="I230" s="2" t="str">
        <f>IFERROR(__xludf.DUMMYFUNCTION("""COMPUTED_VALUE"""),"N/A")</f>
        <v>N/A</v>
      </c>
      <c r="J230" s="2" t="str">
        <f>IFERROR(__xludf.DUMMYFUNCTION("""COMPUTED_VALUE"""),"Descartar / Baja prioridad.")</f>
        <v>Descartar / Baja prioridad.</v>
      </c>
      <c r="K230" s="2" t="str">
        <f>IFERROR(__xludf.DUMMYFUNCTION("""COMPUTED_VALUE"""),"Iztacalco")</f>
        <v>Iztacalco</v>
      </c>
      <c r="L230" s="2" t="str">
        <f>IFERROR(__xludf.DUMMYFUNCTION("""COMPUTED_VALUE"""),"Ciudad de México")</f>
        <v>Ciudad de México</v>
      </c>
      <c r="M230" s="16" t="str">
        <f>IFERROR(__xludf.DUMMYFUNCTION("""COMPUTED_VALUE"""),"https://www.jornada.com.mx/noticia/2025/12/26/capital/un-lesionado-al-colapsar-barda-en-construccion-en-iztacalco")</f>
        <v>https://www.jornada.com.mx/noticia/2025/12/26/capital/un-lesionado-al-colapsar-barda-en-construccion-en-iztacalco</v>
      </c>
      <c r="N230" s="2" t="str">
        <f>IFERROR(__xludf.DUMMYFUNCTION("""COMPUTED_VALUE"""),"Ciudad de México.Una barda en construcción colapsó en calles de la alcaldía Iztacalco y lesionó a una persona de la tercera edad, por lo que se reportó la movilización de equipos de emergencia. Los hechos ocurrieron la noche del jueves sobre la calle Sur "&amp;"113 y avenida del Recreo, hasta donde arribaron elementos de la policía capitalina y personal del cuerpo de bomberos. Al colapsar, la estructura golpeó a una persona de la tercera edad y un boiler de una casa. Los equipos de emergencia atendieron al lesio"&amp;"nado, en tanto personal de Protección Civil realizó la revisión de la estructura.")</f>
        <v>Ciudad de México.Una barda en construcción colapsó en calles de la alcaldía Iztacalco y lesionó a una persona de la tercera edad, por lo que se reportó la movilización de equipos de emergencia. Los hechos ocurrieron la noche del jueves sobre la calle Sur 113 y avenida del Recreo, hasta donde arribaron elementos de la policía capitalina y personal del cuerpo de bomberos. Al colapsar, la estructura golpeó a una persona de la tercera edad y un boiler de una casa. Los equipos de emergencia atendieron al lesionado, en tanto personal de Protección Civil realizó la revisión de la estructura.</v>
      </c>
      <c r="O230" s="15">
        <f>IFERROR(__xludf.DUMMYFUNCTION("""COMPUTED_VALUE"""),0.3416)</f>
        <v>0.3416</v>
      </c>
      <c r="P230" s="2"/>
      <c r="Q230" s="17">
        <f>IFERROR(__xludf.DUMMYFUNCTION("""COMPUTED_VALUE"""),8.5)</f>
        <v>8.5</v>
      </c>
      <c r="R230" s="2" t="str">
        <f>IFERROR(__xludf.DUMMYFUNCTION("""COMPUTED_VALUE"""),"High")</f>
        <v>High</v>
      </c>
      <c r="S230" s="17">
        <f>IFERROR(__xludf.DUMMYFUNCTION("""COMPUTED_VALUE"""),3.5)</f>
        <v>3.5</v>
      </c>
      <c r="T230" s="17">
        <f>IFERROR(__xludf.DUMMYFUNCTION("""COMPUTED_VALUE"""),0.0)</f>
        <v>0</v>
      </c>
      <c r="U230" s="14">
        <f>IFERROR(__xludf.DUMMYFUNCTION("""COMPUTED_VALUE"""),3.0)</f>
        <v>3</v>
      </c>
      <c r="V230" s="14">
        <v>2025.0</v>
      </c>
      <c r="W230" s="2" t="s">
        <v>1168</v>
      </c>
      <c r="X230" s="2" t="s">
        <v>1199</v>
      </c>
      <c r="Y230" s="13" t="s">
        <v>886</v>
      </c>
      <c r="Z230" s="14">
        <v>0.0</v>
      </c>
      <c r="AA230" s="14">
        <v>0.0</v>
      </c>
      <c r="AB230" s="14">
        <v>0.0</v>
      </c>
      <c r="AC230" s="14">
        <v>0.0</v>
      </c>
      <c r="AD230" s="2">
        <v>0.0</v>
      </c>
      <c r="AE230" s="2">
        <v>0.0</v>
      </c>
      <c r="AF230" s="2">
        <v>12.0</v>
      </c>
      <c r="AG230" s="2" t="s">
        <v>1223</v>
      </c>
      <c r="AH230" s="2">
        <v>0.0</v>
      </c>
    </row>
    <row r="231" ht="15.75" customHeight="1">
      <c r="A231" s="2" t="str">
        <f>IFERROR(__xludf.DUMMYFUNCTION("""COMPUTED_VALUE"""),"La Jornada")</f>
        <v>La Jornada</v>
      </c>
      <c r="B231" s="12" t="str">
        <f>IFERROR(__xludf.DUMMYFUNCTION("""COMPUTED_VALUE"""),"Hasta el día 24 habían caído en 'El Torito' 850 conductores; 6 heridos y un muerto en accidentes viales")</f>
        <v>Hasta el día 24 habían caído en 'El Torito' 850 conductores; 6 heridos y un muerto en accidentes viales</v>
      </c>
      <c r="C231" s="13" t="str">
        <f>IFERROR(__xludf.DUMMYFUNCTION("""COMPUTED_VALUE"""),"2025-12-26")</f>
        <v>2025-12-26</v>
      </c>
      <c r="D231" s="14">
        <f>IFERROR(__xludf.DUMMYFUNCTION("""COMPUTED_VALUE"""),4.0)</f>
        <v>4</v>
      </c>
      <c r="E231" s="15">
        <f>IFERROR(__xludf.DUMMYFUNCTION("""COMPUTED_VALUE"""),-0.6867)</f>
        <v>-0.6867</v>
      </c>
      <c r="F231" s="2" t="str">
        <f>IFERROR(__xludf.DUMMYFUNCTION("""COMPUTED_VALUE"""),"Negativo")</f>
        <v>Negativo</v>
      </c>
      <c r="G231" s="15">
        <f>IFERROR(__xludf.DUMMYFUNCTION("""COMPUTED_VALUE"""),0.6867)</f>
        <v>0.6867</v>
      </c>
      <c r="H231" s="2" t="str">
        <f>IFERROR(__xludf.DUMMYFUNCTION("""COMPUTED_VALUE"""),"Accidente de tránsito o choque vial")</f>
        <v>Accidente de tránsito o choque vial</v>
      </c>
      <c r="I231" s="2" t="str">
        <f>IFERROR(__xludf.DUMMYFUNCTION("""COMPUTED_VALUE"""),"choque")</f>
        <v>choque</v>
      </c>
      <c r="J231" s="2" t="str">
        <f>IFERROR(__xludf.DUMMYFUNCTION("""COMPUTED_VALUE"""),"Soporte DRV: Seguros/Guía post-siniestro.")</f>
        <v>Soporte DRV: Seguros/Guía post-siniestro.</v>
      </c>
      <c r="K231" s="2" t="str">
        <f>IFERROR(__xludf.DUMMYFUNCTION("""COMPUTED_VALUE"""),"Sinaloa")</f>
        <v>Sinaloa</v>
      </c>
      <c r="L231" s="2" t="str">
        <f>IFERROR(__xludf.DUMMYFUNCTION("""COMPUTED_VALUE"""),"Sinaloa")</f>
        <v>Sinaloa</v>
      </c>
      <c r="M231" s="16" t="str">
        <f>IFERROR(__xludf.DUMMYFUNCTION("""COMPUTED_VALUE"""),"https://www.jornada.com.mx/noticia/2025/12/26/capital/hasta-el-dia-24-habian-caido-en-el-torito-850-conductores-6-heridos-y-un-muerto-en-accidentes-viales")</f>
        <v>https://www.jornada.com.mx/noticia/2025/12/26/capital/hasta-el-dia-24-habian-caido-en-el-torito-850-conductores-6-heridos-y-un-muerto-en-accidentes-viales</v>
      </c>
      <c r="N231" s="2" t="str">
        <f>IFERROR(__xludf.DUMMYFUNCTION("""COMPUTED_VALUE"""),"Durante la jornada del 24 de diciembre, por lo menos 73 personas fueron remitidas aEl Toritopor exceder los límites de alcohol en la sangre y 72 vehículos remitidos al corralón; sin embargo, esto no evitó que, en plena Navidad, ocurrieran accidentes viale"&amp;"s con saldo de una persona fallecida y seis más con lesiones leves, en hechos diferentes. Primero, una persona que había sido captada minutos antes bajo los influjos de una sustancia en calles del Centro perdió la vida al salir disparada de su vehículo –u"&amp;"n taxi con cromática de la ciudad–, cuando volcó sobre la avenida San Antonio Abad. En un video que se difundió en redes sociales, el sujeto fue grabado sin playera, manoteando al aire, haciendo como que peleaba con alguien; frente a él hay unidades de la"&amp;" policía; sin embargo, no intervinieron al verlo. Media hora después, perdió el control del taxi con placas A8371C justo sobre el Eje 2 Sur y calzada San Antonio Abad. Su cuerpo quedó sobre el asfalto frente al hotel Amazonas, mientras en la unidad un per"&amp;"rito quedó atrapado, por lo que elementos del cuerpo de bomberos lo liberaron. En otro hecho, el conductor de un vehículo que circulaba en estado de ebriedad perdió el control y ocasionó un choque con otro auto sobre Circuito Interior y la avenida Río Con"&amp;"sulado, en la alcaldía Gustavo A. Madero. Los hechos ocurrieron la mañana del 25 de diciembre, cuando el conductor de un vehículo negro con placas 951ZZX impactó un vehículo Volkswagen Virtus al ir a exceso de velocidad. Uno de los vehículos derribó un po"&amp;"ste de alumbrado público, mientras el otro volcó. En el lugar quedaron personas lesionadas, por lo que acudieron cuerpos de emergencia, quienes valoraron a un hombre y una mujer policontundidos. Otro hecho ocurrió en Río Becerra, justo en la alcaldía Beni"&amp;"to Juárez, donde un sujeto perdió el control de su vehículo cuando circulaba con su hija. Paramédicos que acudieron al lugar no lograron realizar una valoración de las personas debido a que el sujeto no lo permitió. En la colonia Tabacalera, ciudadanos ch"&amp;"inos perdieron el control de una camioneta que se impactó contra un camión y provocó que quedara encima de un camellón. El programa Conduce sin Alcohol, del 12 al 24 de diciembre realizó 236 mil 442 pruebas AlcoStop y 2 mil 759 pruebas espiradas, por lo q"&amp;"ue hasta el momento suman 850 personas que han sido remitidas aEl Toritoy 839 vehículos al corralón. Las personas que fueron trasladadas aEl Toritodurante los días 24 y el 25 cenaron espagueti a la crema con jamón y piña, pavo en salsa de mango con chile "&amp;"habanero, acompañado de papas con queso y crema. Como postre recibieron ensalada de manzana con crema, pasas y nuez; y de bebida, el tradicional ponche con frutas de temporada.")</f>
        <v>Durante la jornada del 24 de diciembre, por lo menos 73 personas fueron remitidas aEl Toritopor exceder los límites de alcohol en la sangre y 72 vehículos remitidos al corralón; sin embargo, esto no evitó que, en plena Navidad, ocurrieran accidentes viales con saldo de una persona fallecida y seis más con lesiones leves, en hechos diferentes. Primero, una persona que había sido captada minutos antes bajo los influjos de una sustancia en calles del Centro perdió la vida al salir disparada de su vehículo –un taxi con cromática de la ciudad–, cuando volcó sobre la avenida San Antonio Abad. En un video que se difundió en redes sociales, el sujeto fue grabado sin playera, manoteando al aire, haciendo como que peleaba con alguien; frente a él hay unidades de la policía; sin embargo, no intervinieron al verlo. Media hora después, perdió el control del taxi con placas A8371C justo sobre el Eje 2 Sur y calzada San Antonio Abad. Su cuerpo quedó sobre el asfalto frente al hotel Amazonas, mientras en la unidad un perrito quedó atrapado, por lo que elementos del cuerpo de bomberos lo liberaron. En otro hecho, el conductor de un vehículo que circulaba en estado de ebriedad perdió el control y ocasionó un choque con otro auto sobre Circuito Interior y la avenida Río Consulado, en la alcaldía Gustavo A. Madero. Los hechos ocurrieron la mañana del 25 de diciembre, cuando el conductor de un vehículo negro con placas 951ZZX impactó un vehículo Volkswagen Virtus al ir a exceso de velocidad. Uno de los vehículos derribó un poste de alumbrado público, mientras el otro volcó. En el lugar quedaron personas lesionadas, por lo que acudieron cuerpos de emergencia, quienes valoraron a un hombre y una mujer policontundidos. Otro hecho ocurrió en Río Becerra, justo en la alcaldía Benito Juárez, donde un sujeto perdió el control de su vehículo cuando circulaba con su hija. Paramédicos que acudieron al lugar no lograron realizar una valoración de las personas debido a que el sujeto no lo permitió. En la colonia Tabacalera, ciudadanos chinos perdieron el control de una camioneta que se impactó contra un camión y provocó que quedara encima de un camellón. El programa Conduce sin Alcohol, del 12 al 24 de diciembre realizó 236 mil 442 pruebas AlcoStop y 2 mil 759 pruebas espiradas, por lo que hasta el momento suman 850 personas que han sido remitidas aEl Toritoy 839 vehículos al corralón. Las personas que fueron trasladadas aEl Toritodurante los días 24 y el 25 cenaron espagueti a la crema con jamón y piña, pavo en salsa de mango con chile habanero, acompañado de papas con queso y crema. Como postre recibieron ensalada de manzana con crema, pasas y nuez; y de bebida, el tradicional ponche con frutas de temporada.</v>
      </c>
      <c r="O231" s="15">
        <f>IFERROR(__xludf.DUMMYFUNCTION("""COMPUTED_VALUE"""),1.0)</f>
        <v>1</v>
      </c>
      <c r="P231" s="2"/>
      <c r="Q231" s="17">
        <f>IFERROR(__xludf.DUMMYFUNCTION("""COMPUTED_VALUE"""),5.0)</f>
        <v>5</v>
      </c>
      <c r="R231" s="2" t="str">
        <f>IFERROR(__xludf.DUMMYFUNCTION("""COMPUTED_VALUE"""),"High")</f>
        <v>High</v>
      </c>
      <c r="S231" s="17">
        <f>IFERROR(__xludf.DUMMYFUNCTION("""COMPUTED_VALUE"""),3.0)</f>
        <v>3</v>
      </c>
      <c r="T231" s="17">
        <f>IFERROR(__xludf.DUMMYFUNCTION("""COMPUTED_VALUE"""),0.0)</f>
        <v>0</v>
      </c>
      <c r="U231" s="14">
        <f>IFERROR(__xludf.DUMMYFUNCTION("""COMPUTED_VALUE"""),3.0)</f>
        <v>3</v>
      </c>
      <c r="V231" s="14">
        <v>2025.0</v>
      </c>
      <c r="W231" s="2" t="s">
        <v>1168</v>
      </c>
      <c r="X231" s="2" t="s">
        <v>1199</v>
      </c>
      <c r="Y231" s="13" t="s">
        <v>886</v>
      </c>
      <c r="Z231" s="14">
        <v>0.0</v>
      </c>
      <c r="AA231" s="14">
        <v>0.0</v>
      </c>
      <c r="AB231" s="14">
        <v>0.0</v>
      </c>
      <c r="AC231" s="14">
        <v>0.0</v>
      </c>
      <c r="AD231" s="2">
        <v>0.0</v>
      </c>
      <c r="AE231" s="2">
        <v>1.0</v>
      </c>
      <c r="AF231" s="2">
        <v>12.0</v>
      </c>
      <c r="AG231" s="2" t="s">
        <v>1172</v>
      </c>
      <c r="AH231" s="2">
        <v>0.0</v>
      </c>
    </row>
    <row r="232" ht="15.75" customHeight="1">
      <c r="A232" s="2" t="str">
        <f>IFERROR(__xludf.DUMMYFUNCTION("""COMPUTED_VALUE"""),"La Jornada")</f>
        <v>La Jornada</v>
      </c>
      <c r="B232" s="12" t="str">
        <f>IFERROR(__xludf.DUMMYFUNCTION("""COMPUTED_VALUE"""),"Suben 35% afectaciones a vehículos por los baches")</f>
        <v>Suben 35% afectaciones a vehículos por los baches</v>
      </c>
      <c r="C232" s="13" t="str">
        <f>IFERROR(__xludf.DUMMYFUNCTION("""COMPUTED_VALUE"""),"2025-12-26")</f>
        <v>2025-12-26</v>
      </c>
      <c r="D232" s="14">
        <f>IFERROR(__xludf.DUMMYFUNCTION("""COMPUTED_VALUE"""),2.0)</f>
        <v>2</v>
      </c>
      <c r="E232" s="15">
        <f>IFERROR(__xludf.DUMMYFUNCTION("""COMPUTED_VALUE"""),-0.8771)</f>
        <v>-0.8771</v>
      </c>
      <c r="F232" s="2" t="str">
        <f>IFERROR(__xludf.DUMMYFUNCTION("""COMPUTED_VALUE"""),"Negativo")</f>
        <v>Negativo</v>
      </c>
      <c r="G232" s="15">
        <f>IFERROR(__xludf.DUMMYFUNCTION("""COMPUTED_VALUE"""),0.8771)</f>
        <v>0.8771</v>
      </c>
      <c r="H232" s="2" t="str">
        <f>IFERROR(__xludf.DUMMYFUNCTION("""COMPUTED_VALUE"""),"Accidente de tránsito o choque vial")</f>
        <v>Accidente de tránsito o choque vial</v>
      </c>
      <c r="I232" s="2" t="str">
        <f>IFERROR(__xludf.DUMMYFUNCTION("""COMPUTED_VALUE"""),"N/A")</f>
        <v>N/A</v>
      </c>
      <c r="J232" s="2" t="str">
        <f>IFERROR(__xludf.DUMMYFUNCTION("""COMPUTED_VALUE"""),"Soporte DRV: Seguros/Guía post-siniestro.")</f>
        <v>Soporte DRV: Seguros/Guía post-siniestro.</v>
      </c>
      <c r="K232" s="2" t="str">
        <f>IFERROR(__xludf.DUMMYFUNCTION("""COMPUTED_VALUE"""),"Ciudad de México")</f>
        <v>Ciudad de México</v>
      </c>
      <c r="L232" s="2" t="str">
        <f>IFERROR(__xludf.DUMMYFUNCTION("""COMPUTED_VALUE"""),"Ciudad de México")</f>
        <v>Ciudad de México</v>
      </c>
      <c r="M232" s="16" t="str">
        <f>IFERROR(__xludf.DUMMYFUNCTION("""COMPUTED_VALUE"""),"https://www.jornada.com.mx/noticia/2025/12/26/capital/suben-35-afectaciones-a-vehiculos-por-los-baches")</f>
        <v>https://www.jornada.com.mx/noticia/2025/12/26/capital/suben-35-afectaciones-a-vehiculos-por-los-baches</v>
      </c>
      <c r="N232" s="2" t="str">
        <f>IFERROR(__xludf.DUMMYFUNCTION("""COMPUTED_VALUE"""),"Ciudad de México.Este 2025, las intervenciones periciales relacionadas con afectaciones a vehículos o bienes provocadas por baches en la vía pública de la Ciudad de México se incrementaron 35 por ciento en comparación con los casos del año pasado. De acue"&amp;"rdo con los registros de la Consejería Jurídica y de Servicios Legales, de octubre de 2024 a septiembre de este año hubo mil 950 automovilistas que exigieron una indemnización por los daños causados a sus unidades por el mal estado de la infraestructura v"&amp;"ial, es decir, 511 más que en el mismo periodo de 2023-2024. De enero al 5 de diciembre, esto significó una erogación de 5 millones 80 mil pesos por la Secretaría de Administración y Finanzas, según información obtenida vía transparencia. A partir de la E"&amp;"ncuesta Nacional de Seguridad Pública (ENSU) –que además del tema de seguridad monitorea los principales problemas urbanos de las ciudades–, el Instituto de Planeación Democrática y Prospectiva señala que para la mayoría de la población de la Ciudad de Mé"&amp;"xico los baches son un problema severo. La Magdalena Contreras, Azcapotzalco, Gustavo A. Madero, Benito Juárez y Tláhuac son las alcaldías donde más de 80 por ciento de sus habitantes consideran grave el mal estado de la carpeta asfáltica. A ellas les sig"&amp;"uen Xochimilco, con 79.1 por ciento; Cuauhtémoc, 78.5 por ciento; Tlalpan, 78 por ciento; Iztapalapa, 73.4 por ciento, e Iztacalco, 75.6 por ciento. Si la ciudadanía sufre un daño en sus bienes como consecuencia del funcionamiento irregular de la infraest"&amp;"ructura pública, ya sea por un bache o coladera en mal estado, puede exigir la indemnización al Gobierno de la Ciudad de México. Para ello se realiza un dictamen por peritos en materias de tránsito terrestre, valuación mecánica y de bienes muebles e inmue"&amp;"bles en el que se determina la responsabilidad patrimonial del ente público que corresponda, como consecuencia de su actividad administrativa irregular y que ocasionó un daño a la esfera jurídica patrimonial de los particulares afectados. De agosto de 202"&amp;"3 a julio de 2024 hubo un total de 814 intervenciones periciales en las que se determinó responsabilidad patrimonial en 777, es decir, que el gobierno tuvo que pagar por los daños causados a los vehículos. Asimismo, del 5 de diciembre de 2018 al 31 de jul"&amp;"io de 2024 se realizaron 4 mil 432 intervenciones periciales, en las que se reconoció responsabilidad patrimonial en 4 mil 46 casos.")</f>
        <v>Ciudad de México.Este 2025, las intervenciones periciales relacionadas con afectaciones a vehículos o bienes provocadas por baches en la vía pública de la Ciudad de México se incrementaron 35 por ciento en comparación con los casos del año pasado. De acuerdo con los registros de la Consejería Jurídica y de Servicios Legales, de octubre de 2024 a septiembre de este año hubo mil 950 automovilistas que exigieron una indemnización por los daños causados a sus unidades por el mal estado de la infraestructura vial, es decir, 511 más que en el mismo periodo de 2023-2024. De enero al 5 de diciembre, esto significó una erogación de 5 millones 80 mil pesos por la Secretaría de Administración y Finanzas, según información obtenida vía transparencia. A partir de la Encuesta Nacional de Seguridad Pública (ENSU) –que además del tema de seguridad monitorea los principales problemas urbanos de las ciudades–, el Instituto de Planeación Democrática y Prospectiva señala que para la mayoría de la población de la Ciudad de México los baches son un problema severo. La Magdalena Contreras, Azcapotzalco, Gustavo A. Madero, Benito Juárez y Tláhuac son las alcaldías donde más de 80 por ciento de sus habitantes consideran grave el mal estado de la carpeta asfáltica. A ellas les siguen Xochimilco, con 79.1 por ciento; Cuauhtémoc, 78.5 por ciento; Tlalpan, 78 por ciento; Iztapalapa, 73.4 por ciento, e Iztacalco, 75.6 por ciento. Si la ciudadanía sufre un daño en sus bienes como consecuencia del funcionamiento irregular de la infraestructura pública, ya sea por un bache o coladera en mal estado, puede exigir la indemnización al Gobierno de la Ciudad de México. Para ello se realiza un dictamen por peritos en materias de tránsito terrestre, valuación mecánica y de bienes muebles e inmuebles en el que se determina la responsabilidad patrimonial del ente público que corresponda, como consecuencia de su actividad administrativa irregular y que ocasionó un daño a la esfera jurídica patrimonial de los particulares afectados. De agosto de 2023 a julio de 2024 hubo un total de 814 intervenciones periciales en las que se determinó responsabilidad patrimonial en 777, es decir, que el gobierno tuvo que pagar por los daños causados a los vehículos. Asimismo, del 5 de diciembre de 2018 al 31 de julio de 2024 se realizaron 4 mil 432 intervenciones periciales, en las que se reconoció responsabilidad patrimonial en 4 mil 46 casos.</v>
      </c>
      <c r="O232" s="15">
        <f>IFERROR(__xludf.DUMMYFUNCTION("""COMPUTED_VALUE"""),0.7179)</f>
        <v>0.7179</v>
      </c>
      <c r="P232" s="2"/>
      <c r="Q232" s="17">
        <f>IFERROR(__xludf.DUMMYFUNCTION("""COMPUTED_VALUE"""),5.0)</f>
        <v>5</v>
      </c>
      <c r="R232" s="2" t="str">
        <f>IFERROR(__xludf.DUMMYFUNCTION("""COMPUTED_VALUE"""),"Low")</f>
        <v>Low</v>
      </c>
      <c r="S232" s="17">
        <f>IFERROR(__xludf.DUMMYFUNCTION("""COMPUTED_VALUE"""),0.0)</f>
        <v>0</v>
      </c>
      <c r="T232" s="17">
        <f>IFERROR(__xludf.DUMMYFUNCTION("""COMPUTED_VALUE"""),0.0)</f>
        <v>0</v>
      </c>
      <c r="U232" s="14">
        <f>IFERROR(__xludf.DUMMYFUNCTION("""COMPUTED_VALUE"""),3.0)</f>
        <v>3</v>
      </c>
      <c r="V232" s="14">
        <v>2025.0</v>
      </c>
      <c r="W232" s="2" t="s">
        <v>1168</v>
      </c>
      <c r="X232" s="2" t="s">
        <v>1199</v>
      </c>
      <c r="Y232" s="13" t="s">
        <v>886</v>
      </c>
      <c r="Z232" s="14">
        <v>0.0</v>
      </c>
      <c r="AA232" s="14">
        <v>0.0</v>
      </c>
      <c r="AB232" s="14">
        <v>0.0</v>
      </c>
      <c r="AC232" s="14">
        <v>0.0</v>
      </c>
      <c r="AD232" s="2">
        <v>0.0</v>
      </c>
      <c r="AE232" s="2">
        <v>0.0</v>
      </c>
      <c r="AF232" s="2">
        <v>12.0</v>
      </c>
      <c r="AG232" s="2" t="s">
        <v>1175</v>
      </c>
      <c r="AH232" s="2">
        <v>0.0</v>
      </c>
    </row>
    <row r="233" ht="15.75" customHeight="1">
      <c r="A233" s="2" t="str">
        <f>IFERROR(__xludf.DUMMYFUNCTION("""COMPUTED_VALUE"""),"La Jornada")</f>
        <v>La Jornada</v>
      </c>
      <c r="B233" s="12" t="str">
        <f>IFERROR(__xludf.DUMMYFUNCTION("""COMPUTED_VALUE"""),"Por fallas en el Metro, la RTP apoyó con mil 387 unidades en los 2 años recientes")</f>
        <v>Por fallas en el Metro, la RTP apoyó con mil 387 unidades en los 2 años recientes</v>
      </c>
      <c r="C233" s="13" t="str">
        <f>IFERROR(__xludf.DUMMYFUNCTION("""COMPUTED_VALUE"""),"2025-12-26")</f>
        <v>2025-12-26</v>
      </c>
      <c r="D233" s="14">
        <f>IFERROR(__xludf.DUMMYFUNCTION("""COMPUTED_VALUE"""),1.0)</f>
        <v>1</v>
      </c>
      <c r="E233" s="15">
        <f>IFERROR(__xludf.DUMMYFUNCTION("""COMPUTED_VALUE"""),0.0)</f>
        <v>0</v>
      </c>
      <c r="F233" s="2" t="str">
        <f>IFERROR(__xludf.DUMMYFUNCTION("""COMPUTED_VALUE"""),"Neutral")</f>
        <v>Neutral</v>
      </c>
      <c r="G233" s="15">
        <f>IFERROR(__xludf.DUMMYFUNCTION("""COMPUTED_VALUE"""),0.7477)</f>
        <v>0.7477</v>
      </c>
      <c r="H233" s="2" t="str">
        <f>IFERROR(__xludf.DUMMYFUNCTION("""COMPUTED_VALUE"""),"Noticia corporativa o regulación de transporte")</f>
        <v>Noticia corporativa o regulación de transporte</v>
      </c>
      <c r="I233" s="2" t="str">
        <f>IFERROR(__xludf.DUMMYFUNCTION("""COMPUTED_VALUE"""),"N/A")</f>
        <v>N/A</v>
      </c>
      <c r="J233" s="2" t="str">
        <f>IFERROR(__xludf.DUMMYFUNCTION("""COMPUTED_VALUE"""),"Monitoreo general.")</f>
        <v>Monitoreo general.</v>
      </c>
      <c r="K233" s="2" t="str">
        <f>IFERROR(__xludf.DUMMYFUNCTION("""COMPUTED_VALUE"""),"Nezahualcóyotl")</f>
        <v>Nezahualcóyotl</v>
      </c>
      <c r="L233" s="2" t="str">
        <f>IFERROR(__xludf.DUMMYFUNCTION("""COMPUTED_VALUE"""),"Estado de México")</f>
        <v>Estado de México</v>
      </c>
      <c r="M233" s="16" t="str">
        <f>IFERROR(__xludf.DUMMYFUNCTION("""COMPUTED_VALUE"""),"https://www.jornada.com.mx/noticia/2025/12/26/capital/por-fallas-en-el-metro-la-rtp-apoyo-con-mil-387-unidades-en-los-2-anos-recientes")</f>
        <v>https://www.jornada.com.mx/noticia/2025/12/26/capital/por-fallas-en-el-metro-la-rtp-apoyo-con-mil-387-unidades-en-los-2-anos-recientes</v>
      </c>
      <c r="N233" s="2" t="str">
        <f>IFERROR(__xludf.DUMMYFUNCTION("""COMPUTED_VALUE"""),"La Red de Transporte de Pasajeros (RTP) proporcionó servicio emergente equivalente a 250 días en los dos años recientes, debido a fallas ocurridas y otro tipo de incidentes en el Sistema de Transporte Colectivo (STC) Metro, que provocaron la suspensión de"&amp;" la operación. De acuerdo con cifras de la Subdirección General de Operación del organismo, lo anterior implicó utilizar al menos mil 387 unidades para apoyar a los usuarios en sus traslados a distintos puntos, y los circuitos donde con mayor frecuencia s"&amp;"e hizo necesario el servicio fueron los tramos Pantitlán-Consulado de la línea 5; Pino Suárez-Colegio Militar y Tasqueña-Hidalgo, de la línea 2; Oceanía-Villa de Aragón, de la B; Santa Martha-Guelatao, de la A, y Apatlaco-Chabacano, de la línea 8. La info"&amp;"rmación obtenida vía transparencia refiere que julio y agosto de 2024 fueron los meses que más concentraron los servicios, mientras en 2025 fueron junio y septiembre. Al respecto, trabajadores consultados indicaron que las suspensiones más recurrentes en "&amp;"este año se debieron principalmente a fallas en el cierre de puertas, provocadas por la manipulación de los usuarios al intentar abrirlas para ingresar a los trenes, así como por la saturación de las unidades. A estas incidencias le siguen los conatos de "&amp;"incendio, derivados de fallas técnicas en el sistema eléctrico, así como las condiciones meteorológicas, particularmente durante la temporada de lluvias, cuando se han registrado inundaciones en la zona de vías en tramos de la línea A, interrupciones que "&amp;"pueden prolongarse desde minutos, horas o incluso días, dependiendo de la magnitud del incidente. Se suman los trabajos de remodelación, como los realizados en la línea 1, que tras más de tres años de labores realizadas en dos etapas: de Pantitlán a Salto"&amp;" del Agua –posteriormente extendidas hasta Balderas–, y de Salto del Agua a Observatorio, se ofreció el servicio emergente de transporte; sin embargo, en el documento proporcionado por el organismo no refiere cuántas unidades se dispusieron. Los empleados"&amp;" señalaron además que el Metro estima las unidades que se requieren dependiendo de la línea, el tramo y el horario en que ocurra algún tipo de percance, en los cuales tan sólo por ruta se pueden solicitar desde siete unidades hasta 142, según consta en do"&amp;"cumentos del STC; sin embargo, indicaron que en algunas ocasiones la demanda rebasa la capacidad disponible, al solicitar más unidades de las que pueden ser proporcionadas. Ayer por la mañana una persona descendió a la zona de vías en la estación Nezahual"&amp;"cóyotl de la línea B, por lo que la operación fue suspendida 20 minutos.")</f>
        <v>La Red de Transporte de Pasajeros (RTP) proporcionó servicio emergente equivalente a 250 días en los dos años recientes, debido a fallas ocurridas y otro tipo de incidentes en el Sistema de Transporte Colectivo (STC) Metro, que provocaron la suspensión de la operación. De acuerdo con cifras de la Subdirección General de Operación del organismo, lo anterior implicó utilizar al menos mil 387 unidades para apoyar a los usuarios en sus traslados a distintos puntos, y los circuitos donde con mayor frecuencia se hizo necesario el servicio fueron los tramos Pantitlán-Consulado de la línea 5; Pino Suárez-Colegio Militar y Tasqueña-Hidalgo, de la línea 2; Oceanía-Villa de Aragón, de la B; Santa Martha-Guelatao, de la A, y Apatlaco-Chabacano, de la línea 8. La información obtenida vía transparencia refiere que julio y agosto de 2024 fueron los meses que más concentraron los servicios, mientras en 2025 fueron junio y septiembre. Al respecto, trabajadores consultados indicaron que las suspensiones más recurrentes en este año se debieron principalmente a fallas en el cierre de puertas, provocadas por la manipulación de los usuarios al intentar abrirlas para ingresar a los trenes, así como por la saturación de las unidades. A estas incidencias le siguen los conatos de incendio, derivados de fallas técnicas en el sistema eléctrico, así como las condiciones meteorológicas, particularmente durante la temporada de lluvias, cuando se han registrado inundaciones en la zona de vías en tramos de la línea A, interrupciones que pueden prolongarse desde minutos, horas o incluso días, dependiendo de la magnitud del incidente. Se suman los trabajos de remodelación, como los realizados en la línea 1, que tras más de tres años de labores realizadas en dos etapas: de Pantitlán a Salto del Agua –posteriormente extendidas hasta Balderas–, y de Salto del Agua a Observatorio, se ofreció el servicio emergente de transporte; sin embargo, en el documento proporcionado por el organismo no refiere cuántas unidades se dispusieron. Los empleados señalaron además que el Metro estima las unidades que se requieren dependiendo de la línea, el tramo y el horario en que ocurra algún tipo de percance, en los cuales tan sólo por ruta se pueden solicitar desde siete unidades hasta 142, según consta en documentos del STC; sin embargo, indicaron que en algunas ocasiones la demanda rebasa la capacidad disponible, al solicitar más unidades de las que pueden ser proporcionadas. Ayer por la mañana una persona descendió a la zona de vías en la estación Nezahualcóyotl de la línea B, por lo que la operación fue suspendida 20 minutos.</v>
      </c>
      <c r="O233" s="15">
        <f>IFERROR(__xludf.DUMMYFUNCTION("""COMPUTED_VALUE"""),0.601)</f>
        <v>0.601</v>
      </c>
      <c r="P233" s="2"/>
      <c r="Q233" s="17">
        <f>IFERROR(__xludf.DUMMYFUNCTION("""COMPUTED_VALUE"""),2.0)</f>
        <v>2</v>
      </c>
      <c r="R233" s="2" t="str">
        <f>IFERROR(__xludf.DUMMYFUNCTION("""COMPUTED_VALUE"""),"Low")</f>
        <v>Low</v>
      </c>
      <c r="S233" s="17">
        <f>IFERROR(__xludf.DUMMYFUNCTION("""COMPUTED_VALUE"""),0.0)</f>
        <v>0</v>
      </c>
      <c r="T233" s="17">
        <f>IFERROR(__xludf.DUMMYFUNCTION("""COMPUTED_VALUE"""),0.0)</f>
        <v>0</v>
      </c>
      <c r="U233" s="14">
        <f>IFERROR(__xludf.DUMMYFUNCTION("""COMPUTED_VALUE"""),3.0)</f>
        <v>3</v>
      </c>
      <c r="V233" s="14">
        <v>2025.0</v>
      </c>
      <c r="W233" s="2" t="s">
        <v>1168</v>
      </c>
      <c r="X233" s="2" t="s">
        <v>1199</v>
      </c>
      <c r="Y233" s="13" t="s">
        <v>886</v>
      </c>
      <c r="Z233" s="14">
        <v>0.0</v>
      </c>
      <c r="AA233" s="14">
        <v>0.0</v>
      </c>
      <c r="AB233" s="14">
        <v>0.0</v>
      </c>
      <c r="AC233" s="14">
        <v>0.0</v>
      </c>
      <c r="AD233" s="2">
        <v>0.0</v>
      </c>
      <c r="AE233" s="2">
        <v>0.0</v>
      </c>
      <c r="AF233" s="2">
        <v>12.0</v>
      </c>
      <c r="AG233" s="2" t="s">
        <v>1215</v>
      </c>
      <c r="AH233" s="2">
        <v>0.0</v>
      </c>
    </row>
    <row r="234" ht="15.75" customHeight="1">
      <c r="A234" s="2" t="str">
        <f>IFERROR(__xludf.DUMMYFUNCTION("""COMPUTED_VALUE"""),"La Jornada")</f>
        <v>La Jornada</v>
      </c>
      <c r="B234" s="12" t="str">
        <f>IFERROR(__xludf.DUMMYFUNCTION("""COMPUTED_VALUE"""),"Reparación del daño a Abril, víctima de La Concordia, sin resolución por conflicto familiar")</f>
        <v>Reparación del daño a Abril, víctima de La Concordia, sin resolución por conflicto familiar</v>
      </c>
      <c r="C234" s="13" t="str">
        <f>IFERROR(__xludf.DUMMYFUNCTION("""COMPUTED_VALUE"""),"2025-12-25")</f>
        <v>2025-12-25</v>
      </c>
      <c r="D234" s="14">
        <f>IFERROR(__xludf.DUMMYFUNCTION("""COMPUTED_VALUE"""),1.0)</f>
        <v>1</v>
      </c>
      <c r="E234" s="15">
        <f>IFERROR(__xludf.DUMMYFUNCTION("""COMPUTED_VALUE"""),0.0)</f>
        <v>0</v>
      </c>
      <c r="F234" s="2" t="str">
        <f>IFERROR(__xludf.DUMMYFUNCTION("""COMPUTED_VALUE"""),"Neutral")</f>
        <v>Neutral</v>
      </c>
      <c r="G234" s="15">
        <f>IFERROR(__xludf.DUMMYFUNCTION("""COMPUTED_VALUE"""),0.5712)</f>
        <v>0.5712</v>
      </c>
      <c r="H234" s="2" t="str">
        <f>IFERROR(__xludf.DUMMYFUNCTION("""COMPUTED_VALUE"""),"Otros temas generales")</f>
        <v>Otros temas generales</v>
      </c>
      <c r="I234" s="2" t="str">
        <f>IFERROR(__xludf.DUMMYFUNCTION("""COMPUTED_VALUE"""),"N/A")</f>
        <v>N/A</v>
      </c>
      <c r="J234" s="2" t="str">
        <f>IFERROR(__xludf.DUMMYFUNCTION("""COMPUTED_VALUE"""),"Descartar / Baja prioridad.")</f>
        <v>Descartar / Baja prioridad.</v>
      </c>
      <c r="K234" s="2" t="str">
        <f>IFERROR(__xludf.DUMMYFUNCTION("""COMPUTED_VALUE"""),"Ciudad de México")</f>
        <v>Ciudad de México</v>
      </c>
      <c r="L234" s="2" t="str">
        <f>IFERROR(__xludf.DUMMYFUNCTION("""COMPUTED_VALUE"""),"Ciudad de México")</f>
        <v>Ciudad de México</v>
      </c>
      <c r="M234" s="16" t="str">
        <f>IFERROR(__xludf.DUMMYFUNCTION("""COMPUTED_VALUE"""),"https://www.jornada.com.mx/noticia/2025/12/25/capital/reparacion-del-dano-a-abril-victima-de-la-concordia-sin-resolucion-por-conflicto-familiar")</f>
        <v>https://www.jornada.com.mx/noticia/2025/12/25/capital/reparacion-del-dano-a-abril-victima-de-la-concordia-sin-resolucion-por-conflicto-familiar</v>
      </c>
      <c r="N234" s="2" t="str">
        <f>IFERROR(__xludf.DUMMYFUNCTION("""COMPUTED_VALUE"""),"Ciudad de México.La Fiscalía General de Justicia de la Ciudad de México (FGJCDMX) informó que la reparación del daño por una de las víctimas de la explosión en La Concordia identificada como Abril no se ha formalizado debido a un conflicto familiar en pro"&amp;"ceso de resolución, relacionado con la definición legal de la guarda y custodia de sus 4 hijos. A través de una tarjeta informativa. La FGJ precisó que esta ""definición es indispensable para establecer un mecanismo jurídico seguro que garantice que los r"&amp;"ecursos de la reparación se destinen exclusivamente a las hijas e hijos de la víctima"". Sin embargo, aseguraron que mantienen atención y acompañamiento a la familia y que desde el inicio del caso, se han brindado apoyos directos que incluyen la cobertura"&amp;" de gastos funerarios, apoyo solidario, orientación jurídica y atención psicológica especializada para las hijas e hijos de la víctima, así como para las personas que hoy se hacen cargo de su cuidado. Abril era madre de dos hijas y dos hijos, quienes actu"&amp;"almente se encuentran bajo el cuidado de un familiar cercano.Las y los menores reciben seguimiento psicológico continuo, con sesiones periódicas y atención especializada, como parte de las acciones de protección integral a víctimas indirectas, enfatizó la"&amp;" institución ministerial. ""El caso sigue siendo atendido, que el acompañamiento institucional y humano se mantiene de manera permanente, y que no se dará por concluido hasta que el proceso familiar permita avanzar plenamente en la reparación integral del"&amp;" daño, con justicia y protección efectiva para las hijas e hijos de Abril"".")</f>
        <v>Ciudad de México.La Fiscalía General de Justicia de la Ciudad de México (FGJCDMX) informó que la reparación del daño por una de las víctimas de la explosión en La Concordia identificada como Abril no se ha formalizado debido a un conflicto familiar en proceso de resolución, relacionado con la definición legal de la guarda y custodia de sus 4 hijos. A través de una tarjeta informativa. La FGJ precisó que esta "definición es indispensable para establecer un mecanismo jurídico seguro que garantice que los recursos de la reparación se destinen exclusivamente a las hijas e hijos de la víctima". Sin embargo, aseguraron que mantienen atención y acompañamiento a la familia y que desde el inicio del caso, se han brindado apoyos directos que incluyen la cobertura de gastos funerarios, apoyo solidario, orientación jurídica y atención psicológica especializada para las hijas e hijos de la víctima, así como para las personas que hoy se hacen cargo de su cuidado. Abril era madre de dos hijas y dos hijos, quienes actualmente se encuentran bajo el cuidado de un familiar cercano.Las y los menores reciben seguimiento psicológico continuo, con sesiones periódicas y atención especializada, como parte de las acciones de protección integral a víctimas indirectas, enfatizó la institución ministerial. "El caso sigue siendo atendido, que el acompañamiento institucional y humano se mantiene de manera permanente, y que no se dará por concluido hasta que el proceso familiar permita avanzar plenamente en la reparación integral del daño, con justicia y protección efectiva para las hijas e hijos de Abril".</v>
      </c>
      <c r="O234" s="15">
        <f>IFERROR(__xludf.DUMMYFUNCTION("""COMPUTED_VALUE"""),0.3997)</f>
        <v>0.3997</v>
      </c>
      <c r="P234" s="2"/>
      <c r="Q234" s="17">
        <f>IFERROR(__xludf.DUMMYFUNCTION("""COMPUTED_VALUE"""),5.0)</f>
        <v>5</v>
      </c>
      <c r="R234" s="2" t="str">
        <f>IFERROR(__xludf.DUMMYFUNCTION("""COMPUTED_VALUE"""),"Medium")</f>
        <v>Medium</v>
      </c>
      <c r="S234" s="17">
        <f>IFERROR(__xludf.DUMMYFUNCTION("""COMPUTED_VALUE"""),1.0)</f>
        <v>1</v>
      </c>
      <c r="T234" s="17">
        <f>IFERROR(__xludf.DUMMYFUNCTION("""COMPUTED_VALUE"""),0.0)</f>
        <v>0</v>
      </c>
      <c r="U234" s="14">
        <f>IFERROR(__xludf.DUMMYFUNCTION("""COMPUTED_VALUE"""),3.0)</f>
        <v>3</v>
      </c>
      <c r="V234" s="14">
        <v>2025.0</v>
      </c>
      <c r="W234" s="2" t="s">
        <v>1168</v>
      </c>
      <c r="X234" s="2" t="s">
        <v>1201</v>
      </c>
      <c r="Y234" s="13" t="s">
        <v>910</v>
      </c>
      <c r="Z234" s="14">
        <v>0.0</v>
      </c>
      <c r="AA234" s="14">
        <v>0.0</v>
      </c>
      <c r="AB234" s="14">
        <v>0.0</v>
      </c>
      <c r="AC234" s="14">
        <v>0.0</v>
      </c>
      <c r="AD234" s="2">
        <v>0.0</v>
      </c>
      <c r="AE234" s="2">
        <v>0.0</v>
      </c>
      <c r="AF234" s="2">
        <v>12.0</v>
      </c>
      <c r="AG234" s="2" t="s">
        <v>1175</v>
      </c>
      <c r="AH234" s="2">
        <v>0.0</v>
      </c>
    </row>
    <row r="235" ht="15.75" customHeight="1">
      <c r="A235" s="2" t="str">
        <f>IFERROR(__xludf.DUMMYFUNCTION("""COMPUTED_VALUE"""),"La Jornada")</f>
        <v>La Jornada</v>
      </c>
      <c r="B235" s="12" t="str">
        <f>IFERROR(__xludf.DUMMYFUNCTION("""COMPUTED_VALUE"""),"Identificación de 'El Panu', asesinado en un restaurante de CDMX, fue por huellas dactilares, detalla FGJ")</f>
        <v>Identificación de 'El Panu', asesinado en un restaurante de CDMX, fue por huellas dactilares, detalla FGJ</v>
      </c>
      <c r="C235" s="13" t="str">
        <f>IFERROR(__xludf.DUMMYFUNCTION("""COMPUTED_VALUE"""),"2025-12-25")</f>
        <v>2025-12-25</v>
      </c>
      <c r="D235" s="14">
        <f>IFERROR(__xludf.DUMMYFUNCTION("""COMPUTED_VALUE"""),5.0)</f>
        <v>5</v>
      </c>
      <c r="E235" s="15">
        <f>IFERROR(__xludf.DUMMYFUNCTION("""COMPUTED_VALUE"""),0.0)</f>
        <v>0</v>
      </c>
      <c r="F235" s="2" t="str">
        <f>IFERROR(__xludf.DUMMYFUNCTION("""COMPUTED_VALUE"""),"Neutral")</f>
        <v>Neutral</v>
      </c>
      <c r="G235" s="15">
        <f>IFERROR(__xludf.DUMMYFUNCTION("""COMPUTED_VALUE"""),0.5724)</f>
        <v>0.5724</v>
      </c>
      <c r="H235" s="2" t="str">
        <f>IFERROR(__xludf.DUMMYFUNCTION("""COMPUTED_VALUE"""),"Delito violento, robo o asalto")</f>
        <v>Delito violento, robo o asalto</v>
      </c>
      <c r="I235" s="2" t="str">
        <f>IFERROR(__xludf.DUMMYFUNCTION("""COMPUTED_VALUE"""),"asesinado")</f>
        <v>asesinado</v>
      </c>
      <c r="J235" s="2" t="str">
        <f>IFERROR(__xludf.DUMMYFUNCTION("""COMPUTED_VALUE"""),"Prevención PAX: Contactos de confianza.")</f>
        <v>Prevención PAX: Contactos de confianza.</v>
      </c>
      <c r="K235" s="2" t="str">
        <f>IFERROR(__xludf.DUMMYFUNCTION("""COMPUTED_VALUE"""),"Ciudad de México")</f>
        <v>Ciudad de México</v>
      </c>
      <c r="L235" s="2" t="str">
        <f>IFERROR(__xludf.DUMMYFUNCTION("""COMPUTED_VALUE"""),"Ciudad de México")</f>
        <v>Ciudad de México</v>
      </c>
      <c r="M235" s="16" t="str">
        <f>IFERROR(__xludf.DUMMYFUNCTION("""COMPUTED_VALUE"""),"https://www.jornada.com.mx/noticia/2025/12/25/capital/identificacion-de-el-panu-fue-por-huellas-dactilares-detalla-fgj")</f>
        <v>https://www.jornada.com.mx/noticia/2025/12/25/capital/identificacion-de-el-panu-fue-por-huellas-dactilares-detalla-fgj</v>
      </c>
      <c r="N235" s="2" t="str">
        <f>IFERROR(__xludf.DUMMYFUNCTION("""COMPUTED_VALUE"""),"Ciudad de México.La Fiscalía General de Justicia de la Ciudad de México (FGJ) informó que continúan con la investigación en torno al asesinato de Oscar Noé Medina aliasEl Panuintegrante deLos Chapitosocurrido el pasado 21 de diciembre al interior del rest"&amp;"aurante Luaú, en la colonia Juárez. A través de un tarjeta informativa señalaron que la identificación del lugarteniente deLos Chapitosse realizó mediante peritajes de huellas dactilares. El Panuse encontraba con familiares cuando un individuo con vestime"&amp;"nta oscura, gorra y cubrebocas se aproximó y le disparó con un arma de fuego en diversas ocasiones, provocando su muerte y lesionando a otra persona. En el ámbito internacional, autoridades de Estados Unidos, a través del Departamento de Justicia y la Adm"&amp;"inistración para el Control de Drogas (DEA), mantenía una orden de búsqueda contraEl Panupor quien se ofrecía una recompensa de hasta cuatro millones de dólares derivada de acusaciones por delitos relacionados con el tráfico internacional de drogas, así c"&amp;"omo por su presunto rol operativo dentro del Cártel de Sinaloa, organización criminal con impacto transnacional “La Fiscalía CDMX mantiene la investigación en curso para esclarecer plenamente los hechos, identificar y localizar a quienes resulten responsa"&amp;"bles y determinar el móvil del ataque”, señalaron.")</f>
        <v>Ciudad de México.La Fiscalía General de Justicia de la Ciudad de México (FGJ) informó que continúan con la investigación en torno al asesinato de Oscar Noé Medina aliasEl Panuintegrante deLos Chapitosocurrido el pasado 21 de diciembre al interior del restaurante Luaú, en la colonia Juárez. A través de un tarjeta informativa señalaron que la identificación del lugarteniente deLos Chapitosse realizó mediante peritajes de huellas dactilares. El Panuse encontraba con familiares cuando un individuo con vestimenta oscura, gorra y cubrebocas se aproximó y le disparó con un arma de fuego en diversas ocasiones, provocando su muerte y lesionando a otra persona. En el ámbito internacional, autoridades de Estados Unidos, a través del Departamento de Justicia y la Administración para el Control de Drogas (DEA), mantenía una orden de búsqueda contraEl Panupor quien se ofrecía una recompensa de hasta cuatro millones de dólares derivada de acusaciones por delitos relacionados con el tráfico internacional de drogas, así como por su presunto rol operativo dentro del Cártel de Sinaloa, organización criminal con impacto transnacional “La Fiscalía CDMX mantiene la investigación en curso para esclarecer plenamente los hechos, identificar y localizar a quienes resulten responsables y determinar el móvil del ataque”, señalaron.</v>
      </c>
      <c r="O235" s="15">
        <f>IFERROR(__xludf.DUMMYFUNCTION("""COMPUTED_VALUE"""),1.0)</f>
        <v>1</v>
      </c>
      <c r="P235" s="2"/>
      <c r="Q235" s="17">
        <f>IFERROR(__xludf.DUMMYFUNCTION("""COMPUTED_VALUE"""),8.0)</f>
        <v>8</v>
      </c>
      <c r="R235" s="2" t="str">
        <f>IFERROR(__xludf.DUMMYFUNCTION("""COMPUTED_VALUE"""),"High")</f>
        <v>High</v>
      </c>
      <c r="S235" s="17">
        <f>IFERROR(__xludf.DUMMYFUNCTION("""COMPUTED_VALUE"""),5.0)</f>
        <v>5</v>
      </c>
      <c r="T235" s="17">
        <f>IFERROR(__xludf.DUMMYFUNCTION("""COMPUTED_VALUE"""),0.0)</f>
        <v>0</v>
      </c>
      <c r="U235" s="14">
        <f>IFERROR(__xludf.DUMMYFUNCTION("""COMPUTED_VALUE"""),3.0)</f>
        <v>3</v>
      </c>
      <c r="V235" s="14">
        <v>2025.0</v>
      </c>
      <c r="W235" s="2" t="s">
        <v>1168</v>
      </c>
      <c r="X235" s="2" t="s">
        <v>1201</v>
      </c>
      <c r="Y235" s="13" t="s">
        <v>910</v>
      </c>
      <c r="Z235" s="14">
        <v>0.0</v>
      </c>
      <c r="AA235" s="14">
        <v>0.0</v>
      </c>
      <c r="AB235" s="14">
        <v>0.0</v>
      </c>
      <c r="AC235" s="14">
        <v>0.0</v>
      </c>
      <c r="AD235" s="2">
        <v>0.0</v>
      </c>
      <c r="AE235" s="2">
        <v>1.0</v>
      </c>
      <c r="AF235" s="2">
        <v>12.0</v>
      </c>
      <c r="AG235" s="2" t="s">
        <v>1175</v>
      </c>
      <c r="AH235" s="2">
        <v>0.0</v>
      </c>
    </row>
    <row r="236" ht="15.75" customHeight="1">
      <c r="A236" s="2" t="str">
        <f>IFERROR(__xludf.DUMMYFUNCTION("""COMPUTED_VALUE"""),"La Jornada")</f>
        <v>La Jornada</v>
      </c>
      <c r="B236" s="12" t="str">
        <f>IFERROR(__xludf.DUMMYFUNCTION("""COMPUTED_VALUE"""),"Conductor ebrio ocasiona choque en Circuito y Río Consulado; se reportan varios heridos")</f>
        <v>Conductor ebrio ocasiona choque en Circuito y Río Consulado; se reportan varios heridos</v>
      </c>
      <c r="C236" s="13" t="str">
        <f>IFERROR(__xludf.DUMMYFUNCTION("""COMPUTED_VALUE"""),"2025-12-25")</f>
        <v>2025-12-25</v>
      </c>
      <c r="D236" s="14">
        <f>IFERROR(__xludf.DUMMYFUNCTION("""COMPUTED_VALUE"""),2.0)</f>
        <v>2</v>
      </c>
      <c r="E236" s="15">
        <f>IFERROR(__xludf.DUMMYFUNCTION("""COMPUTED_VALUE"""),-0.7444)</f>
        <v>-0.7444</v>
      </c>
      <c r="F236" s="2" t="str">
        <f>IFERROR(__xludf.DUMMYFUNCTION("""COMPUTED_VALUE"""),"Negativo")</f>
        <v>Negativo</v>
      </c>
      <c r="G236" s="15">
        <f>IFERROR(__xludf.DUMMYFUNCTION("""COMPUTED_VALUE"""),0.7444)</f>
        <v>0.7444</v>
      </c>
      <c r="H236" s="2" t="str">
        <f>IFERROR(__xludf.DUMMYFUNCTION("""COMPUTED_VALUE"""),"Accidente de tránsito o choque vial")</f>
        <v>Accidente de tránsito o choque vial</v>
      </c>
      <c r="I236" s="2" t="str">
        <f>IFERROR(__xludf.DUMMYFUNCTION("""COMPUTED_VALUE"""),"choque")</f>
        <v>choque</v>
      </c>
      <c r="J236" s="2" t="str">
        <f>IFERROR(__xludf.DUMMYFUNCTION("""COMPUTED_VALUE"""),"Soporte DRV: Seguros/Guía post-siniestro.")</f>
        <v>Soporte DRV: Seguros/Guía post-siniestro.</v>
      </c>
      <c r="K236" s="2" t="str">
        <f>IFERROR(__xludf.DUMMYFUNCTION("""COMPUTED_VALUE"""),"Ciudad de México")</f>
        <v>Ciudad de México</v>
      </c>
      <c r="L236" s="2" t="str">
        <f>IFERROR(__xludf.DUMMYFUNCTION("""COMPUTED_VALUE"""),"Ciudad de México")</f>
        <v>Ciudad de México</v>
      </c>
      <c r="M236" s="16" t="str">
        <f>IFERROR(__xludf.DUMMYFUNCTION("""COMPUTED_VALUE"""),"https://www.jornada.com.mx/noticia/2025/12/25/capital/conductor-ebrio-ocasiona-choque-en-circuito-y-rio-consulado-se-reportan-varios-heridos")</f>
        <v>https://www.jornada.com.mx/noticia/2025/12/25/capital/conductor-ebrio-ocasiona-choque-en-circuito-y-rio-consulado-se-reportan-varios-heridos</v>
      </c>
      <c r="N236" s="2" t="str">
        <f>IFERROR(__xludf.DUMMYFUNCTION("""COMPUTED_VALUE"""),"Ciudad de México.El conductor de un vehículo en estado de ebriedad perdió el control y ocasionó un choque con otros vehículos sobre Circuito Interior y la Avenida Río Consulado, en la alcaldía Gustavo A. Madero. Los hechos ocurrieron esta mañana cuando el"&amp;" conductor del vehículo negro con placas 951ZZX impactó con un vehículo VW Virtus, al ir conduciendo a exceso de velocidad. Uno de los vehículos derribó un poste de alumbrado público, mientras que el segundo vehículo volcó. En el lugar quedaron personas l"&amp;"esionadas por lo que acudieron cuerpos de emergencia quienes valoraron a un hombre y una mujer lesionados.")</f>
        <v>Ciudad de México.El conductor de un vehículo en estado de ebriedad perdió el control y ocasionó un choque con otros vehículos sobre Circuito Interior y la Avenida Río Consulado, en la alcaldía Gustavo A. Madero. Los hechos ocurrieron esta mañana cuando el conductor del vehículo negro con placas 951ZZX impactó con un vehículo VW Virtus, al ir conduciendo a exceso de velocidad. Uno de los vehículos derribó un poste de alumbrado público, mientras que el segundo vehículo volcó. En el lugar quedaron personas lesionadas por lo que acudieron cuerpos de emergencia quienes valoraron a un hombre y una mujer lesionados.</v>
      </c>
      <c r="O236" s="15">
        <f>IFERROR(__xludf.DUMMYFUNCTION("""COMPUTED_VALUE"""),1.0)</f>
        <v>1</v>
      </c>
      <c r="P236" s="2"/>
      <c r="Q236" s="17">
        <f>IFERROR(__xludf.DUMMYFUNCTION("""COMPUTED_VALUE"""),5.0)</f>
        <v>5</v>
      </c>
      <c r="R236" s="2" t="str">
        <f>IFERROR(__xludf.DUMMYFUNCTION("""COMPUTED_VALUE"""),"Medium")</f>
        <v>Medium</v>
      </c>
      <c r="S236" s="17">
        <f>IFERROR(__xludf.DUMMYFUNCTION("""COMPUTED_VALUE"""),1.0)</f>
        <v>1</v>
      </c>
      <c r="T236" s="17">
        <f>IFERROR(__xludf.DUMMYFUNCTION("""COMPUTED_VALUE"""),0.0)</f>
        <v>0</v>
      </c>
      <c r="U236" s="14">
        <f>IFERROR(__xludf.DUMMYFUNCTION("""COMPUTED_VALUE"""),3.0)</f>
        <v>3</v>
      </c>
      <c r="V236" s="14">
        <v>2025.0</v>
      </c>
      <c r="W236" s="2" t="s">
        <v>1168</v>
      </c>
      <c r="X236" s="2" t="s">
        <v>1201</v>
      </c>
      <c r="Y236" s="13" t="s">
        <v>910</v>
      </c>
      <c r="Z236" s="14">
        <v>0.0</v>
      </c>
      <c r="AA236" s="14">
        <v>0.0</v>
      </c>
      <c r="AB236" s="14">
        <v>0.0</v>
      </c>
      <c r="AC236" s="14">
        <v>0.0</v>
      </c>
      <c r="AD236" s="2">
        <v>0.0</v>
      </c>
      <c r="AE236" s="2">
        <v>0.0</v>
      </c>
      <c r="AF236" s="2">
        <v>12.0</v>
      </c>
      <c r="AG236" s="2" t="s">
        <v>1175</v>
      </c>
      <c r="AH236" s="2">
        <v>0.0</v>
      </c>
    </row>
    <row r="237" ht="15.75" customHeight="1">
      <c r="A237" s="2" t="str">
        <f>IFERROR(__xludf.DUMMYFUNCTION("""COMPUTED_VALUE"""),"La Jornada")</f>
        <v>La Jornada</v>
      </c>
      <c r="B237" s="12" t="str">
        <f>IFERROR(__xludf.DUMMYFUNCTION("""COMPUTED_VALUE"""),"Muere conductor de taxi tras impactarse en obras de la calle San Antonio Abad")</f>
        <v>Muere conductor de taxi tras impactarse en obras de la calle San Antonio Abad</v>
      </c>
      <c r="C237" s="13" t="str">
        <f>IFERROR(__xludf.DUMMYFUNCTION("""COMPUTED_VALUE"""),"2025-12-25")</f>
        <v>2025-12-25</v>
      </c>
      <c r="D237" s="14">
        <f>IFERROR(__xludf.DUMMYFUNCTION("""COMPUTED_VALUE"""),2.0)</f>
        <v>2</v>
      </c>
      <c r="E237" s="15">
        <f>IFERROR(__xludf.DUMMYFUNCTION("""COMPUTED_VALUE"""),-0.7405)</f>
        <v>-0.7405</v>
      </c>
      <c r="F237" s="2" t="str">
        <f>IFERROR(__xludf.DUMMYFUNCTION("""COMPUTED_VALUE"""),"Negativo")</f>
        <v>Negativo</v>
      </c>
      <c r="G237" s="15">
        <f>IFERROR(__xludf.DUMMYFUNCTION("""COMPUTED_VALUE"""),0.7405)</f>
        <v>0.7405</v>
      </c>
      <c r="H237" s="2" t="str">
        <f>IFERROR(__xludf.DUMMYFUNCTION("""COMPUTED_VALUE"""),"Accidente de tránsito o choque vial")</f>
        <v>Accidente de tránsito o choque vial</v>
      </c>
      <c r="I237" s="2" t="str">
        <f>IFERROR(__xludf.DUMMYFUNCTION("""COMPUTED_VALUE"""),"N/A")</f>
        <v>N/A</v>
      </c>
      <c r="J237" s="2" t="str">
        <f>IFERROR(__xludf.DUMMYFUNCTION("""COMPUTED_VALUE"""),"Soporte DRV: Seguros/Guía post-siniestro.")</f>
        <v>Soporte DRV: Seguros/Guía post-siniestro.</v>
      </c>
      <c r="K237" s="2" t="str">
        <f>IFERROR(__xludf.DUMMYFUNCTION("""COMPUTED_VALUE"""),"Ciudad de México")</f>
        <v>Ciudad de México</v>
      </c>
      <c r="L237" s="2" t="str">
        <f>IFERROR(__xludf.DUMMYFUNCTION("""COMPUTED_VALUE"""),"Ciudad de México")</f>
        <v>Ciudad de México</v>
      </c>
      <c r="M237" s="16" t="str">
        <f>IFERROR(__xludf.DUMMYFUNCTION("""COMPUTED_VALUE"""),"https://www.jornada.com.mx/noticia/2025/12/25/capital/muere-conductor-de-taxi-tras-impactarse-en-obras-en-la-calle-san-antonio-abad")</f>
        <v>https://www.jornada.com.mx/noticia/2025/12/25/capital/muere-conductor-de-taxi-tras-impactarse-en-obras-en-la-calle-san-antonio-abad</v>
      </c>
      <c r="N237" s="2" t="str">
        <f>IFERROR(__xludf.DUMMYFUNCTION("""COMPUTED_VALUE"""),"Ciudad de México.El conductor de un taxi perdió la vida luego de que su unidad se impactara contra una palmera y posteriormente volcara sobre la calzada San Antonio Abad, en el cruce con José Tomás Cuéllar, en la colonia Obrera, alcaldía Cuauhtémoc. De ac"&amp;"uerdo con testigos, minutos antes del accidente el hombre detuvo el vehículo para pedir ayuda, ya que presuntamente afirmaba sentir animales en el cuerpo. Posteriormente subió a su vehículo con placas A8371C y arrancó hasta el Eje 2 Sur y Calzada San Anto"&amp;"nio Abad en donde perdió el control y se impactó contra una palmera. La víctima salió disparada de la unidad por lo que el cuerpo quedó sobre la cinta asfáltica, a unos metros del Hotel Amazonas. Al lugar arribaron equipos de emergencia y bomberos capital"&amp;"inos. Dentro del taxi también viajaba un perro, que quedó prensado, elementos del Heroico Cuerpo de Bomberos realizaron maniobras de rescate y lograron liberar al animal con vida. La zona fue acordonada por elementos de la policía capitalina, quienes dier"&amp;"on aviso a la Coordinación de Servicios Periciales de la Fiscalía para el levantamiento del cuerpo.")</f>
        <v>Ciudad de México.El conductor de un taxi perdió la vida luego de que su unidad se impactara contra una palmera y posteriormente volcara sobre la calzada San Antonio Abad, en el cruce con José Tomás Cuéllar, en la colonia Obrera, alcaldía Cuauhtémoc. De acuerdo con testigos, minutos antes del accidente el hombre detuvo el vehículo para pedir ayuda, ya que presuntamente afirmaba sentir animales en el cuerpo. Posteriormente subió a su vehículo con placas A8371C y arrancó hasta el Eje 2 Sur y Calzada San Antonio Abad en donde perdió el control y se impactó contra una palmera. La víctima salió disparada de la unidad por lo que el cuerpo quedó sobre la cinta asfáltica, a unos metros del Hotel Amazonas. Al lugar arribaron equipos de emergencia y bomberos capitalinos. Dentro del taxi también viajaba un perro, que quedó prensado, elementos del Heroico Cuerpo de Bomberos realizaron maniobras de rescate y lograron liberar al animal con vida. La zona fue acordonada por elementos de la policía capitalina, quienes dieron aviso a la Coordinación de Servicios Periciales de la Fiscalía para el levantamiento del cuerpo.</v>
      </c>
      <c r="O237" s="15">
        <f>IFERROR(__xludf.DUMMYFUNCTION("""COMPUTED_VALUE"""),0.4653)</f>
        <v>0.4653</v>
      </c>
      <c r="P237" s="2"/>
      <c r="Q237" s="17">
        <f>IFERROR(__xludf.DUMMYFUNCTION("""COMPUTED_VALUE"""),5.0)</f>
        <v>5</v>
      </c>
      <c r="R237" s="2" t="str">
        <f>IFERROR(__xludf.DUMMYFUNCTION("""COMPUTED_VALUE"""),"Low")</f>
        <v>Low</v>
      </c>
      <c r="S237" s="17">
        <f>IFERROR(__xludf.DUMMYFUNCTION("""COMPUTED_VALUE"""),0.0)</f>
        <v>0</v>
      </c>
      <c r="T237" s="17">
        <f>IFERROR(__xludf.DUMMYFUNCTION("""COMPUTED_VALUE"""),0.0)</f>
        <v>0</v>
      </c>
      <c r="U237" s="14">
        <f>IFERROR(__xludf.DUMMYFUNCTION("""COMPUTED_VALUE"""),3.0)</f>
        <v>3</v>
      </c>
      <c r="V237" s="14">
        <v>2025.0</v>
      </c>
      <c r="W237" s="2" t="s">
        <v>1168</v>
      </c>
      <c r="X237" s="2" t="s">
        <v>1201</v>
      </c>
      <c r="Y237" s="13" t="s">
        <v>910</v>
      </c>
      <c r="Z237" s="14">
        <v>0.0</v>
      </c>
      <c r="AA237" s="14">
        <v>0.0</v>
      </c>
      <c r="AB237" s="14">
        <v>0.0</v>
      </c>
      <c r="AC237" s="14">
        <v>0.0</v>
      </c>
      <c r="AD237" s="2">
        <v>0.0</v>
      </c>
      <c r="AE237" s="2">
        <v>0.0</v>
      </c>
      <c r="AF237" s="2">
        <v>12.0</v>
      </c>
      <c r="AG237" s="2" t="s">
        <v>1175</v>
      </c>
      <c r="AH237" s="2">
        <v>0.0</v>
      </c>
    </row>
    <row r="238" ht="15.75" customHeight="1">
      <c r="A238" s="2" t="str">
        <f>IFERROR(__xludf.DUMMYFUNCTION("""COMPUTED_VALUE"""),"La Jornada")</f>
        <v>La Jornada</v>
      </c>
      <c r="B238" s="12" t="str">
        <f>IFERROR(__xludf.DUMMYFUNCTION("""COMPUTED_VALUE"""),"Dos personas fallecidas y dos lesionadas por incendio en domicilio en Iztapalapa ")</f>
        <v>Dos personas fallecidas y dos lesionadas por incendio en domicilio en Iztapalapa </v>
      </c>
      <c r="C238" s="13" t="str">
        <f>IFERROR(__xludf.DUMMYFUNCTION("""COMPUTED_VALUE"""),"2025-12-25")</f>
        <v>2025-12-25</v>
      </c>
      <c r="D238" s="14">
        <f>IFERROR(__xludf.DUMMYFUNCTION("""COMPUTED_VALUE"""),1.0)</f>
        <v>1</v>
      </c>
      <c r="E238" s="15">
        <f>IFERROR(__xludf.DUMMYFUNCTION("""COMPUTED_VALUE"""),-0.566)</f>
        <v>-0.566</v>
      </c>
      <c r="F238" s="2" t="str">
        <f>IFERROR(__xludf.DUMMYFUNCTION("""COMPUTED_VALUE"""),"Negativo")</f>
        <v>Negativo</v>
      </c>
      <c r="G238" s="15">
        <f>IFERROR(__xludf.DUMMYFUNCTION("""COMPUTED_VALUE"""),0.566)</f>
        <v>0.566</v>
      </c>
      <c r="H238" s="2" t="str">
        <f>IFERROR(__xludf.DUMMYFUNCTION("""COMPUTED_VALUE"""),"Otros temas generales")</f>
        <v>Otros temas generales</v>
      </c>
      <c r="I238" s="2" t="str">
        <f>IFERROR(__xludf.DUMMYFUNCTION("""COMPUTED_VALUE"""),"N/A")</f>
        <v>N/A</v>
      </c>
      <c r="J238" s="2" t="str">
        <f>IFERROR(__xludf.DUMMYFUNCTION("""COMPUTED_VALUE"""),"Descartar / Baja prioridad.")</f>
        <v>Descartar / Baja prioridad.</v>
      </c>
      <c r="K238" s="2" t="str">
        <f>IFERROR(__xludf.DUMMYFUNCTION("""COMPUTED_VALUE"""),"Iztapalapa")</f>
        <v>Iztapalapa</v>
      </c>
      <c r="L238" s="2" t="str">
        <f>IFERROR(__xludf.DUMMYFUNCTION("""COMPUTED_VALUE"""),"Ciudad de México")</f>
        <v>Ciudad de México</v>
      </c>
      <c r="M238" s="16" t="str">
        <f>IFERROR(__xludf.DUMMYFUNCTION("""COMPUTED_VALUE"""),"https://www.jornada.com.mx/noticia/2025/12/25/capital/dos-personas-fallecidas-y-dos-lesionadas-por-incendio-en-domicilio-en-iztapalapa")</f>
        <v>https://www.jornada.com.mx/noticia/2025/12/25/capital/dos-personas-fallecidas-y-dos-lesionadas-por-incendio-en-domicilio-en-iztapalapa</v>
      </c>
      <c r="N238" s="2" t="str">
        <f>IFERROR(__xludf.DUMMYFUNCTION("""COMPUTED_VALUE"""),"Ciudad de México.Una familia quedó atrapada en un incendio en casa habitación, la madrugada de este 25 de diciembre, con un saldo de 2 personas fallecidas y dos más lesionadas con quemaduras e intoxicación, en la colonia San Miguel Teotongo, Iztapalapa. L"&amp;"os hechos ocurrieron en la calle Colorines y avenida de Las Torres, hasta donde arribaron equipos de emergencia y bomberos capitalinos. El incendio se originó desde la parte baja de una casa de dos niveles, extendiéndose rápidamente. Cuando elementos del "&amp;"Cuerpo de Bomberos ingresó a la vivienda, hallaron a una mujer de 30 años y de 16, quienes ya no contaban con signos vitales. Además, rescataron a un hombre de 30 y a una mujer de 53 años, lesionados por intoxicación y quemaduras, por lo que fueron canali"&amp;"zados por paramédicos a un hospital cercano. Una vez controlado el incendio, el lugar fue acordonado y se solicitó el arribo de peritos de la Fiscalía para el levantamiento de loa cuerpos. Además, el Ministerio Público solicitó el inicio de las investigac"&amp;"iones para determinar las causas del incendio.")</f>
        <v>Ciudad de México.Una familia quedó atrapada en un incendio en casa habitación, la madrugada de este 25 de diciembre, con un saldo de 2 personas fallecidas y dos más lesionadas con quemaduras e intoxicación, en la colonia San Miguel Teotongo, Iztapalapa. Los hechos ocurrieron en la calle Colorines y avenida de Las Torres, hasta donde arribaron equipos de emergencia y bomberos capitalinos. El incendio se originó desde la parte baja de una casa de dos niveles, extendiéndose rápidamente. Cuando elementos del Cuerpo de Bomberos ingresó a la vivienda, hallaron a una mujer de 30 años y de 16, quienes ya no contaban con signos vitales. Además, rescataron a un hombre de 30 y a una mujer de 53 años, lesionados por intoxicación y quemaduras, por lo que fueron canalizados por paramédicos a un hospital cercano. Una vez controlado el incendio, el lugar fue acordonado y se solicitó el arribo de peritos de la Fiscalía para el levantamiento de loa cuerpos. Además, el Ministerio Público solicitó el inicio de las investigaciones para determinar las causas del incendio.</v>
      </c>
      <c r="O238" s="15">
        <f>IFERROR(__xludf.DUMMYFUNCTION("""COMPUTED_VALUE"""),0.3115)</f>
        <v>0.3115</v>
      </c>
      <c r="P238" s="2"/>
      <c r="Q238" s="17">
        <f>IFERROR(__xludf.DUMMYFUNCTION("""COMPUTED_VALUE"""),8.5)</f>
        <v>8.5</v>
      </c>
      <c r="R238" s="2" t="str">
        <f>IFERROR(__xludf.DUMMYFUNCTION("""COMPUTED_VALUE"""),"High")</f>
        <v>High</v>
      </c>
      <c r="S238" s="17">
        <f>IFERROR(__xludf.DUMMYFUNCTION("""COMPUTED_VALUE"""),3.5)</f>
        <v>3.5</v>
      </c>
      <c r="T238" s="17">
        <f>IFERROR(__xludf.DUMMYFUNCTION("""COMPUTED_VALUE"""),0.0)</f>
        <v>0</v>
      </c>
      <c r="U238" s="14">
        <f>IFERROR(__xludf.DUMMYFUNCTION("""COMPUTED_VALUE"""),3.0)</f>
        <v>3</v>
      </c>
      <c r="V238" s="14">
        <v>2025.0</v>
      </c>
      <c r="W238" s="2" t="s">
        <v>1168</v>
      </c>
      <c r="X238" s="2" t="s">
        <v>1201</v>
      </c>
      <c r="Y238" s="13" t="s">
        <v>910</v>
      </c>
      <c r="Z238" s="14">
        <v>0.0</v>
      </c>
      <c r="AA238" s="14">
        <v>0.0</v>
      </c>
      <c r="AB238" s="14">
        <v>0.0</v>
      </c>
      <c r="AC238" s="14">
        <v>0.0</v>
      </c>
      <c r="AD238" s="2">
        <v>0.0</v>
      </c>
      <c r="AE238" s="2">
        <v>0.0</v>
      </c>
      <c r="AF238" s="2">
        <v>12.0</v>
      </c>
      <c r="AG238" s="2" t="s">
        <v>1222</v>
      </c>
      <c r="AH238" s="2">
        <v>0.0</v>
      </c>
    </row>
    <row r="239" ht="15.75" customHeight="1">
      <c r="A239" s="2" t="str">
        <f>IFERROR(__xludf.DUMMYFUNCTION("""COMPUTED_VALUE"""),"La Jornada")</f>
        <v>La Jornada</v>
      </c>
      <c r="B239" s="12" t="str">
        <f>IFERROR(__xludf.DUMMYFUNCTION("""COMPUTED_VALUE"""),"Despliega SSC CDMX más de 14 mil policías por Nochebuena y Navidad")</f>
        <v>Despliega SSC CDMX más de 14 mil policías por Nochebuena y Navidad</v>
      </c>
      <c r="C239" s="13" t="str">
        <f>IFERROR(__xludf.DUMMYFUNCTION("""COMPUTED_VALUE"""),"2025-12-24")</f>
        <v>2025-12-24</v>
      </c>
      <c r="D239" s="14">
        <f>IFERROR(__xludf.DUMMYFUNCTION("""COMPUTED_VALUE"""),1.0)</f>
        <v>1</v>
      </c>
      <c r="E239" s="15">
        <f>IFERROR(__xludf.DUMMYFUNCTION("""COMPUTED_VALUE"""),0.0)</f>
        <v>0</v>
      </c>
      <c r="F239" s="2" t="str">
        <f>IFERROR(__xludf.DUMMYFUNCTION("""COMPUTED_VALUE"""),"Neutral")</f>
        <v>Neutral</v>
      </c>
      <c r="G239" s="15">
        <f>IFERROR(__xludf.DUMMYFUNCTION("""COMPUTED_VALUE"""),0.4943)</f>
        <v>0.4943</v>
      </c>
      <c r="H239" s="2" t="str">
        <f>IFERROR(__xludf.DUMMYFUNCTION("""COMPUTED_VALUE"""),"Otros temas generales")</f>
        <v>Otros temas generales</v>
      </c>
      <c r="I239" s="2" t="str">
        <f>IFERROR(__xludf.DUMMYFUNCTION("""COMPUTED_VALUE"""),"N/A")</f>
        <v>N/A</v>
      </c>
      <c r="J239" s="2" t="str">
        <f>IFERROR(__xludf.DUMMYFUNCTION("""COMPUTED_VALUE"""),"Descartar / Baja prioridad.")</f>
        <v>Descartar / Baja prioridad.</v>
      </c>
      <c r="K239" s="2" t="str">
        <f>IFERROR(__xludf.DUMMYFUNCTION("""COMPUTED_VALUE"""),"Ciudad de México")</f>
        <v>Ciudad de México</v>
      </c>
      <c r="L239" s="2" t="str">
        <f>IFERROR(__xludf.DUMMYFUNCTION("""COMPUTED_VALUE"""),"Ciudad de México")</f>
        <v>Ciudad de México</v>
      </c>
      <c r="M239" s="16" t="str">
        <f>IFERROR(__xludf.DUMMYFUNCTION("""COMPUTED_VALUE"""),"https://www.jornada.com.mx/noticia/2025/12/24/capital/despliega-ssc-cdmx-mas-de-14-mil-policias-por-nochebuena-y-navidad")</f>
        <v>https://www.jornada.com.mx/noticia/2025/12/24/capital/despliega-ssc-cdmx-mas-de-14-mil-policias-por-nochebuena-y-navidad</v>
      </c>
      <c r="N239" s="2" t="str">
        <f>IFERROR(__xludf.DUMMYFUNCTION("""COMPUTED_VALUE"""),"Ciudad de México.Desde las primeras horas de este 24 de diciembre, la Secretaría de Seguridad Ciudadana (SSC) de la Ciudad de México desplegó 14 mil 560 efectivos como parte del operativo “Festividades de Nochebuena y Navidad 2025”, implementado en las 16"&amp;" alcaldías para salvaguardar la integridad de las familias durante las celebraciones decembrinas.El dispositivo de seguridad cuenta con la participación de personal de las Subsecretarías de Operación Policial, Tránsito, Inteligencia e Investigación Polici"&amp;"al, así como de la Policía Auxiliar y la Policía Bancaria e Industrial, apoyados por mil 97 vehículos oficiales.Además, participan 15 ambulancias y 12 motoambulancias del Escuadrón de Rescate y Urgencias Médicas (ERUM), cinco motocicletas y dos helicópter"&amp;"os de la Dirección General de Servicios Aéreos Cóndores, que realizan labores de supervisión, disuasión y prevención en distintos puntos de la capital.La SSC informó que se mantienen recorridos preventivos y puntos de vigilancia en zonas de alta afluencia"&amp;", como atracciones navideñas, romerías y tianguis sobre ruedas.En tanto, personal de la Subsecretaría de Control de Tránsito implementa dispositivos para garantizar la movilidad peatonal y vehicular, mediante la aplicación del Reglamento de Tránsito, el c"&amp;"ontrol del estacionamiento en lugares prohibidos y la atención de incidentes en accesos carreteros.La dependencia exhortó a la ciudadanía a utilizar la aplicación “Mi Policía” para solicitar apoyo inmediato del oficial del cuadrante correspondiente y mant"&amp;"enerse informada a través de las redes sociales de la SSC, @OVIALCDMX y @UCS_GCDMX.")</f>
        <v>Ciudad de México.Desde las primeras horas de este 24 de diciembre, la Secretaría de Seguridad Ciudadana (SSC) de la Ciudad de México desplegó 14 mil 560 efectivos como parte del operativo “Festividades de Nochebuena y Navidad 2025”, implementado en las 16 alcaldías para salvaguardar la integridad de las familias durante las celebraciones decembrinas.El dispositivo de seguridad cuenta con la participación de personal de las Subsecretarías de Operación Policial, Tránsito, Inteligencia e Investigación Policial, así como de la Policía Auxiliar y la Policía Bancaria e Industrial, apoyados por mil 97 vehículos oficiales.Además, participan 15 ambulancias y 12 motoambulancias del Escuadrón de Rescate y Urgencias Médicas (ERUM), cinco motocicletas y dos helicópteros de la Dirección General de Servicios Aéreos Cóndores, que realizan labores de supervisión, disuasión y prevención en distintos puntos de la capital.La SSC informó que se mantienen recorridos preventivos y puntos de vigilancia en zonas de alta afluencia, como atracciones navideñas, romerías y tianguis sobre ruedas.En tanto, personal de la Subsecretaría de Control de Tránsito implementa dispositivos para garantizar la movilidad peatonal y vehicular, mediante la aplicación del Reglamento de Tránsito, el control del estacionamiento en lugares prohibidos y la atención de incidentes en accesos carreteros.La dependencia exhortó a la ciudadanía a utilizar la aplicación “Mi Policía” para solicitar apoyo inmediato del oficial del cuadrante correspondiente y mantenerse informada a través de las redes sociales de la SSC, @OVIALCDMX y @UCS_GCDMX.</v>
      </c>
      <c r="O239" s="15">
        <f>IFERROR(__xludf.DUMMYFUNCTION("""COMPUTED_VALUE"""),0.3096)</f>
        <v>0.3096</v>
      </c>
      <c r="P239" s="2"/>
      <c r="Q239" s="17">
        <f>IFERROR(__xludf.DUMMYFUNCTION("""COMPUTED_VALUE"""),8.0)</f>
        <v>8</v>
      </c>
      <c r="R239" s="2" t="str">
        <f>IFERROR(__xludf.DUMMYFUNCTION("""COMPUTED_VALUE"""),"High")</f>
        <v>High</v>
      </c>
      <c r="S239" s="17">
        <f>IFERROR(__xludf.DUMMYFUNCTION("""COMPUTED_VALUE"""),5.0)</f>
        <v>5</v>
      </c>
      <c r="T239" s="17">
        <f>IFERROR(__xludf.DUMMYFUNCTION("""COMPUTED_VALUE"""),0.0)</f>
        <v>0</v>
      </c>
      <c r="U239" s="14">
        <f>IFERROR(__xludf.DUMMYFUNCTION("""COMPUTED_VALUE"""),3.0)</f>
        <v>3</v>
      </c>
      <c r="V239" s="14">
        <v>2025.0</v>
      </c>
      <c r="W239" s="2" t="s">
        <v>1168</v>
      </c>
      <c r="X239" s="2" t="s">
        <v>1203</v>
      </c>
      <c r="Y239" s="13" t="s">
        <v>926</v>
      </c>
      <c r="Z239" s="14">
        <v>0.0</v>
      </c>
      <c r="AA239" s="14">
        <v>0.0</v>
      </c>
      <c r="AB239" s="14">
        <v>0.0</v>
      </c>
      <c r="AC239" s="14">
        <v>0.0</v>
      </c>
      <c r="AD239" s="2">
        <v>0.0</v>
      </c>
      <c r="AE239" s="2">
        <v>0.0</v>
      </c>
      <c r="AF239" s="2">
        <v>12.0</v>
      </c>
      <c r="AG239" s="2" t="s">
        <v>1175</v>
      </c>
      <c r="AH239" s="2">
        <v>0.0</v>
      </c>
    </row>
    <row r="240" ht="15.75" customHeight="1">
      <c r="A240" s="2" t="str">
        <f>IFERROR(__xludf.DUMMYFUNCTION("""COMPUTED_VALUE"""),"La Jornada")</f>
        <v>La Jornada</v>
      </c>
      <c r="B240" s="12" t="str">
        <f>IFERROR(__xludf.DUMMYFUNCTION("""COMPUTED_VALUE"""),"“Artesanos en el Corazón” expone en el Zócalo la diversidad artesanal de 18 estados")</f>
        <v>“Artesanos en el Corazón” expone en el Zócalo la diversidad artesanal de 18 estados</v>
      </c>
      <c r="C240" s="13" t="str">
        <f>IFERROR(__xludf.DUMMYFUNCTION("""COMPUTED_VALUE"""),"2025-12-24")</f>
        <v>2025-12-24</v>
      </c>
      <c r="D240" s="14">
        <f>IFERROR(__xludf.DUMMYFUNCTION("""COMPUTED_VALUE"""),1.0)</f>
        <v>1</v>
      </c>
      <c r="E240" s="15">
        <f>IFERROR(__xludf.DUMMYFUNCTION("""COMPUTED_VALUE"""),0.6705)</f>
        <v>0.6705</v>
      </c>
      <c r="F240" s="2" t="str">
        <f>IFERROR(__xludf.DUMMYFUNCTION("""COMPUTED_VALUE"""),"Positivo")</f>
        <v>Positivo</v>
      </c>
      <c r="G240" s="15">
        <f>IFERROR(__xludf.DUMMYFUNCTION("""COMPUTED_VALUE"""),0.6705)</f>
        <v>0.6705</v>
      </c>
      <c r="H240" s="2" t="str">
        <f>IFERROR(__xludf.DUMMYFUNCTION("""COMPUTED_VALUE"""),"Otros temas generales")</f>
        <v>Otros temas generales</v>
      </c>
      <c r="I240" s="2" t="str">
        <f>IFERROR(__xludf.DUMMYFUNCTION("""COMPUTED_VALUE"""),"N/A")</f>
        <v>N/A</v>
      </c>
      <c r="J240" s="2" t="str">
        <f>IFERROR(__xludf.DUMMYFUNCTION("""COMPUTED_VALUE"""),"Descartar / Baja prioridad.")</f>
        <v>Descartar / Baja prioridad.</v>
      </c>
      <c r="K240" s="2" t="str">
        <f>IFERROR(__xludf.DUMMYFUNCTION("""COMPUTED_VALUE"""),"Ciudad de México")</f>
        <v>Ciudad de México</v>
      </c>
      <c r="L240" s="2" t="str">
        <f>IFERROR(__xludf.DUMMYFUNCTION("""COMPUTED_VALUE"""),"Ciudad de México")</f>
        <v>Ciudad de México</v>
      </c>
      <c r="M240" s="16" t="str">
        <f>IFERROR(__xludf.DUMMYFUNCTION("""COMPUTED_VALUE"""),"https://www.jornada.com.mx/noticia/2025/12/24/capital/artesanos-en-el-corazon-expone-en-el-zocalo-la-diversidad-artesanal-de-18-estados")</f>
        <v>https://www.jornada.com.mx/noticia/2025/12/24/capital/artesanos-en-el-corazon-expone-en-el-zocalo-la-diversidad-artesanal-de-18-estados</v>
      </c>
      <c r="N240" s="2" t="str">
        <f>IFERROR(__xludf.DUMMYFUNCTION("""COMPUTED_VALUE"""),"Ciudad de México.Más de 250 artesanos de 18 entidades del país, distribuidos en 120 stands y representantes de 23 técnicas tradicionales, participan en “Artesanos en el Corazón”, que se encuentra instalado en el Zócalo capitalino, como parte del Festival "&amp;"Luces de Invierno 2025. El espacio, ubicado frente a Palacio Nacional, fue inaugurado por la secretaría de Turismo de la Ciudad de México, Alejandra Frausto, con el objetivo de impulsar la compra directa, el comercio justo y el reconocimiento al trabajo d"&amp;"igno de los artesanos, así como de fortalecer la identidad cultural y comunitaria. Entre las técnicas que se exhiben se encuentran la alfarería, textil, papel picado, madera, metalistería, cerámica, fibras naturales, joyería, cartonería y arte wixárika, p"&amp;"iezas que reflejan la diversidad cultural del país y la transmisión de saberes de generación en generación. Frausto destacó que el espacio reúne piezas originales con un profundo valor cultural y llamó a erradicar el regateo como práctica que demerita el "&amp;"trabajo artesanal. Por su parte, la jefa de Gobierno, Clara Brugada Molina, dijo que el Zócalo es un punto de encuentro para las tradiciones y que el Festival Luces de Invierno permite cerrar el año con una celebración que reconoce las raíces y la diversi"&amp;"dad cultural de México. “Artesanos en el Corazón” estará abierto al público del 20 de diciembre al 4 de enero de 2026, con pausas los días 25 y 31 de diciembre y 1 de enero. El Gobierno capitalino, a través de la Secretaría de Turismo, el Fondo Mixto de P"&amp;"romoción Turística y con el apoyo de los gobiernos de Hidalgo, Guerrero y Morelos, refrendó su compromiso con la preservación del patrimonio cultural y el impulso de un turismo con sentido social.")</f>
        <v>Ciudad de México.Más de 250 artesanos de 18 entidades del país, distribuidos en 120 stands y representantes de 23 técnicas tradicionales, participan en “Artesanos en el Corazón”, que se encuentra instalado en el Zócalo capitalino, como parte del Festival Luces de Invierno 2025. El espacio, ubicado frente a Palacio Nacional, fue inaugurado por la secretaría de Turismo de la Ciudad de México, Alejandra Frausto, con el objetivo de impulsar la compra directa, el comercio justo y el reconocimiento al trabajo digno de los artesanos, así como de fortalecer la identidad cultural y comunitaria. Entre las técnicas que se exhiben se encuentran la alfarería, textil, papel picado, madera, metalistería, cerámica, fibras naturales, joyería, cartonería y arte wixárika, piezas que reflejan la diversidad cultural del país y la transmisión de saberes de generación en generación. Frausto destacó que el espacio reúne piezas originales con un profundo valor cultural y llamó a erradicar el regateo como práctica que demerita el trabajo artesanal. Por su parte, la jefa de Gobierno, Clara Brugada Molina, dijo que el Zócalo es un punto de encuentro para las tradiciones y que el Festival Luces de Invierno permite cerrar el año con una celebración que reconoce las raíces y la diversidad cultural de México. “Artesanos en el Corazón” estará abierto al público del 20 de diciembre al 4 de enero de 2026, con pausas los días 25 y 31 de diciembre y 1 de enero. El Gobierno capitalino, a través de la Secretaría de Turismo, el Fondo Mixto de Promoción Turística y con el apoyo de los gobiernos de Hidalgo, Guerrero y Morelos, refrendó su compromiso con la preservación del patrimonio cultural y el impulso de un turismo con sentido social.</v>
      </c>
      <c r="O240" s="15">
        <f>IFERROR(__xludf.DUMMYFUNCTION("""COMPUTED_VALUE"""),0.2637)</f>
        <v>0.2637</v>
      </c>
      <c r="P240" s="2"/>
      <c r="Q240" s="17">
        <f>IFERROR(__xludf.DUMMYFUNCTION("""COMPUTED_VALUE"""),5.0)</f>
        <v>5</v>
      </c>
      <c r="R240" s="2" t="str">
        <f>IFERROR(__xludf.DUMMYFUNCTION("""COMPUTED_VALUE"""),"High")</f>
        <v>High</v>
      </c>
      <c r="S240" s="17">
        <f>IFERROR(__xludf.DUMMYFUNCTION("""COMPUTED_VALUE"""),2.0)</f>
        <v>2</v>
      </c>
      <c r="T240" s="17">
        <f>IFERROR(__xludf.DUMMYFUNCTION("""COMPUTED_VALUE"""),0.0)</f>
        <v>0</v>
      </c>
      <c r="U240" s="14">
        <f>IFERROR(__xludf.DUMMYFUNCTION("""COMPUTED_VALUE"""),3.0)</f>
        <v>3</v>
      </c>
      <c r="V240" s="14">
        <v>2025.0</v>
      </c>
      <c r="W240" s="2" t="s">
        <v>1168</v>
      </c>
      <c r="X240" s="2" t="s">
        <v>1203</v>
      </c>
      <c r="Y240" s="13" t="s">
        <v>926</v>
      </c>
      <c r="Z240" s="14">
        <v>0.0</v>
      </c>
      <c r="AA240" s="14">
        <v>0.0</v>
      </c>
      <c r="AB240" s="14">
        <v>0.0</v>
      </c>
      <c r="AC240" s="14">
        <v>0.0</v>
      </c>
      <c r="AD240" s="2">
        <v>0.0</v>
      </c>
      <c r="AE240" s="2">
        <v>0.0</v>
      </c>
      <c r="AF240" s="2">
        <v>12.0</v>
      </c>
      <c r="AG240" s="2" t="s">
        <v>1175</v>
      </c>
      <c r="AH240" s="2">
        <v>0.0</v>
      </c>
    </row>
    <row r="241" ht="15.75" customHeight="1">
      <c r="A241" s="2" t="str">
        <f>IFERROR(__xludf.DUMMYFUNCTION("""COMPUTED_VALUE"""),"La Jornada")</f>
        <v>La Jornada</v>
      </c>
      <c r="B241" s="12" t="str">
        <f>IFERROR(__xludf.DUMMYFUNCTION("""COMPUTED_VALUE"""),"Clara Brugada anuncia construcción de Utopía en Álvaro Obregón")</f>
        <v>Clara Brugada anuncia construcción de Utopía en Álvaro Obregón</v>
      </c>
      <c r="C241" s="13" t="str">
        <f>IFERROR(__xludf.DUMMYFUNCTION("""COMPUTED_VALUE"""),"2025-12-24")</f>
        <v>2025-12-24</v>
      </c>
      <c r="D241" s="14">
        <f>IFERROR(__xludf.DUMMYFUNCTION("""COMPUTED_VALUE"""),1.0)</f>
        <v>1</v>
      </c>
      <c r="E241" s="15">
        <f>IFERROR(__xludf.DUMMYFUNCTION("""COMPUTED_VALUE"""),0.6014)</f>
        <v>0.6014</v>
      </c>
      <c r="F241" s="2" t="str">
        <f>IFERROR(__xludf.DUMMYFUNCTION("""COMPUTED_VALUE"""),"Positivo")</f>
        <v>Positivo</v>
      </c>
      <c r="G241" s="15">
        <f>IFERROR(__xludf.DUMMYFUNCTION("""COMPUTED_VALUE"""),0.6014)</f>
        <v>0.6014</v>
      </c>
      <c r="H241" s="2" t="str">
        <f>IFERROR(__xludf.DUMMYFUNCTION("""COMPUTED_VALUE"""),"Otros temas generales")</f>
        <v>Otros temas generales</v>
      </c>
      <c r="I241" s="2" t="str">
        <f>IFERROR(__xludf.DUMMYFUNCTION("""COMPUTED_VALUE"""),"N/A")</f>
        <v>N/A</v>
      </c>
      <c r="J241" s="2" t="str">
        <f>IFERROR(__xludf.DUMMYFUNCTION("""COMPUTED_VALUE"""),"Descartar / Baja prioridad.")</f>
        <v>Descartar / Baja prioridad.</v>
      </c>
      <c r="K241" s="2" t="str">
        <f>IFERROR(__xludf.DUMMYFUNCTION("""COMPUTED_VALUE"""),"Álvaro Obregón")</f>
        <v>Álvaro Obregón</v>
      </c>
      <c r="L241" s="2" t="str">
        <f>IFERROR(__xludf.DUMMYFUNCTION("""COMPUTED_VALUE"""),"Ciudad de México")</f>
        <v>Ciudad de México</v>
      </c>
      <c r="M241" s="16" t="str">
        <f>IFERROR(__xludf.DUMMYFUNCTION("""COMPUTED_VALUE"""),"https://www.jornada.com.mx/noticia/2025/12/24/capital/clara-brugada-anuncia-construccion-de-una-utopia-en-alvaro-obregon")</f>
        <v>https://www.jornada.com.mx/noticia/2025/12/24/capital/clara-brugada-anuncia-construccion-de-una-utopia-en-alvaro-obregon</v>
      </c>
      <c r="N241" s="2" t="str">
        <f>IFERROR(__xludf.DUMMYFUNCTION("""COMPUTED_VALUE"""),"Ciudad de México.La jefa de Gobierno capitalino, Clara Brugada, se comprometió a la construcción de una nueva utopía en la zona de El Queso, en la demarcación Álvaro Obregón. Lo anterior lo expuso, luego de un desayuno navideño con vecinos del lugar, dond"&amp;"e dijo ""me platicaron de algún espacio que tienen allí sin usar, ya estoy encomendando para hoy que estamos aquí, pasemos a verlo rápido y estamos revisando jurídicamente para que pueda llevarse a cabo allí una Utopía"". Explicó que una Utopía tiene albe"&amp;"rcas semiolímpicas gratuitas, donde pueden ir los niños o la gente mayor, Sistema Público de Cuidados, infraestructura cultural, ""tiene todo lo que hemos soñado como comunidad"". Señaló que se está trabajando todos los días para que el modelo de ciudad s"&amp;"ea humanista, que combata desigualdades y sea una ciudad muy alternativa en todos sus aspectos. Por eso, mencionó, ""hemos impulsado la construcción de una línea de Cablebús para Álvaro Obregón y esto va a ayudar mucho, va a llegar a Mixcoac y va a garant"&amp;"izar la transportación rápida de la población"".")</f>
        <v>Ciudad de México.La jefa de Gobierno capitalino, Clara Brugada, se comprometió a la construcción de una nueva utopía en la zona de El Queso, en la demarcación Álvaro Obregón. Lo anterior lo expuso, luego de un desayuno navideño con vecinos del lugar, donde dijo "me platicaron de algún espacio que tienen allí sin usar, ya estoy encomendando para hoy que estamos aquí, pasemos a verlo rápido y estamos revisando jurídicamente para que pueda llevarse a cabo allí una Utopía". Explicó que una Utopía tiene albercas semiolímpicas gratuitas, donde pueden ir los niños o la gente mayor, Sistema Público de Cuidados, infraestructura cultural, "tiene todo lo que hemos soñado como comunidad". Señaló que se está trabajando todos los días para que el modelo de ciudad sea humanista, que combata desigualdades y sea una ciudad muy alternativa en todos sus aspectos. Por eso, mencionó, "hemos impulsado la construcción de una línea de Cablebús para Álvaro Obregón y esto va a ayudar mucho, va a llegar a Mixcoac y va a garantizar la transportación rápida de la población".</v>
      </c>
      <c r="O241" s="15">
        <f>IFERROR(__xludf.DUMMYFUNCTION("""COMPUTED_VALUE"""),0.2589)</f>
        <v>0.2589</v>
      </c>
      <c r="P241" s="2"/>
      <c r="Q241" s="17">
        <f>IFERROR(__xludf.DUMMYFUNCTION("""COMPUTED_VALUE"""),8.0)</f>
        <v>8</v>
      </c>
      <c r="R241" s="2" t="str">
        <f>IFERROR(__xludf.DUMMYFUNCTION("""COMPUTED_VALUE"""),"High")</f>
        <v>High</v>
      </c>
      <c r="S241" s="17">
        <f>IFERROR(__xludf.DUMMYFUNCTION("""COMPUTED_VALUE"""),3.0)</f>
        <v>3</v>
      </c>
      <c r="T241" s="17">
        <f>IFERROR(__xludf.DUMMYFUNCTION("""COMPUTED_VALUE"""),0.0)</f>
        <v>0</v>
      </c>
      <c r="U241" s="14">
        <f>IFERROR(__xludf.DUMMYFUNCTION("""COMPUTED_VALUE"""),3.0)</f>
        <v>3</v>
      </c>
      <c r="V241" s="14">
        <v>2025.0</v>
      </c>
      <c r="W241" s="2" t="s">
        <v>1168</v>
      </c>
      <c r="X241" s="2" t="s">
        <v>1203</v>
      </c>
      <c r="Y241" s="13" t="s">
        <v>926</v>
      </c>
      <c r="Z241" s="14">
        <v>0.0</v>
      </c>
      <c r="AA241" s="14">
        <v>0.0</v>
      </c>
      <c r="AB241" s="14">
        <v>0.0</v>
      </c>
      <c r="AC241" s="14">
        <v>0.0</v>
      </c>
      <c r="AD241" s="2">
        <v>0.0</v>
      </c>
      <c r="AE241" s="2">
        <v>0.0</v>
      </c>
      <c r="AF241" s="2">
        <v>12.0</v>
      </c>
      <c r="AG241" s="2" t="s">
        <v>1220</v>
      </c>
      <c r="AH241" s="2">
        <v>0.0</v>
      </c>
    </row>
    <row r="242" ht="15.75" customHeight="1">
      <c r="A242" s="2" t="str">
        <f>IFERROR(__xludf.DUMMYFUNCTION("""COMPUTED_VALUE"""),"La Jornada")</f>
        <v>La Jornada</v>
      </c>
      <c r="B242" s="12" t="str">
        <f>IFERROR(__xludf.DUMMYFUNCTION("""COMPUTED_VALUE"""),"Activan alerta amarilla por temperaturas de entre 4 y 6 grados en CDMX")</f>
        <v>Activan alerta amarilla por temperaturas de entre 4 y 6 grados en CDMX</v>
      </c>
      <c r="C242" s="13" t="str">
        <f>IFERROR(__xludf.DUMMYFUNCTION("""COMPUTED_VALUE"""),"2025-12-24")</f>
        <v>2025-12-24</v>
      </c>
      <c r="D242" s="14">
        <f>IFERROR(__xludf.DUMMYFUNCTION("""COMPUTED_VALUE"""),2.0)</f>
        <v>2</v>
      </c>
      <c r="E242" s="15">
        <f>IFERROR(__xludf.DUMMYFUNCTION("""COMPUTED_VALUE"""),0.0)</f>
        <v>0</v>
      </c>
      <c r="F242" s="2" t="str">
        <f>IFERROR(__xludf.DUMMYFUNCTION("""COMPUTED_VALUE"""),"Neutral")</f>
        <v>Neutral</v>
      </c>
      <c r="G242" s="15">
        <f>IFERROR(__xludf.DUMMYFUNCTION("""COMPUTED_VALUE"""),0.6378)</f>
        <v>0.6378</v>
      </c>
      <c r="H242" s="2" t="str">
        <f>IFERROR(__xludf.DUMMYFUNCTION("""COMPUTED_VALUE"""),"Operativo policial o detención")</f>
        <v>Operativo policial o detención</v>
      </c>
      <c r="I242" s="2" t="str">
        <f>IFERROR(__xludf.DUMMYFUNCTION("""COMPUTED_VALUE"""),"N/A")</f>
        <v>N/A</v>
      </c>
      <c r="J242" s="2" t="str">
        <f>IFERROR(__xludf.DUMMYFUNCTION("""COMPUTED_VALUE"""),"Monitoreo general.")</f>
        <v>Monitoreo general.</v>
      </c>
      <c r="K242" s="2" t="str">
        <f>IFERROR(__xludf.DUMMYFUNCTION("""COMPUTED_VALUE"""),"Ciudad de México")</f>
        <v>Ciudad de México</v>
      </c>
      <c r="L242" s="2" t="str">
        <f>IFERROR(__xludf.DUMMYFUNCTION("""COMPUTED_VALUE"""),"Ciudad de México")</f>
        <v>Ciudad de México</v>
      </c>
      <c r="M242" s="16" t="str">
        <f>IFERROR(__xludf.DUMMYFUNCTION("""COMPUTED_VALUE"""),"https://www.jornada.com.mx/noticia/2025/12/24/capital/activan-alerta-amarilla-por-temperaturas-de-entre-4-y-6-grados-en-cdmx")</f>
        <v>https://www.jornada.com.mx/noticia/2025/12/24/capital/activan-alerta-amarilla-por-temperaturas-de-entre-4-y-6-grados-en-cdmx</v>
      </c>
      <c r="N242" s="2" t="str">
        <f>IFERROR(__xludf.DUMMYFUNCTION("""COMPUTED_VALUE"""),"Ciudad de México.La Secretaría de Gestión Integral de Riesgos y Protección Civil (SGIRPC) activó alerta amarilla por el pronóstico de temperaturas de entre 4 y 6 grados Celsius durante la madrugada y mañana del 25 de diciembre en cinco demarcaciones. El o"&amp;"rganismo informó que las condiciones de frío se presentarán principalmente entre las 4:00 y las 8:00 horas en las alcaldías Álvaro Obregón, Cuajimalpa, Magdalena Contreras, Milpa Alta y Tlalpan, por lo que se exhortó a la población a tomar medidas prevent"&amp;"ivas. Ante el descenso térmico, las autoridades recomendaron abrigarse adecuadamente, cubrir nariz y boca, evitar cambios bruscos de temperatura, resguardar a las mascotas, mantenerse hidratados y consumir frutas y verduras ricas en vitaminas A y C. La SG"&amp;"IRPC recordó que, ante cualquier emergencia, la ciudadanía puede comunicarse al 911, al 55 5658 1111 de Locatel y al 55 5683 2222. Asimismo, pidió a la población mantenerse informada a través de los canales oficiales del Gobierno de la Ciudad de México.")</f>
        <v>Ciudad de México.La Secretaría de Gestión Integral de Riesgos y Protección Civil (SGIRPC) activó alerta amarilla por el pronóstico de temperaturas de entre 4 y 6 grados Celsius durante la madrugada y mañana del 25 de diciembre en cinco demarcaciones. El organismo informó que las condiciones de frío se presentarán principalmente entre las 4:00 y las 8:00 horas en las alcaldías Álvaro Obregón, Cuajimalpa, Magdalena Contreras, Milpa Alta y Tlalpan, por lo que se exhortó a la población a tomar medidas preventivas. Ante el descenso térmico, las autoridades recomendaron abrigarse adecuadamente, cubrir nariz y boca, evitar cambios bruscos de temperatura, resguardar a las mascotas, mantenerse hidratados y consumir frutas y verduras ricas en vitaminas A y C. La SGIRPC recordó que, ante cualquier emergencia, la ciudadanía puede comunicarse al 911, al 55 5658 1111 de Locatel y al 55 5683 2222. Asimismo, pidió a la población mantenerse informada a través de los canales oficiales del Gobierno de la Ciudad de México.</v>
      </c>
      <c r="O242" s="15">
        <f>IFERROR(__xludf.DUMMYFUNCTION("""COMPUTED_VALUE"""),0.2745)</f>
        <v>0.2745</v>
      </c>
      <c r="P242" s="2"/>
      <c r="Q242" s="17">
        <f>IFERROR(__xludf.DUMMYFUNCTION("""COMPUTED_VALUE"""),8.0)</f>
        <v>8</v>
      </c>
      <c r="R242" s="2" t="str">
        <f>IFERROR(__xludf.DUMMYFUNCTION("""COMPUTED_VALUE"""),"High")</f>
        <v>High</v>
      </c>
      <c r="S242" s="17">
        <f>IFERROR(__xludf.DUMMYFUNCTION("""COMPUTED_VALUE"""),3.0)</f>
        <v>3</v>
      </c>
      <c r="T242" s="17">
        <f>IFERROR(__xludf.DUMMYFUNCTION("""COMPUTED_VALUE"""),0.0)</f>
        <v>0</v>
      </c>
      <c r="U242" s="14">
        <f>IFERROR(__xludf.DUMMYFUNCTION("""COMPUTED_VALUE"""),3.0)</f>
        <v>3</v>
      </c>
      <c r="V242" s="14">
        <v>2025.0</v>
      </c>
      <c r="W242" s="2" t="s">
        <v>1168</v>
      </c>
      <c r="X242" s="2" t="s">
        <v>1203</v>
      </c>
      <c r="Y242" s="13" t="s">
        <v>926</v>
      </c>
      <c r="Z242" s="14">
        <v>0.0</v>
      </c>
      <c r="AA242" s="14">
        <v>0.0</v>
      </c>
      <c r="AB242" s="14">
        <v>0.0</v>
      </c>
      <c r="AC242" s="14">
        <v>0.0</v>
      </c>
      <c r="AD242" s="2">
        <v>0.0</v>
      </c>
      <c r="AE242" s="2">
        <v>0.0</v>
      </c>
      <c r="AF242" s="2">
        <v>12.0</v>
      </c>
      <c r="AG242" s="2" t="s">
        <v>1175</v>
      </c>
      <c r="AH242" s="2">
        <v>0.0</v>
      </c>
    </row>
    <row r="243" ht="15.75" customHeight="1">
      <c r="A243" s="2" t="str">
        <f>IFERROR(__xludf.DUMMYFUNCTION("""COMPUTED_VALUE"""),"La Jornada")</f>
        <v>La Jornada</v>
      </c>
      <c r="B243" s="12" t="str">
        <f>IFERROR(__xludf.DUMMYFUNCTION("""COMPUTED_VALUE"""),"Capacitan a mil 700 policías adscritos al Metro en materia de inclusión y trato digno ")</f>
        <v>Capacitan a mil 700 policías adscritos al Metro en materia de inclusión y trato digno </v>
      </c>
      <c r="C243" s="13" t="str">
        <f>IFERROR(__xludf.DUMMYFUNCTION("""COMPUTED_VALUE"""),"2025-12-24")</f>
        <v>2025-12-24</v>
      </c>
      <c r="D243" s="14">
        <f>IFERROR(__xludf.DUMMYFUNCTION("""COMPUTED_VALUE"""),2.0)</f>
        <v>2</v>
      </c>
      <c r="E243" s="15">
        <f>IFERROR(__xludf.DUMMYFUNCTION("""COMPUTED_VALUE"""),0.0)</f>
        <v>0</v>
      </c>
      <c r="F243" s="2" t="str">
        <f>IFERROR(__xludf.DUMMYFUNCTION("""COMPUTED_VALUE"""),"Neutral")</f>
        <v>Neutral</v>
      </c>
      <c r="G243" s="15">
        <f>IFERROR(__xludf.DUMMYFUNCTION("""COMPUTED_VALUE"""),0.6405)</f>
        <v>0.6405</v>
      </c>
      <c r="H243" s="2" t="str">
        <f>IFERROR(__xludf.DUMMYFUNCTION("""COMPUTED_VALUE"""),"Operativo policial o detención")</f>
        <v>Operativo policial o detención</v>
      </c>
      <c r="I243" s="2" t="str">
        <f>IFERROR(__xludf.DUMMYFUNCTION("""COMPUTED_VALUE"""),"N/A")</f>
        <v>N/A</v>
      </c>
      <c r="J243" s="2" t="str">
        <f>IFERROR(__xludf.DUMMYFUNCTION("""COMPUTED_VALUE"""),"Monitoreo general.")</f>
        <v>Monitoreo general.</v>
      </c>
      <c r="K243" s="2" t="str">
        <f>IFERROR(__xludf.DUMMYFUNCTION("""COMPUTED_VALUE"""),"Ciudad de México")</f>
        <v>Ciudad de México</v>
      </c>
      <c r="L243" s="2" t="str">
        <f>IFERROR(__xludf.DUMMYFUNCTION("""COMPUTED_VALUE"""),"Ciudad de México")</f>
        <v>Ciudad de México</v>
      </c>
      <c r="M243" s="16" t="str">
        <f>IFERROR(__xludf.DUMMYFUNCTION("""COMPUTED_VALUE"""),"https://www.jornada.com.mx/noticia/2025/12/24/capital/capacitan-a-mil-700-policias-adscritos-al-metro-en-materia-de-inclusion-y-trato-digno")</f>
        <v>https://www.jornada.com.mx/noticia/2025/12/24/capital/capacitan-a-mil-700-policias-adscritos-al-metro-en-materia-de-inclusion-y-trato-digno</v>
      </c>
      <c r="N243" s="2" t="str">
        <f>IFERROR(__xludf.DUMMYFUNCTION("""COMPUTED_VALUE"""),"Ciudad de México.Mil 700 efectivos de la Secretaría de Seguridad Ciudadana (SSC) adscritos a la red del Sistema de Transporte Colectivo (STC) Metro fueron capacitados en materia de inclusión y trato digno como parte del curso “Toma de Conciencia e Inclusi"&amp;"ón”. La capacitación se realizó en el marco de las acciones de formación continua del personal de seguridad del Metro, quienes están a cargo de las labores de resguardo y vigilancia. El curso inició a finales de julio y  concluyó esta semana, el cual estu"&amp;"vo enfocado en generar conciencia sobre los distintos tipos de discapacidad, el trato adecuado y el apoyo que debe brindarse a todas las personas, así como en el respeto al derecho a la movilidad de quienes utilizan perros de asistencia dentro de la red d"&amp;"el Metro. La formación se llevó a cabo en la sede del Instituto para la Integración al Desarrollo de las Personas con Discapacidad (Indiscapacidad) y contó con la colaboración de fundaciones y asociaciones especializadas en la certificación de perros de a"&amp;"sistencia, las cuales contribuyeron a fomentar la empatía y el compromiso con la inclusión. Las autoridades señalaron que Indiscapacidad trabaja de manera conjunta con el Metro para mejorar la calidad de vida de las personas con discapacidad y garantizar "&amp;"que su experiencia de viaje sea lo más óptima posible. Asimismo, se informó que para 2026 se prevé dar continuidad a esta capacitación hasta cubrir a los 5 mil 800 efectivos policiales que integran el estado de fuerza del organismo.")</f>
        <v>Ciudad de México.Mil 700 efectivos de la Secretaría de Seguridad Ciudadana (SSC) adscritos a la red del Sistema de Transporte Colectivo (STC) Metro fueron capacitados en materia de inclusión y trato digno como parte del curso “Toma de Conciencia e Inclusión”. La capacitación se realizó en el marco de las acciones de formación continua del personal de seguridad del Metro, quienes están a cargo de las labores de resguardo y vigilancia. El curso inició a finales de julio y  concluyó esta semana, el cual estuvo enfocado en generar conciencia sobre los distintos tipos de discapacidad, el trato adecuado y el apoyo que debe brindarse a todas las personas, así como en el respeto al derecho a la movilidad de quienes utilizan perros de asistencia dentro de la red del Metro. La formación se llevó a cabo en la sede del Instituto para la Integración al Desarrollo de las Personas con Discapacidad (Indiscapacidad) y contó con la colaboración de fundaciones y asociaciones especializadas en la certificación de perros de asistencia, las cuales contribuyeron a fomentar la empatía y el compromiso con la inclusión. Las autoridades señalaron que Indiscapacidad trabaja de manera conjunta con el Metro para mejorar la calidad de vida de las personas con discapacidad y garantizar que su experiencia de viaje sea lo más óptima posible. Asimismo, se informó que para 2026 se prevé dar continuidad a esta capacitación hasta cubrir a los 5 mil 800 efectivos policiales que integran el estado de fuerza del organismo.</v>
      </c>
      <c r="O243" s="15">
        <f>IFERROR(__xludf.DUMMYFUNCTION("""COMPUTED_VALUE"""),0.3441)</f>
        <v>0.3441</v>
      </c>
      <c r="P243" s="2"/>
      <c r="Q243" s="17">
        <f>IFERROR(__xludf.DUMMYFUNCTION("""COMPUTED_VALUE"""),5.0)</f>
        <v>5</v>
      </c>
      <c r="R243" s="2" t="str">
        <f>IFERROR(__xludf.DUMMYFUNCTION("""COMPUTED_VALUE"""),"High")</f>
        <v>High</v>
      </c>
      <c r="S243" s="17">
        <f>IFERROR(__xludf.DUMMYFUNCTION("""COMPUTED_VALUE"""),3.0)</f>
        <v>3</v>
      </c>
      <c r="T243" s="17">
        <f>IFERROR(__xludf.DUMMYFUNCTION("""COMPUTED_VALUE"""),0.0)</f>
        <v>0</v>
      </c>
      <c r="U243" s="14">
        <f>IFERROR(__xludf.DUMMYFUNCTION("""COMPUTED_VALUE"""),3.0)</f>
        <v>3</v>
      </c>
      <c r="V243" s="14">
        <v>2025.0</v>
      </c>
      <c r="W243" s="2" t="s">
        <v>1168</v>
      </c>
      <c r="X243" s="2" t="s">
        <v>1203</v>
      </c>
      <c r="Y243" s="13" t="s">
        <v>926</v>
      </c>
      <c r="Z243" s="14">
        <v>0.0</v>
      </c>
      <c r="AA243" s="14">
        <v>0.0</v>
      </c>
      <c r="AB243" s="14">
        <v>0.0</v>
      </c>
      <c r="AC243" s="14">
        <v>0.0</v>
      </c>
      <c r="AD243" s="2">
        <v>0.0</v>
      </c>
      <c r="AE243" s="2">
        <v>0.0</v>
      </c>
      <c r="AF243" s="2">
        <v>12.0</v>
      </c>
      <c r="AG243" s="2" t="s">
        <v>1175</v>
      </c>
      <c r="AH243" s="2">
        <v>0.0</v>
      </c>
    </row>
    <row r="244" ht="15.75" customHeight="1">
      <c r="A244" s="2" t="str">
        <f>IFERROR(__xludf.DUMMYFUNCTION("""COMPUTED_VALUE"""),"La Jornada")</f>
        <v>La Jornada</v>
      </c>
      <c r="B244" s="12" t="str">
        <f>IFERROR(__xludf.DUMMYFUNCTION("""COMPUTED_VALUE"""),"En CDMX, 777 conductores fueron enviados a 'El Torito' por rebasar límite de alcohol")</f>
        <v>En CDMX, 777 conductores fueron enviados a 'El Torito' por rebasar límite de alcohol</v>
      </c>
      <c r="C244" s="13" t="str">
        <f>IFERROR(__xludf.DUMMYFUNCTION("""COMPUTED_VALUE"""),"2025-12-24")</f>
        <v>2025-12-24</v>
      </c>
      <c r="D244" s="14">
        <f>IFERROR(__xludf.DUMMYFUNCTION("""COMPUTED_VALUE"""),2.0)</f>
        <v>2</v>
      </c>
      <c r="E244" s="15">
        <f>IFERROR(__xludf.DUMMYFUNCTION("""COMPUTED_VALUE"""),0.0)</f>
        <v>0</v>
      </c>
      <c r="F244" s="2" t="str">
        <f>IFERROR(__xludf.DUMMYFUNCTION("""COMPUTED_VALUE"""),"Neutral")</f>
        <v>Neutral</v>
      </c>
      <c r="G244" s="15">
        <f>IFERROR(__xludf.DUMMYFUNCTION("""COMPUTED_VALUE"""),0.7497)</f>
        <v>0.7497</v>
      </c>
      <c r="H244" s="2" t="str">
        <f>IFERROR(__xludf.DUMMYFUNCTION("""COMPUTED_VALUE"""),"Operativo policial o detención")</f>
        <v>Operativo policial o detención</v>
      </c>
      <c r="I244" s="2" t="str">
        <f>IFERROR(__xludf.DUMMYFUNCTION("""COMPUTED_VALUE"""),"N/A")</f>
        <v>N/A</v>
      </c>
      <c r="J244" s="2" t="str">
        <f>IFERROR(__xludf.DUMMYFUNCTION("""COMPUTED_VALUE"""),"Monitoreo general.")</f>
        <v>Monitoreo general.</v>
      </c>
      <c r="K244" s="2" t="str">
        <f>IFERROR(__xludf.DUMMYFUNCTION("""COMPUTED_VALUE"""),"Ciudad de México")</f>
        <v>Ciudad de México</v>
      </c>
      <c r="L244" s="2" t="str">
        <f>IFERROR(__xludf.DUMMYFUNCTION("""COMPUTED_VALUE"""),"Ciudad de México")</f>
        <v>Ciudad de México</v>
      </c>
      <c r="M244" s="16" t="str">
        <f>IFERROR(__xludf.DUMMYFUNCTION("""COMPUTED_VALUE"""),"https://www.jornada.com.mx/noticia/2025/12/24/capital/en-cdmx-777-conductores-fueron-enviados-a-el-torito-por-rebasar-limite-de-alcohol")</f>
        <v>https://www.jornada.com.mx/noticia/2025/12/24/capital/en-cdmx-777-conductores-fueron-enviados-a-el-torito-por-rebasar-limite-de-alcohol</v>
      </c>
      <c r="N244" s="2" t="str">
        <f>IFERROR(__xludf.DUMMYFUNCTION("""COMPUTED_VALUE"""),"Ciudad de México.Un total de 777 conductores superaron el límite permitido de alcohol en la sangre y fueron remitidos al Centro de Sanciones Administrativas y de Integración Social,El Toritodurante las “Jornadas Decembrinas” del programa Conduce Sin Alcoh"&amp;"ol, realizadas del 12 al 23 de diciembre. De acuerdo con la Secretaría de Seguridad Ciudadana, en ese periodo el personal adscrito al programa aplicó 211 mil 73 pruebas AlcoStop, para detectar alcohol en el ambiente interior del vehículo, así como 2 mil 5"&amp;"28 pruebas de alcoholemia mediante aire espirado. Como resultado de los operativos, 767 vehículos fueron remitidos a un depósito vehicular, mientras que al resto de los conductores se les sancionó conforme a la normatividad vigente. La dependencia señaló "&amp;"que estos dispositivos se implementan en distintos puntos de la capital.")</f>
        <v>Ciudad de México.Un total de 777 conductores superaron el límite permitido de alcohol en la sangre y fueron remitidos al Centro de Sanciones Administrativas y de Integración Social,El Toritodurante las “Jornadas Decembrinas” del programa Conduce Sin Alcohol, realizadas del 12 al 23 de diciembre. De acuerdo con la Secretaría de Seguridad Ciudadana, en ese periodo el personal adscrito al programa aplicó 211 mil 73 pruebas AlcoStop, para detectar alcohol en el ambiente interior del vehículo, así como 2 mil 528 pruebas de alcoholemia mediante aire espirado. Como resultado de los operativos, 767 vehículos fueron remitidos a un depósito vehicular, mientras que al resto de los conductores se les sancionó conforme a la normatividad vigente. La dependencia señaló que estos dispositivos se implementan en distintos puntos de la capital.</v>
      </c>
      <c r="O244" s="15">
        <f>IFERROR(__xludf.DUMMYFUNCTION("""COMPUTED_VALUE"""),0.2915)</f>
        <v>0.2915</v>
      </c>
      <c r="P244" s="2"/>
      <c r="Q244" s="17">
        <f>IFERROR(__xludf.DUMMYFUNCTION("""COMPUTED_VALUE"""),8.0)</f>
        <v>8</v>
      </c>
      <c r="R244" s="2" t="str">
        <f>IFERROR(__xludf.DUMMYFUNCTION("""COMPUTED_VALUE"""),"High")</f>
        <v>High</v>
      </c>
      <c r="S244" s="17">
        <f>IFERROR(__xludf.DUMMYFUNCTION("""COMPUTED_VALUE"""),6.0)</f>
        <v>6</v>
      </c>
      <c r="T244" s="17">
        <f>IFERROR(__xludf.DUMMYFUNCTION("""COMPUTED_VALUE"""),0.0)</f>
        <v>0</v>
      </c>
      <c r="U244" s="14">
        <f>IFERROR(__xludf.DUMMYFUNCTION("""COMPUTED_VALUE"""),3.0)</f>
        <v>3</v>
      </c>
      <c r="V244" s="14">
        <v>2025.0</v>
      </c>
      <c r="W244" s="2" t="s">
        <v>1168</v>
      </c>
      <c r="X244" s="2" t="s">
        <v>1203</v>
      </c>
      <c r="Y244" s="13" t="s">
        <v>926</v>
      </c>
      <c r="Z244" s="14">
        <v>0.0</v>
      </c>
      <c r="AA244" s="14">
        <v>0.0</v>
      </c>
      <c r="AB244" s="14">
        <v>0.0</v>
      </c>
      <c r="AC244" s="14">
        <v>0.0</v>
      </c>
      <c r="AD244" s="2">
        <v>0.0</v>
      </c>
      <c r="AE244" s="2">
        <v>0.0</v>
      </c>
      <c r="AF244" s="2">
        <v>12.0</v>
      </c>
      <c r="AG244" s="2" t="s">
        <v>1175</v>
      </c>
      <c r="AH244" s="2">
        <v>0.0</v>
      </c>
    </row>
    <row r="245" ht="15.75" customHeight="1">
      <c r="A245" s="2" t="str">
        <f>IFERROR(__xludf.DUMMYFUNCTION("""COMPUTED_VALUE"""),"La Jornada")</f>
        <v>La Jornada</v>
      </c>
      <c r="B245" s="12" t="str">
        <f>IFERROR(__xludf.DUMMYFUNCTION("""COMPUTED_VALUE"""),"Gobierno CDMX pide evitar uso de pirotecnia en fiestas decembrinas")</f>
        <v>Gobierno CDMX pide evitar uso de pirotecnia en fiestas decembrinas</v>
      </c>
      <c r="C245" s="13" t="str">
        <f>IFERROR(__xludf.DUMMYFUNCTION("""COMPUTED_VALUE"""),"2025-12-24")</f>
        <v>2025-12-24</v>
      </c>
      <c r="D245" s="14">
        <f>IFERROR(__xludf.DUMMYFUNCTION("""COMPUTED_VALUE"""),1.0)</f>
        <v>1</v>
      </c>
      <c r="E245" s="15">
        <f>IFERROR(__xludf.DUMMYFUNCTION("""COMPUTED_VALUE"""),0.0)</f>
        <v>0</v>
      </c>
      <c r="F245" s="2" t="str">
        <f>IFERROR(__xludf.DUMMYFUNCTION("""COMPUTED_VALUE"""),"Neutral")</f>
        <v>Neutral</v>
      </c>
      <c r="G245" s="15">
        <f>IFERROR(__xludf.DUMMYFUNCTION("""COMPUTED_VALUE"""),0.4846)</f>
        <v>0.4846</v>
      </c>
      <c r="H245" s="2" t="str">
        <f>IFERROR(__xludf.DUMMYFUNCTION("""COMPUTED_VALUE"""),"Otros temas generales")</f>
        <v>Otros temas generales</v>
      </c>
      <c r="I245" s="2" t="str">
        <f>IFERROR(__xludf.DUMMYFUNCTION("""COMPUTED_VALUE"""),"N/A")</f>
        <v>N/A</v>
      </c>
      <c r="J245" s="2" t="str">
        <f>IFERROR(__xludf.DUMMYFUNCTION("""COMPUTED_VALUE"""),"Descartar / Baja prioridad.")</f>
        <v>Descartar / Baja prioridad.</v>
      </c>
      <c r="K245" s="2" t="str">
        <f>IFERROR(__xludf.DUMMYFUNCTION("""COMPUTED_VALUE"""),"Ciudad de México")</f>
        <v>Ciudad de México</v>
      </c>
      <c r="L245" s="2" t="str">
        <f>IFERROR(__xludf.DUMMYFUNCTION("""COMPUTED_VALUE"""),"Ciudad de México")</f>
        <v>Ciudad de México</v>
      </c>
      <c r="M245" s="16" t="str">
        <f>IFERROR(__xludf.DUMMYFUNCTION("""COMPUTED_VALUE"""),"https://www.jornada.com.mx/noticia/2025/12/24/capital/gobierno-cdmx-pide-evitar-el-uso-de-pirotecnia-en-fiestas-decembrinas")</f>
        <v>https://www.jornada.com.mx/noticia/2025/12/24/capital/gobierno-cdmx-pide-evitar-el-uso-de-pirotecnia-en-fiestas-decembrinas</v>
      </c>
      <c r="N245" s="2" t="str">
        <f>IFERROR(__xludf.DUMMYFUNCTION("""COMPUTED_VALUE"""),"Ciudad de México.El gobierno de la Ciudad de México y la Secretaría del Medio Ambiente, a través de la Dirección General de Calidad del Aire, hacen un llamado a los habitantes de la Zona Metropolitana del valle de México para evitar el uso de pirotecnia d"&amp;"urante las celebraciones de Nochebuena, Navidad y Año Nuevo, con el objetivo de reducir el impacto negativo en la calidad del aire, la salud de la población y el bienestar de los animales de compañía.Las autoridades señalaron que datos históricos indican "&amp;"que los días 25 de diciembre y 1° de enero se registran niveles extremadamente altos de contaminación por partículas finas, principalmente a causa del uso masivo de juegos pirotécnicos. Aunque las detonaciones ocurren generalmente alrededor de la medianoc"&amp;"he, las concentraciones más altas de contaminantes se presentan entre la 1 y las 5 de la madrugada. Ante este panorama, se exhorta a la ciudadanía a evitar encender chimeneas, fogatas, cohetes y pirotecnia; reducir el uso de carbón o leña tanto en interio"&amp;"res como en exteriores; abstenerse de quemar llantas, basura u otros residuos, y participar en la limpieza de calles y banquetas, humedeciendo previamente el suelo para evitar la dispersión de polvo. Asimismo, mantener los vehículos en óptimas condiciones"&amp;" y cumplir con el Programa de Verificación Vehicular Obligatorio, así como reportar de inmediato cualquier incendio a las autoridades correspondientes. Las dependencias recordaron que, de acuerdo con la Ley Ambiental de la Ciudad de México, está prohibida"&amp;" la quema de cualquier tipo de material o residuo a cielo abierto. Además, la Ley de Cultura Cívica establece como infracción detonar o encender pirotecnia, fogatas o elevar aeróstatos sin permiso, conducta que puede ser sancionada con multas de 21 a 30 U"&amp;"nidades de Medida, arresto de 25 a 36 horas o trabajo comunitario de 12 a 18 horas. En cuanto al bienestar animal, la Agencia de Atención Animal (AGATAN), advirtió que el ruido y las explosiones provocan miedo, ansiedad y estrés en los animales de compañí"&amp;"a, por lo que recomendó crear ambientes seguros, brindar estímulos positivos como juegos o premios y evitar transmitirles angustia.")</f>
        <v>Ciudad de México.El gobierno de la Ciudad de México y la Secretaría del Medio Ambiente, a través de la Dirección General de Calidad del Aire, hacen un llamado a los habitantes de la Zona Metropolitana del valle de México para evitar el uso de pirotecnia durante las celebraciones de Nochebuena, Navidad y Año Nuevo, con el objetivo de reducir el impacto negativo en la calidad del aire, la salud de la población y el bienestar de los animales de compañía.Las autoridades señalaron que datos históricos indican que los días 25 de diciembre y 1° de enero se registran niveles extremadamente altos de contaminación por partículas finas, principalmente a causa del uso masivo de juegos pirotécnicos. Aunque las detonaciones ocurren generalmente alrededor de la medianoche, las concentraciones más altas de contaminantes se presentan entre la 1 y las 5 de la madrugada. Ante este panorama, se exhorta a la ciudadanía a evitar encender chimeneas, fogatas, cohetes y pirotecnia; reducir el uso de carbón o leña tanto en interiores como en exteriores; abstenerse de quemar llantas, basura u otros residuos, y participar en la limpieza de calles y banquetas, humedeciendo previamente el suelo para evitar la dispersión de polvo. Asimismo, mantener los vehículos en óptimas condiciones y cumplir con el Programa de Verificación Vehicular Obligatorio, así como reportar de inmediato cualquier incendio a las autoridades correspondientes. Las dependencias recordaron que, de acuerdo con la Ley Ambiental de la Ciudad de México, está prohibida la quema de cualquier tipo de material o residuo a cielo abierto. Además, la Ley de Cultura Cívica establece como infracción detonar o encender pirotecnia, fogatas o elevar aeróstatos sin permiso, conducta que puede ser sancionada con multas de 21 a 30 Unidades de Medida, arresto de 25 a 36 horas o trabajo comunitario de 12 a 18 horas. En cuanto al bienestar animal, la Agencia de Atención Animal (AGATAN), advirtió que el ruido y las explosiones provocan miedo, ansiedad y estrés en los animales de compañía, por lo que recomendó crear ambientes seguros, brindar estímulos positivos como juegos o premios y evitar transmitirles angustia.</v>
      </c>
      <c r="O245" s="15">
        <f>IFERROR(__xludf.DUMMYFUNCTION("""COMPUTED_VALUE"""),0.2784)</f>
        <v>0.2784</v>
      </c>
      <c r="P245" s="2"/>
      <c r="Q245" s="17">
        <f>IFERROR(__xludf.DUMMYFUNCTION("""COMPUTED_VALUE"""),8.0)</f>
        <v>8</v>
      </c>
      <c r="R245" s="2" t="str">
        <f>IFERROR(__xludf.DUMMYFUNCTION("""COMPUTED_VALUE"""),"High")</f>
        <v>High</v>
      </c>
      <c r="S245" s="17">
        <f>IFERROR(__xludf.DUMMYFUNCTION("""COMPUTED_VALUE"""),4.0)</f>
        <v>4</v>
      </c>
      <c r="T245" s="17">
        <f>IFERROR(__xludf.DUMMYFUNCTION("""COMPUTED_VALUE"""),0.0)</f>
        <v>0</v>
      </c>
      <c r="U245" s="14">
        <f>IFERROR(__xludf.DUMMYFUNCTION("""COMPUTED_VALUE"""),3.0)</f>
        <v>3</v>
      </c>
      <c r="V245" s="14">
        <v>2025.0</v>
      </c>
      <c r="W245" s="2" t="s">
        <v>1168</v>
      </c>
      <c r="X245" s="2" t="s">
        <v>1203</v>
      </c>
      <c r="Y245" s="13" t="s">
        <v>926</v>
      </c>
      <c r="Z245" s="14">
        <v>0.0</v>
      </c>
      <c r="AA245" s="14">
        <v>0.0</v>
      </c>
      <c r="AB245" s="14">
        <v>0.0</v>
      </c>
      <c r="AC245" s="14">
        <v>0.0</v>
      </c>
      <c r="AD245" s="2">
        <v>0.0</v>
      </c>
      <c r="AE245" s="2">
        <v>0.0</v>
      </c>
      <c r="AF245" s="2">
        <v>12.0</v>
      </c>
      <c r="AG245" s="2" t="s">
        <v>1175</v>
      </c>
      <c r="AH245" s="2">
        <v>0.0</v>
      </c>
    </row>
    <row r="246" ht="15.75" customHeight="1">
      <c r="A246" s="2" t="str">
        <f>IFERROR(__xludf.DUMMYFUNCTION("""COMPUTED_VALUE"""),"La Jornada")</f>
        <v>La Jornada</v>
      </c>
      <c r="B246" s="12" t="str">
        <f>IFERROR(__xludf.DUMMYFUNCTION("""COMPUTED_VALUE"""),"SSC refuerza dispositivos de seguridad en terminales de autobuses por temporada decembrina")</f>
        <v>SSC refuerza dispositivos de seguridad en terminales de autobuses por temporada decembrina</v>
      </c>
      <c r="C246" s="13" t="str">
        <f>IFERROR(__xludf.DUMMYFUNCTION("""COMPUTED_VALUE"""),"2025-12-24")</f>
        <v>2025-12-24</v>
      </c>
      <c r="D246" s="14">
        <f>IFERROR(__xludf.DUMMYFUNCTION("""COMPUTED_VALUE"""),1.0)</f>
        <v>1</v>
      </c>
      <c r="E246" s="15">
        <f>IFERROR(__xludf.DUMMYFUNCTION("""COMPUTED_VALUE"""),0.0)</f>
        <v>0</v>
      </c>
      <c r="F246" s="2" t="str">
        <f>IFERROR(__xludf.DUMMYFUNCTION("""COMPUTED_VALUE"""),"Neutral")</f>
        <v>Neutral</v>
      </c>
      <c r="G246" s="15">
        <f>IFERROR(__xludf.DUMMYFUNCTION("""COMPUTED_VALUE"""),0.5184)</f>
        <v>0.5184</v>
      </c>
      <c r="H246" s="2" t="str">
        <f>IFERROR(__xludf.DUMMYFUNCTION("""COMPUTED_VALUE"""),"Noticia corporativa o regulación de transporte")</f>
        <v>Noticia corporativa o regulación de transporte</v>
      </c>
      <c r="I246" s="2" t="str">
        <f>IFERROR(__xludf.DUMMYFUNCTION("""COMPUTED_VALUE"""),"N/A")</f>
        <v>N/A</v>
      </c>
      <c r="J246" s="2" t="str">
        <f>IFERROR(__xludf.DUMMYFUNCTION("""COMPUTED_VALUE"""),"Monitoreo general.")</f>
        <v>Monitoreo general.</v>
      </c>
      <c r="K246" s="2" t="str">
        <f>IFERROR(__xludf.DUMMYFUNCTION("""COMPUTED_VALUE"""),"Ciudad de México")</f>
        <v>Ciudad de México</v>
      </c>
      <c r="L246" s="2" t="str">
        <f>IFERROR(__xludf.DUMMYFUNCTION("""COMPUTED_VALUE"""),"Ciudad de México")</f>
        <v>Ciudad de México</v>
      </c>
      <c r="M246" s="16" t="str">
        <f>IFERROR(__xludf.DUMMYFUNCTION("""COMPUTED_VALUE"""),"https://www.jornada.com.mx/noticia/2025/12/24/capital/ssc-refuerza-dispositivos-de-seguridad-en-terminales-de-autobuses-por-temporada-decembrina")</f>
        <v>https://www.jornada.com.mx/noticia/2025/12/24/capital/ssc-refuerza-dispositivos-de-seguridad-en-terminales-de-autobuses-por-temporada-decembrina</v>
      </c>
      <c r="N246" s="2" t="str">
        <f>IFERROR(__xludf.DUMMYFUNCTION("""COMPUTED_VALUE"""),"Ciudad de México.Como parte de las acciones para salvaguardar la integridad física y patrimonial de los viajeros durante esta temporada decembrina, la Secretaría de Seguridad Ciudadana (SSC) de la Ciudad de México refuerza los dispositivos de seguridad y "&amp;"vigilancia en las terminales de autobuses, con el apoyo de personal de la Policía Auxiliar (PA). Con el objetivo de aumentar la seguridad de los usuarios en las terminales durante sus traslados a otras partes del país, los oficiales de la PA, hacen las si"&amp;"guientes recomendaciones: mantener el equipaje siempre a la vista.Resguardar documentos, boletos y objetos de valor en lugares seguros; evitar distracciones con el teléfono celular en zonas de alta afluencia yacercarse al personal de la  policía para soli"&amp;"citar orientación o acompañamiento cuando sea necesario.Asimismo, se recuerda que está prohibido el ingreso a las terminales con objetos peligrosos, armas de fuego o punzocortantes, así como sustancias ilegales. En caso de viajar con niñas, niños o person"&amp;"as adultas mayores, no perderlos de vista.")</f>
        <v>Ciudad de México.Como parte de las acciones para salvaguardar la integridad física y patrimonial de los viajeros durante esta temporada decembrina, la Secretaría de Seguridad Ciudadana (SSC) de la Ciudad de México refuerza los dispositivos de seguridad y vigilancia en las terminales de autobuses, con el apoyo de personal de la Policía Auxiliar (PA). Con el objetivo de aumentar la seguridad de los usuarios en las terminales durante sus traslados a otras partes del país, los oficiales de la PA, hacen las siguientes recomendaciones: mantener el equipaje siempre a la vista.Resguardar documentos, boletos y objetos de valor en lugares seguros; evitar distracciones con el teléfono celular en zonas de alta afluencia yacercarse al personal de la  policía para solicitar orientación o acompañamiento cuando sea necesario.Asimismo, se recuerda que está prohibido el ingreso a las terminales con objetos peligrosos, armas de fuego o punzocortantes, así como sustancias ilegales. En caso de viajar con niñas, niños o personas adultas mayores, no perderlos de vista.</v>
      </c>
      <c r="O246" s="15">
        <f>IFERROR(__xludf.DUMMYFUNCTION("""COMPUTED_VALUE"""),0.4354)</f>
        <v>0.4354</v>
      </c>
      <c r="P246" s="2"/>
      <c r="Q246" s="17">
        <f>IFERROR(__xludf.DUMMYFUNCTION("""COMPUTED_VALUE"""),5.0)</f>
        <v>5</v>
      </c>
      <c r="R246" s="2" t="str">
        <f>IFERROR(__xludf.DUMMYFUNCTION("""COMPUTED_VALUE"""),"High")</f>
        <v>High</v>
      </c>
      <c r="S246" s="17">
        <f>IFERROR(__xludf.DUMMYFUNCTION("""COMPUTED_VALUE"""),2.0)</f>
        <v>2</v>
      </c>
      <c r="T246" s="17">
        <f>IFERROR(__xludf.DUMMYFUNCTION("""COMPUTED_VALUE"""),0.0)</f>
        <v>0</v>
      </c>
      <c r="U246" s="14">
        <f>IFERROR(__xludf.DUMMYFUNCTION("""COMPUTED_VALUE"""),3.0)</f>
        <v>3</v>
      </c>
      <c r="V246" s="14">
        <v>2025.0</v>
      </c>
      <c r="W246" s="2" t="s">
        <v>1168</v>
      </c>
      <c r="X246" s="2" t="s">
        <v>1203</v>
      </c>
      <c r="Y246" s="13" t="s">
        <v>926</v>
      </c>
      <c r="Z246" s="14">
        <v>0.0</v>
      </c>
      <c r="AA246" s="14">
        <v>0.0</v>
      </c>
      <c r="AB246" s="14">
        <v>0.0</v>
      </c>
      <c r="AC246" s="14">
        <v>0.0</v>
      </c>
      <c r="AD246" s="2">
        <v>0.0</v>
      </c>
      <c r="AE246" s="2">
        <v>0.0</v>
      </c>
      <c r="AF246" s="2">
        <v>12.0</v>
      </c>
      <c r="AG246" s="2" t="s">
        <v>1175</v>
      </c>
      <c r="AH246" s="2">
        <v>0.0</v>
      </c>
    </row>
    <row r="247" ht="15.75" customHeight="1">
      <c r="A247" s="2" t="str">
        <f>IFERROR(__xludf.DUMMYFUNCTION("""COMPUTED_VALUE"""),"La Jornada")</f>
        <v>La Jornada</v>
      </c>
      <c r="B247" s="12" t="str">
        <f>IFERROR(__xludf.DUMMYFUNCTION("""COMPUTED_VALUE"""),"SSC detiene a dos extranjeros dedicados al robo de relojes de alta gama en MH")</f>
        <v>SSC detiene a dos extranjeros dedicados al robo de relojes de alta gama en MH</v>
      </c>
      <c r="C247" s="13" t="str">
        <f>IFERROR(__xludf.DUMMYFUNCTION("""COMPUTED_VALUE"""),"2025-12-24")</f>
        <v>2025-12-24</v>
      </c>
      <c r="D247" s="14">
        <f>IFERROR(__xludf.DUMMYFUNCTION("""COMPUTED_VALUE"""),4.0)</f>
        <v>4</v>
      </c>
      <c r="E247" s="15">
        <f>IFERROR(__xludf.DUMMYFUNCTION("""COMPUTED_VALUE"""),-0.5084)</f>
        <v>-0.5084</v>
      </c>
      <c r="F247" s="2" t="str">
        <f>IFERROR(__xludf.DUMMYFUNCTION("""COMPUTED_VALUE"""),"Negativo")</f>
        <v>Negativo</v>
      </c>
      <c r="G247" s="15">
        <f>IFERROR(__xludf.DUMMYFUNCTION("""COMPUTED_VALUE"""),0.5084)</f>
        <v>0.5084</v>
      </c>
      <c r="H247" s="2" t="str">
        <f>IFERROR(__xludf.DUMMYFUNCTION("""COMPUTED_VALUE"""),"Operativo policial o detención")</f>
        <v>Operativo policial o detención</v>
      </c>
      <c r="I247" s="2" t="str">
        <f>IFERROR(__xludf.DUMMYFUNCTION("""COMPUTED_VALUE"""),"N/A")</f>
        <v>N/A</v>
      </c>
      <c r="J247" s="2" t="str">
        <f>IFERROR(__xludf.DUMMYFUNCTION("""COMPUTED_VALUE"""),"Monitoreo general.")</f>
        <v>Monitoreo general.</v>
      </c>
      <c r="K247" s="2" t="str">
        <f>IFERROR(__xludf.DUMMYFUNCTION("""COMPUTED_VALUE"""),"Miguel Hidalgo")</f>
        <v>Miguel Hidalgo</v>
      </c>
      <c r="L247" s="2" t="str">
        <f>IFERROR(__xludf.DUMMYFUNCTION("""COMPUTED_VALUE"""),"Ciudad de México")</f>
        <v>Ciudad de México</v>
      </c>
      <c r="M247" s="16" t="str">
        <f>IFERROR(__xludf.DUMMYFUNCTION("""COMPUTED_VALUE"""),"https://www.jornada.com.mx/noticia/2025/12/24/capital/ssc-detiene-a-dos-extranjeros-dedicados-al-robo-de-relojes-de-alta-gama-en-mh")</f>
        <v>https://www.jornada.com.mx/noticia/2025/12/24/capital/ssc-detiene-a-dos-extranjeros-dedicados-al-robo-de-relojes-de-alta-gama-en-mh</v>
      </c>
      <c r="N247" s="2" t="str">
        <f>IFERROR(__xludf.DUMMYFUNCTION("""COMPUTED_VALUE"""),"Ciudad de México.Policías de la Secretaría de Seguridad Ciudadana (SSC) de la Ciudad de México, detuvieron a dos hombres de origen venezolano, presuntos integrantes de un grupo delictivo dedicado al robo de relojes de alta gama en zonas comerciales de la "&amp;"alcaldía Miguel Hidalgo. De acuerdo con información de la dependencia, se trata de Ángel Colmenares González de 35 años, y Gilbert Alexis Carrero Ortiz de 23, quienes fueron aprehendidos en el Viaducto Poniente, a la altura de la calle General Salvador Al"&amp;"varado y puestos a disposición del Ministerio Público correspondiente para determinar su situación jurídica. La acción se dio cuando los policías observaron que los tripulantes descendieron del vehículo y, con una pistola, amagaron a un ciudadano, por lo "&amp;"que intervinieron para evitar la comisión del delito. Tras una revisión preventiva a los detenidos se les aseguró un arma de fuego corta con tres cartuchos útiles, dinero en efectivo, dos teléfonos celulares y el vehículo con placas del estado de Durango."&amp;" Derivado de trabajos de inteligencia e investigación y tras el análisis de cámaras de videovigilancia públicas y privadas que se identificó que los dos sujetos realizaban labores de vigilancia para ubicar a posibles víctimas. Las autoridades detectaron q"&amp;"ue los implicados se trasladaban en un vehículo sedán color verde olivo y que su zona de operación comprendía las colonias Polanco, Granada y Escandón. Señalaron que podrían estar relacionados con el robo de un reloj de alta gama ocurrido en octubre pasad"&amp;"o, así como con un intento de robo registrado en diciembre, ambos en la demarcación Miguel Hidalgo.")</f>
        <v>Ciudad de México.Policías de la Secretaría de Seguridad Ciudadana (SSC) de la Ciudad de México, detuvieron a dos hombres de origen venezolano, presuntos integrantes de un grupo delictivo dedicado al robo de relojes de alta gama en zonas comerciales de la alcaldía Miguel Hidalgo. De acuerdo con información de la dependencia, se trata de Ángel Colmenares González de 35 años, y Gilbert Alexis Carrero Ortiz de 23, quienes fueron aprehendidos en el Viaducto Poniente, a la altura de la calle General Salvador Alvarado y puestos a disposición del Ministerio Público correspondiente para determinar su situación jurídica. La acción se dio cuando los policías observaron que los tripulantes descendieron del vehículo y, con una pistola, amagaron a un ciudadano, por lo que intervinieron para evitar la comisión del delito. Tras una revisión preventiva a los detenidos se les aseguró un arma de fuego corta con tres cartuchos útiles, dinero en efectivo, dos teléfonos celulares y el vehículo con placas del estado de Durango. Derivado de trabajos de inteligencia e investigación y tras el análisis de cámaras de videovigilancia públicas y privadas que se identificó que los dos sujetos realizaban labores de vigilancia para ubicar a posibles víctimas. Las autoridades detectaron que los implicados se trasladaban en un vehículo sedán color verde olivo y que su zona de operación comprendía las colonias Polanco, Granada y Escandón. Señalaron que podrían estar relacionados con el robo de un reloj de alta gama ocurrido en octubre pasado, así como con un intento de robo registrado en diciembre, ambos en la demarcación Miguel Hidalgo.</v>
      </c>
      <c r="O247" s="15">
        <f>IFERROR(__xludf.DUMMYFUNCTION("""COMPUTED_VALUE"""),0.6266)</f>
        <v>0.6266</v>
      </c>
      <c r="P247" s="2"/>
      <c r="Q247" s="17">
        <f>IFERROR(__xludf.DUMMYFUNCTION("""COMPUTED_VALUE"""),8.0)</f>
        <v>8</v>
      </c>
      <c r="R247" s="2" t="str">
        <f>IFERROR(__xludf.DUMMYFUNCTION("""COMPUTED_VALUE"""),"High")</f>
        <v>High</v>
      </c>
      <c r="S247" s="17">
        <f>IFERROR(__xludf.DUMMYFUNCTION("""COMPUTED_VALUE"""),3.0)</f>
        <v>3</v>
      </c>
      <c r="T247" s="17">
        <f>IFERROR(__xludf.DUMMYFUNCTION("""COMPUTED_VALUE"""),0.0)</f>
        <v>0</v>
      </c>
      <c r="U247" s="14">
        <f>IFERROR(__xludf.DUMMYFUNCTION("""COMPUTED_VALUE"""),3.0)</f>
        <v>3</v>
      </c>
      <c r="V247" s="14">
        <v>2025.0</v>
      </c>
      <c r="W247" s="2" t="s">
        <v>1168</v>
      </c>
      <c r="X247" s="2" t="s">
        <v>1203</v>
      </c>
      <c r="Y247" s="13" t="s">
        <v>926</v>
      </c>
      <c r="Z247" s="14">
        <v>0.0</v>
      </c>
      <c r="AA247" s="14">
        <v>0.0</v>
      </c>
      <c r="AB247" s="14">
        <v>0.0</v>
      </c>
      <c r="AC247" s="14">
        <v>0.0</v>
      </c>
      <c r="AD247" s="2">
        <v>0.0</v>
      </c>
      <c r="AE247" s="2">
        <v>1.0</v>
      </c>
      <c r="AF247" s="2">
        <v>12.0</v>
      </c>
      <c r="AG247" s="2" t="s">
        <v>1224</v>
      </c>
      <c r="AH247" s="2">
        <v>0.0</v>
      </c>
    </row>
    <row r="248" ht="15.75" customHeight="1">
      <c r="A248" s="2" t="str">
        <f>IFERROR(__xludf.DUMMYFUNCTION("""COMPUTED_VALUE"""),"La Jornada")</f>
        <v>La Jornada</v>
      </c>
      <c r="B248" s="12" t="str">
        <f>IFERROR(__xludf.DUMMYFUNCTION("""COMPUTED_VALUE"""),"Productividad de legisladores es de apenas 5.9%, pero este mes su dieta y aguinaldo será de 169 mil 412 pesos")</f>
        <v>Productividad de legisladores es de apenas 5.9%, pero este mes su dieta y aguinaldo será de 169 mil 412 pesos</v>
      </c>
      <c r="C248" s="13" t="str">
        <f>IFERROR(__xludf.DUMMYFUNCTION("""COMPUTED_VALUE"""),"2025-12-24")</f>
        <v>2025-12-24</v>
      </c>
      <c r="D248" s="14">
        <f>IFERROR(__xludf.DUMMYFUNCTION("""COMPUTED_VALUE"""),2.0)</f>
        <v>2</v>
      </c>
      <c r="E248" s="15">
        <f>IFERROR(__xludf.DUMMYFUNCTION("""COMPUTED_VALUE"""),0.0)</f>
        <v>0</v>
      </c>
      <c r="F248" s="2" t="str">
        <f>IFERROR(__xludf.DUMMYFUNCTION("""COMPUTED_VALUE"""),"Neutral")</f>
        <v>Neutral</v>
      </c>
      <c r="G248" s="15">
        <f>IFERROR(__xludf.DUMMYFUNCTION("""COMPUTED_VALUE"""),0.5095)</f>
        <v>0.5095</v>
      </c>
      <c r="H248" s="2" t="str">
        <f>IFERROR(__xludf.DUMMYFUNCTION("""COMPUTED_VALUE"""),"Operativo policial o detención")</f>
        <v>Operativo policial o detención</v>
      </c>
      <c r="I248" s="2" t="str">
        <f>IFERROR(__xludf.DUMMYFUNCTION("""COMPUTED_VALUE"""),"N/A")</f>
        <v>N/A</v>
      </c>
      <c r="J248" s="2" t="str">
        <f>IFERROR(__xludf.DUMMYFUNCTION("""COMPUTED_VALUE"""),"Monitoreo general.")</f>
        <v>Monitoreo general.</v>
      </c>
      <c r="K248" s="2" t="str">
        <f>IFERROR(__xludf.DUMMYFUNCTION("""COMPUTED_VALUE"""),"Ciudad de México")</f>
        <v>Ciudad de México</v>
      </c>
      <c r="L248" s="2" t="str">
        <f>IFERROR(__xludf.DUMMYFUNCTION("""COMPUTED_VALUE"""),"Ciudad de México")</f>
        <v>Ciudad de México</v>
      </c>
      <c r="M248" s="16" t="str">
        <f>IFERROR(__xludf.DUMMYFUNCTION("""COMPUTED_VALUE"""),"https://www.jornada.com.mx/noticia/2025/12/24/capital/productividad-de-legisladores-es-de-apenas-59-pero-este-mes-su-dieta-y-aguinaldo-sera-de-169-mil-412-pesos")</f>
        <v>https://www.jornada.com.mx/noticia/2025/12/24/capital/productividad-de-legisladores-es-de-apenas-59-pero-este-mes-su-dieta-y-aguinaldo-sera-de-169-mil-412-pesos</v>
      </c>
      <c r="N248" s="2" t="str">
        <f>IFERROR(__xludf.DUMMYFUNCTION("""COMPUTED_VALUE"""),"Las dietas y aguinaldos decembrinos de diputados del Congreso de la Ciudad de México –quienes el último día de sesiones se pelearon a jalones de cabellos y empujones–cuestan a los capitalinos más de 11.1 millones de pesos. Según un acuerdo aprobado por la"&amp;" Junta de Coordinación Política (Jucopo), los diputados locales recibirán un aguinaldo de 96 mil 420 pesos. Dicha cifra representa 40 días de dieta sin deducción alguna. Esto significa que este mes, además de percibir su dieta de 72 mil 612 pesos, recibir"&amp;"án 96 mil 420 pesos de aguinaldo, que suman 169 mil 412 pesos por cada uno de los 66 diputados; es decir, 11.1 millones de pesos. En tanto, la eficiencia legislativa es de apenas 5.9 por ciento entre las propuestas que presentan y las que son aprobadas, s"&amp;"egún sus propios informes. De acuerdo con cifras de la bancada de Morena, en comisiones hay mil 429 iniciativas pendientes de dictaminar. De ese total, sólo 400 podrían ser aprobadas en lo que resta de la legislatura. Por otra parte, el personal técnico o"&amp;"perativo de base, de confianza y de limpieza, también recibirán un pago de aguinaldo equivalente a 40 días de sueldo tabular sin deducción alguna, en forma proporcional al periodo laborado. Asimismo, por única ocasión se pagará a los prestadores de servic"&amp;"ios profesionales por honorarios asimilados a salarios una gratificación extraordinaria de 40 días sin deducción alguna o la parte proporcional al tiempo laborado. “Se dará cumplimiento a las disposiciones fiscales vigentes en términos de la Ley del Impue"&amp;"sto sobre la Renta que permita realizar dicho pago (aguinaldo) sin descuento de ninguna clase. El impacto que derive de dicho cálculo será cubierto con cargo al presupuesto de egresos del Congreso de la Ciudad de México.” En cuanto al personal técnico ope"&amp;"rativo de base en licencia sin goce de suelo, se le cubrirá el aguinaldo en la proporción que corresponda al tiempo de servicios efectivamente laborados en este año.")</f>
        <v>Las dietas y aguinaldos decembrinos de diputados del Congreso de la Ciudad de México –quienes el último día de sesiones se pelearon a jalones de cabellos y empujones–cuestan a los capitalinos más de 11.1 millones de pesos. Según un acuerdo aprobado por la Junta de Coordinación Política (Jucopo), los diputados locales recibirán un aguinaldo de 96 mil 420 pesos. Dicha cifra representa 40 días de dieta sin deducción alguna. Esto significa que este mes, además de percibir su dieta de 72 mil 612 pesos, recibirán 96 mil 420 pesos de aguinaldo, que suman 169 mil 412 pesos por cada uno de los 66 diputados; es decir, 11.1 millones de pesos. En tanto, la eficiencia legislativa es de apenas 5.9 por ciento entre las propuestas que presentan y las que son aprobadas, según sus propios informes. De acuerdo con cifras de la bancada de Morena, en comisiones hay mil 429 iniciativas pendientes de dictaminar. De ese total, sólo 400 podrían ser aprobadas en lo que resta de la legislatura. Por otra parte, el personal técnico operativo de base, de confianza y de limpieza, también recibirán un pago de aguinaldo equivalente a 40 días de sueldo tabular sin deducción alguna, en forma proporcional al periodo laborado. Asimismo, por única ocasión se pagará a los prestadores de servicios profesionales por honorarios asimilados a salarios una gratificación extraordinaria de 40 días sin deducción alguna o la parte proporcional al tiempo laborado. “Se dará cumplimiento a las disposiciones fiscales vigentes en términos de la Ley del Impuesto sobre la Renta que permita realizar dicho pago (aguinaldo) sin descuento de ninguna clase. El impacto que derive de dicho cálculo será cubierto con cargo al presupuesto de egresos del Congreso de la Ciudad de México.” En cuanto al personal técnico operativo de base en licencia sin goce de suelo, se le cubrirá el aguinaldo en la proporción que corresponda al tiempo de servicios efectivamente laborados en este año.</v>
      </c>
      <c r="O248" s="15">
        <f>IFERROR(__xludf.DUMMYFUNCTION("""COMPUTED_VALUE"""),0.1934)</f>
        <v>0.1934</v>
      </c>
      <c r="P248" s="2"/>
      <c r="Q248" s="17">
        <f>IFERROR(__xludf.DUMMYFUNCTION("""COMPUTED_VALUE"""),5.0)</f>
        <v>5</v>
      </c>
      <c r="R248" s="2" t="str">
        <f>IFERROR(__xludf.DUMMYFUNCTION("""COMPUTED_VALUE"""),"High")</f>
        <v>High</v>
      </c>
      <c r="S248" s="17">
        <f>IFERROR(__xludf.DUMMYFUNCTION("""COMPUTED_VALUE"""),2.0)</f>
        <v>2</v>
      </c>
      <c r="T248" s="17">
        <f>IFERROR(__xludf.DUMMYFUNCTION("""COMPUTED_VALUE"""),0.0)</f>
        <v>0</v>
      </c>
      <c r="U248" s="14">
        <f>IFERROR(__xludf.DUMMYFUNCTION("""COMPUTED_VALUE"""),3.0)</f>
        <v>3</v>
      </c>
      <c r="V248" s="14">
        <v>2025.0</v>
      </c>
      <c r="W248" s="2" t="s">
        <v>1168</v>
      </c>
      <c r="X248" s="2" t="s">
        <v>1203</v>
      </c>
      <c r="Y248" s="13" t="s">
        <v>926</v>
      </c>
      <c r="Z248" s="14">
        <v>0.0</v>
      </c>
      <c r="AA248" s="14">
        <v>0.0</v>
      </c>
      <c r="AB248" s="14">
        <v>0.0</v>
      </c>
      <c r="AC248" s="14">
        <v>0.0</v>
      </c>
      <c r="AD248" s="2">
        <v>0.0</v>
      </c>
      <c r="AE248" s="2">
        <v>0.0</v>
      </c>
      <c r="AF248" s="2">
        <v>12.0</v>
      </c>
      <c r="AG248" s="2" t="s">
        <v>1175</v>
      </c>
      <c r="AH248" s="2">
        <v>0.0</v>
      </c>
    </row>
    <row r="249" ht="15.75" customHeight="1">
      <c r="A249" s="2" t="str">
        <f>IFERROR(__xludf.DUMMYFUNCTION("""COMPUTED_VALUE"""),"La Jornada")</f>
        <v>La Jornada</v>
      </c>
      <c r="B249" s="12" t="str">
        <f>IFERROR(__xludf.DUMMYFUNCTION("""COMPUTED_VALUE"""),"CDMX: disminuyó 60% el número de taxis; de 150 mil a 60 mil unidades")</f>
        <v>CDMX: disminuyó 60% el número de taxis; de 150 mil a 60 mil unidades</v>
      </c>
      <c r="C249" s="13" t="str">
        <f>IFERROR(__xludf.DUMMYFUNCTION("""COMPUTED_VALUE"""),"2025-12-24")</f>
        <v>2025-12-24</v>
      </c>
      <c r="D249" s="14">
        <f>IFERROR(__xludf.DUMMYFUNCTION("""COMPUTED_VALUE"""),1.0)</f>
        <v>1</v>
      </c>
      <c r="E249" s="15">
        <f>IFERROR(__xludf.DUMMYFUNCTION("""COMPUTED_VALUE"""),0.0)</f>
        <v>0</v>
      </c>
      <c r="F249" s="2" t="str">
        <f>IFERROR(__xludf.DUMMYFUNCTION("""COMPUTED_VALUE"""),"Neutral")</f>
        <v>Neutral</v>
      </c>
      <c r="G249" s="15">
        <f>IFERROR(__xludf.DUMMYFUNCTION("""COMPUTED_VALUE"""),0.643)</f>
        <v>0.643</v>
      </c>
      <c r="H249" s="2" t="str">
        <f>IFERROR(__xludf.DUMMYFUNCTION("""COMPUTED_VALUE"""),"Noticia corporativa o regulación de transporte")</f>
        <v>Noticia corporativa o regulación de transporte</v>
      </c>
      <c r="I249" s="2" t="str">
        <f>IFERROR(__xludf.DUMMYFUNCTION("""COMPUTED_VALUE"""),"N/A")</f>
        <v>N/A</v>
      </c>
      <c r="J249" s="2" t="str">
        <f>IFERROR(__xludf.DUMMYFUNCTION("""COMPUTED_VALUE"""),"Monitoreo general.")</f>
        <v>Monitoreo general.</v>
      </c>
      <c r="K249" s="2" t="str">
        <f>IFERROR(__xludf.DUMMYFUNCTION("""COMPUTED_VALUE"""),"Ciudad de México")</f>
        <v>Ciudad de México</v>
      </c>
      <c r="L249" s="2" t="str">
        <f>IFERROR(__xludf.DUMMYFUNCTION("""COMPUTED_VALUE"""),"Ciudad de México")</f>
        <v>Ciudad de México</v>
      </c>
      <c r="M249" s="16" t="str">
        <f>IFERROR(__xludf.DUMMYFUNCTION("""COMPUTED_VALUE"""),"https://www.jornada.com.mx/noticia/2025/12/24/capital/cdmx-disminuyo-60-el-numero-de-taxis-de-150-mil-a-60-mil-unidades")</f>
        <v>https://www.jornada.com.mx/noticia/2025/12/24/capital/cdmx-disminuyo-60-el-numero-de-taxis-de-150-mil-a-60-mil-unidades</v>
      </c>
      <c r="N249" s="2" t="str">
        <f>IFERROR(__xludf.DUMMYFUNCTION("""COMPUTED_VALUE"""),"Ciudad de México.El número de taxis que operan en la Ciudad de México disminuyó 60 por ciento, al pasar de 150 mil a 60 mil unidades, aseguró el titular de la Secretaría de Movilidad (Semovi), Héctor García Nieto. Ante ello, anunció que se reforzará el pr"&amp;"ograma de sustitución, con el propósito de modernizar los vehículos que proporcionan servicio de transporte público individual, los cuales, además, tendrán una nueva cromática con motivo del Mundial de Futbol del próximo año. En un acto encabezado por la "&amp;"jefa de Gobierno, Clara Brugada Molina, en el que fueron chatarrizadas 300 unidades, el funcionario señaló que los taxistas enfrentan una competencia “no adecuada” de los taxis por aplicación, que no invierten en su flotilla ni en la capacitación de sus t"&amp;"rabajadores, por lo que, dijo, se empezará a regular dicho servicio. Aunado a ello, añadió, se apoyará a los taxistas para mantener su actividad como una manera de desarrollo económico, no solamente en su renovación, sino también para hacerlos más competi"&amp;"tivos. Por ello, la meta para el próximo año es sustituir mil unidades obsoletas y la entrega de apoyos económicos para la adquisición de nuevos vehículos. Como parte de dicha estrategia, se favorecerá la electromovilidad, habrá modernización tecnológica "&amp;"con una aplicación que les permita competir con las plataformas digitales. Asimismo, se impulsará un programa integral de seguridad para pasajeros y conductores con sistema de geolocalización, botones de pánico, videocámaras y monitoreo, y capacitación tu"&amp;"rística rumbo al Mundial de Futbol. Al respecto, la titular del Ejecutivo local se pronunció por reivindicar el servicio de taxis, al señalar que, en la Ciudad de México, alrededor de 600 mil personas utilizan el taxi todos los días y que en la zona metro"&amp;"politana este servicio realiza cerca de un millón de viajes diarios. Subrayó que en el evento deportivo del que será sede la capital del país, los taxis “van a ser el nuevo rostro de la movilidad en la Ciudad de México y van a contar con nuestro apoyo”. D"&amp;"e esta manera, quienes decidan cambiar su vehículo de motor a gasolina se les apoyará con 120 mil pesos, en el caso de los híbridos será de 150 mil pesos, y para los eléctricos, 200 mil, toda vez que la prioridad es fortalecer la electromovilidad, que no "&amp;"contamina. Al respecto, García Nieto manifestó que desde la Semovi se busca que el costo de los autos eléctricos para uso de taxi puedan bajar de precio. “Lo estamos logrando, estamos hablando directamente con las productoras de vehículos para que el prec"&amp;"io que ellos tienen sea accesible para nosotros”, detalló.")</f>
        <v>Ciudad de México.El número de taxis que operan en la Ciudad de México disminuyó 60 por ciento, al pasar de 150 mil a 60 mil unidades, aseguró el titular de la Secretaría de Movilidad (Semovi), Héctor García Nieto. Ante ello, anunció que se reforzará el programa de sustitución, con el propósito de modernizar los vehículos que proporcionan servicio de transporte público individual, los cuales, además, tendrán una nueva cromática con motivo del Mundial de Futbol del próximo año. En un acto encabezado por la jefa de Gobierno, Clara Brugada Molina, en el que fueron chatarrizadas 300 unidades, el funcionario señaló que los taxistas enfrentan una competencia “no adecuada” de los taxis por aplicación, que no invierten en su flotilla ni en la capacitación de sus trabajadores, por lo que, dijo, se empezará a regular dicho servicio. Aunado a ello, añadió, se apoyará a los taxistas para mantener su actividad como una manera de desarrollo económico, no solamente en su renovación, sino también para hacerlos más competitivos. Por ello, la meta para el próximo año es sustituir mil unidades obsoletas y la entrega de apoyos económicos para la adquisición de nuevos vehículos. Como parte de dicha estrategia, se favorecerá la electromovilidad, habrá modernización tecnológica con una aplicación que les permita competir con las plataformas digitales. Asimismo, se impulsará un programa integral de seguridad para pasajeros y conductores con sistema de geolocalización, botones de pánico, videocámaras y monitoreo, y capacitación turística rumbo al Mundial de Futbol. Al respecto, la titular del Ejecutivo local se pronunció por reivindicar el servicio de taxis, al señalar que, en la Ciudad de México, alrededor de 600 mil personas utilizan el taxi todos los días y que en la zona metropolitana este servicio realiza cerca de un millón de viajes diarios. Subrayó que en el evento deportivo del que será sede la capital del país, los taxis “van a ser el nuevo rostro de la movilidad en la Ciudad de México y van a contar con nuestro apoyo”. De esta manera, quienes decidan cambiar su vehículo de motor a gasolina se les apoyará con 120 mil pesos, en el caso de los híbridos será de 150 mil pesos, y para los eléctricos, 200 mil, toda vez que la prioridad es fortalecer la electromovilidad, que no contamina. Al respecto, García Nieto manifestó que desde la Semovi se busca que el costo de los autos eléctricos para uso de taxi puedan bajar de precio. “Lo estamos logrando, estamos hablando directamente con las productoras de vehículos para que el precio que ellos tienen sea accesible para nosotros”, detalló.</v>
      </c>
      <c r="O249" s="15">
        <f>IFERROR(__xludf.DUMMYFUNCTION("""COMPUTED_VALUE"""),0.4317)</f>
        <v>0.4317</v>
      </c>
      <c r="P249" s="2"/>
      <c r="Q249" s="17">
        <f>IFERROR(__xludf.DUMMYFUNCTION("""COMPUTED_VALUE"""),8.0)</f>
        <v>8</v>
      </c>
      <c r="R249" s="2" t="str">
        <f>IFERROR(__xludf.DUMMYFUNCTION("""COMPUTED_VALUE"""),"High")</f>
        <v>High</v>
      </c>
      <c r="S249" s="17">
        <f>IFERROR(__xludf.DUMMYFUNCTION("""COMPUTED_VALUE"""),3.0)</f>
        <v>3</v>
      </c>
      <c r="T249" s="17">
        <f>IFERROR(__xludf.DUMMYFUNCTION("""COMPUTED_VALUE"""),0.0)</f>
        <v>0</v>
      </c>
      <c r="U249" s="14">
        <f>IFERROR(__xludf.DUMMYFUNCTION("""COMPUTED_VALUE"""),3.0)</f>
        <v>3</v>
      </c>
      <c r="V249" s="14">
        <v>2025.0</v>
      </c>
      <c r="W249" s="2" t="s">
        <v>1168</v>
      </c>
      <c r="X249" s="2" t="s">
        <v>1203</v>
      </c>
      <c r="Y249" s="13" t="s">
        <v>926</v>
      </c>
      <c r="Z249" s="14">
        <v>0.0</v>
      </c>
      <c r="AA249" s="14">
        <v>0.0</v>
      </c>
      <c r="AB249" s="14">
        <v>0.0</v>
      </c>
      <c r="AC249" s="14">
        <v>0.0</v>
      </c>
      <c r="AD249" s="2">
        <v>0.0</v>
      </c>
      <c r="AE249" s="2">
        <v>0.0</v>
      </c>
      <c r="AF249" s="2">
        <v>12.0</v>
      </c>
      <c r="AG249" s="2" t="s">
        <v>1175</v>
      </c>
      <c r="AH249" s="2">
        <v>0.0</v>
      </c>
    </row>
    <row r="250" ht="15.75" customHeight="1">
      <c r="A250" s="2" t="str">
        <f>IFERROR(__xludf.DUMMYFUNCTION("""COMPUTED_VALUE"""),"La Jornada")</f>
        <v>La Jornada</v>
      </c>
      <c r="B250" s="12" t="str">
        <f>IFERROR(__xludf.DUMMYFUNCTION("""COMPUTED_VALUE"""),"Pueblos de Milpa Alta rechazan violencia para imponer obra de Cablebús")</f>
        <v>Pueblos de Milpa Alta rechazan violencia para imponer obra de Cablebús</v>
      </c>
      <c r="C250" s="13" t="str">
        <f>IFERROR(__xludf.DUMMYFUNCTION("""COMPUTED_VALUE"""),"2025-12-23")</f>
        <v>2025-12-23</v>
      </c>
      <c r="D250" s="14">
        <f>IFERROR(__xludf.DUMMYFUNCTION("""COMPUTED_VALUE"""),5.0)</f>
        <v>5</v>
      </c>
      <c r="E250" s="15">
        <f>IFERROR(__xludf.DUMMYFUNCTION("""COMPUTED_VALUE"""),0.0)</f>
        <v>0</v>
      </c>
      <c r="F250" s="2" t="str">
        <f>IFERROR(__xludf.DUMMYFUNCTION("""COMPUTED_VALUE"""),"Neutral")</f>
        <v>Neutral</v>
      </c>
      <c r="G250" s="15">
        <f>IFERROR(__xludf.DUMMYFUNCTION("""COMPUTED_VALUE"""),0.3837)</f>
        <v>0.3837</v>
      </c>
      <c r="H250" s="2" t="str">
        <f>IFERROR(__xludf.DUMMYFUNCTION("""COMPUTED_VALUE"""),"Accidente de tránsito o choque vial")</f>
        <v>Accidente de tránsito o choque vial</v>
      </c>
      <c r="I250" s="2" t="str">
        <f>IFERROR(__xludf.DUMMYFUNCTION("""COMPUTED_VALUE"""),"choque")</f>
        <v>choque</v>
      </c>
      <c r="J250" s="2" t="str">
        <f>IFERROR(__xludf.DUMMYFUNCTION("""COMPUTED_VALUE"""),"Soporte DRV: Seguros/Guía post-siniestro.")</f>
        <v>Soporte DRV: Seguros/Guía post-siniestro.</v>
      </c>
      <c r="K250" s="2" t="str">
        <f>IFERROR(__xludf.DUMMYFUNCTION("""COMPUTED_VALUE"""),"Milpa Alta")</f>
        <v>Milpa Alta</v>
      </c>
      <c r="L250" s="2" t="str">
        <f>IFERROR(__xludf.DUMMYFUNCTION("""COMPUTED_VALUE"""),"Ciudad de México")</f>
        <v>Ciudad de México</v>
      </c>
      <c r="M250" s="16" t="str">
        <f>IFERROR(__xludf.DUMMYFUNCTION("""COMPUTED_VALUE"""),"https://www.jornada.com.mx/noticia/2025/12/23/capital/pueblos-de-milpa-alta-denuncian-consulta-simulada-y-agresiones-para-imponer-el-cablebus-linea-6")</f>
        <v>https://www.jornada.com.mx/noticia/2025/12/23/capital/pueblos-de-milpa-alta-denuncian-consulta-simulada-y-agresiones-para-imponer-el-cablebus-linea-6</v>
      </c>
      <c r="N250" s="2" t="str">
        <f>IFERROR(__xludf.DUMMYFUNCTION("""COMPUTED_VALUE"""),"Ciudad de México.Luego de que 113 personas, de 5 mil habitantes de San Francisco Tecoxpa, en reunión con autoridades del Gobierno de la Ciudad avalaran el proyecto de la línea 6 del Cablebús, el Congreso Nacional Indígena y pueblos de Villa Milpa Alta se "&amp;"pronunciaron en contra de la violencia ejercida para imponer la obra utilizando a beneficiarios de programas sociales, brigadistas de Altépetl y taxistas informales, todos dirigidos por Luis Linares. En tanto la Secretaría Ejecutiva de la Red Nacional de "&amp;"Organismos Civiles y de Derechos Humanos “Todos los Derechos para Todas, Todos y Todes” (Red TDT) emitió una alerta “por el riesgo inminente en la que está la vida e integridad de los habitantes de Milpa Alta” y pidió a los gobiernos de la Ciudad de Méxic"&amp;"o y federal cesar las agresiones contra comuneros, respetar la libre determinación y autonomía de los pueblos. En su pronunciamiento la Red TDT señaló que recibió el informe documental y testimonial de comuneros, sobre lo ocurrido el pasado 21 de diciembr"&amp;"e, cuando representantes de los nueve pueblos se manifestaron en la plaza cívica de San Francisco Tecoxpa para denunciar que autoridades del Gobierno de la ciudad llevaban una consulta simulada para imponer el proyecto y fueron “brutalmente agredidos por "&amp;"un grupo de choque que operaba al interior de la comunidad”. La Red TDT expuso que imponer la implementación de un proyecto de transporte que forja el despojo de tierras comunales y su integración forzada a la mancha urbana “vulneran el derecho de los pue"&amp;"blos a su libre determinación y autonomía”. En su declaración de alerta pidieron se implementen medidas de protección necesarias para evitar todo tipo de agresiones, realizar las investigaciones necesarias con debida diligencia y debido proceso para sanci"&amp;"onar a los perpetradores de las agresiones en contra de los comuneros. En tanto, comuneros de Santa Ana Tlecotenco, San Jerónimo Miacatlán, San Pedro Atocpan, San Lorenzo Tlacoyucan, San Pablo Oxtotepec desconocieron asamblea extraordinaria que se realizó"&amp;" en San Francisco Tecoxpa y señalaron que se trató de una “simulación: convocada sin legalidad, sin representación legítima y en abierta violación al artículo 27 constitucional, a la Ley Agraria y la Comunidad Agraria de Hecho Milpa Alta”. Los integrantes"&amp;" de la comunidad agraria de Milpa Alta expresaron que no puede existir Asamblea de Comuneros hasta que se elija, conforme a derecho, una representación legal del núcleo agrario de Milpa Alta, por ello aclararon: San Francisco Tecoxpa no lo es. “Existe una"&amp;" comunidad comunal conformada por nueve pueblos, no por uno solo. Fragmentar para imponer es una vieja estrategia del poder”. Asimismo, expresaron que un “proyecto que se dice de movilidad no puede construirse sobre cuerpos golpeados, sobre mujeres agredi"&amp;"das, sobre comunidades fracturadas. Ningún proyecto puede llamarse progreso si deja sangre en el camino”.")</f>
        <v>Ciudad de México.Luego de que 113 personas, de 5 mil habitantes de San Francisco Tecoxpa, en reunión con autoridades del Gobierno de la Ciudad avalaran el proyecto de la línea 6 del Cablebús, el Congreso Nacional Indígena y pueblos de Villa Milpa Alta se pronunciaron en contra de la violencia ejercida para imponer la obra utilizando a beneficiarios de programas sociales, brigadistas de Altépetl y taxistas informales, todos dirigidos por Luis Linares. En tanto la Secretaría Ejecutiva de la Red Nacional de Organismos Civiles y de Derechos Humanos “Todos los Derechos para Todas, Todos y Todes” (Red TDT) emitió una alerta “por el riesgo inminente en la que está la vida e integridad de los habitantes de Milpa Alta” y pidió a los gobiernos de la Ciudad de México y federal cesar las agresiones contra comuneros, respetar la libre determinación y autonomía de los pueblos. En su pronunciamiento la Red TDT señaló que recibió el informe documental y testimonial de comuneros, sobre lo ocurrido el pasado 21 de diciembre, cuando representantes de los nueve pueblos se manifestaron en la plaza cívica de San Francisco Tecoxpa para denunciar que autoridades del Gobierno de la ciudad llevaban una consulta simulada para imponer el proyecto y fueron “brutalmente agredidos por un grupo de choque que operaba al interior de la comunidad”. La Red TDT expuso que imponer la implementación de un proyecto de transporte que forja el despojo de tierras comunales y su integración forzada a la mancha urbana “vulneran el derecho de los pueblos a su libre determinación y autonomía”. En su declaración de alerta pidieron se implementen medidas de protección necesarias para evitar todo tipo de agresiones, realizar las investigaciones necesarias con debida diligencia y debido proceso para sancionar a los perpetradores de las agresiones en contra de los comuneros. En tanto, comuneros de Santa Ana Tlecotenco, San Jerónimo Miacatlán, San Pedro Atocpan, San Lorenzo Tlacoyucan, San Pablo Oxtotepec desconocieron asamblea extraordinaria que se realizó en San Francisco Tecoxpa y señalaron que se trató de una “simulación: convocada sin legalidad, sin representación legítima y en abierta violación al artículo 27 constitucional, a la Ley Agraria y la Comunidad Agraria de Hecho Milpa Alta”. Los integrantes de la comunidad agraria de Milpa Alta expresaron que no puede existir Asamblea de Comuneros hasta que se elija, conforme a derecho, una representación legal del núcleo agrario de Milpa Alta, por ello aclararon: San Francisco Tecoxpa no lo es. “Existe una comunidad comunal conformada por nueve pueblos, no por uno solo. Fragmentar para imponer es una vieja estrategia del poder”. Asimismo, expresaron que un “proyecto que se dice de movilidad no puede construirse sobre cuerpos golpeados, sobre mujeres agredidas, sobre comunidades fracturadas. Ningún proyecto puede llamarse progreso si deja sangre en el camino”.</v>
      </c>
      <c r="O250" s="15">
        <f>IFERROR(__xludf.DUMMYFUNCTION("""COMPUTED_VALUE"""),1.0)</f>
        <v>1</v>
      </c>
      <c r="P250" s="2"/>
      <c r="Q250" s="17">
        <f>IFERROR(__xludf.DUMMYFUNCTION("""COMPUTED_VALUE"""),8.0)</f>
        <v>8</v>
      </c>
      <c r="R250" s="2" t="str">
        <f>IFERROR(__xludf.DUMMYFUNCTION("""COMPUTED_VALUE"""),"High")</f>
        <v>High</v>
      </c>
      <c r="S250" s="17">
        <f>IFERROR(__xludf.DUMMYFUNCTION("""COMPUTED_VALUE"""),3.0)</f>
        <v>3</v>
      </c>
      <c r="T250" s="17">
        <f>IFERROR(__xludf.DUMMYFUNCTION("""COMPUTED_VALUE"""),0.0)</f>
        <v>0</v>
      </c>
      <c r="U250" s="14">
        <f>IFERROR(__xludf.DUMMYFUNCTION("""COMPUTED_VALUE"""),3.0)</f>
        <v>3</v>
      </c>
      <c r="V250" s="14">
        <v>2025.0</v>
      </c>
      <c r="W250" s="2" t="s">
        <v>1168</v>
      </c>
      <c r="X250" s="2" t="s">
        <v>1218</v>
      </c>
      <c r="Y250" s="13" t="s">
        <v>961</v>
      </c>
      <c r="Z250" s="14">
        <v>0.0</v>
      </c>
      <c r="AA250" s="14">
        <v>0.0</v>
      </c>
      <c r="AB250" s="14">
        <v>0.0</v>
      </c>
      <c r="AC250" s="14">
        <v>0.0</v>
      </c>
      <c r="AD250" s="2">
        <v>0.0</v>
      </c>
      <c r="AE250" s="2">
        <v>1.0</v>
      </c>
      <c r="AF250" s="2">
        <v>12.0</v>
      </c>
      <c r="AG250" s="2" t="s">
        <v>1225</v>
      </c>
      <c r="AH250" s="2">
        <v>0.0</v>
      </c>
    </row>
    <row r="251" ht="15.75" customHeight="1">
      <c r="A251" s="2" t="str">
        <f>IFERROR(__xludf.DUMMYFUNCTION("""COMPUTED_VALUE"""),"La Jornada")</f>
        <v>La Jornada</v>
      </c>
      <c r="B251" s="12" t="str">
        <f>IFERROR(__xludf.DUMMYFUNCTION("""COMPUTED_VALUE"""),"Dictan prisión preventiva a ex árbitro Marco Antonio ""N"", alias ""Chiquimarco"", por violencia familiar")</f>
        <v>Dictan prisión preventiva a ex árbitro Marco Antonio "N", alias "Chiquimarco", por violencia familiar</v>
      </c>
      <c r="C251" s="13" t="str">
        <f>IFERROR(__xludf.DUMMYFUNCTION("""COMPUTED_VALUE"""),"2025-12-23")</f>
        <v>2025-12-23</v>
      </c>
      <c r="D251" s="14">
        <f>IFERROR(__xludf.DUMMYFUNCTION("""COMPUTED_VALUE"""),2.0)</f>
        <v>2</v>
      </c>
      <c r="E251" s="15">
        <f>IFERROR(__xludf.DUMMYFUNCTION("""COMPUTED_VALUE"""),0.0)</f>
        <v>0</v>
      </c>
      <c r="F251" s="2" t="str">
        <f>IFERROR(__xludf.DUMMYFUNCTION("""COMPUTED_VALUE"""),"Neutral")</f>
        <v>Neutral</v>
      </c>
      <c r="G251" s="15">
        <f>IFERROR(__xludf.DUMMYFUNCTION("""COMPUTED_VALUE"""),0.4912)</f>
        <v>0.4912</v>
      </c>
      <c r="H251" s="2" t="str">
        <f>IFERROR(__xludf.DUMMYFUNCTION("""COMPUTED_VALUE"""),"Operativo policial o detención")</f>
        <v>Operativo policial o detención</v>
      </c>
      <c r="I251" s="2" t="str">
        <f>IFERROR(__xludf.DUMMYFUNCTION("""COMPUTED_VALUE"""),"N/A")</f>
        <v>N/A</v>
      </c>
      <c r="J251" s="2" t="str">
        <f>IFERROR(__xludf.DUMMYFUNCTION("""COMPUTED_VALUE"""),"Monitoreo general.")</f>
        <v>Monitoreo general.</v>
      </c>
      <c r="K251" s="2" t="str">
        <f>IFERROR(__xludf.DUMMYFUNCTION("""COMPUTED_VALUE"""),"Ciudad de México")</f>
        <v>Ciudad de México</v>
      </c>
      <c r="L251" s="2" t="str">
        <f>IFERROR(__xludf.DUMMYFUNCTION("""COMPUTED_VALUE"""),"Ciudad de México")</f>
        <v>Ciudad de México</v>
      </c>
      <c r="M251" s="16" t="str">
        <f>IFERROR(__xludf.DUMMYFUNCTION("""COMPUTED_VALUE"""),"https://www.jornada.com.mx/noticia/2025/12/23/capital/dictan-prision-preventiva-a-ex-arbitro-marco-antonio-rodriguez-por-violencia-familiar")</f>
        <v>https://www.jornada.com.mx/noticia/2025/12/23/capital/dictan-prision-preventiva-a-ex-arbitro-marco-antonio-rodriguez-por-violencia-familiar</v>
      </c>
      <c r="N251" s="2" t="str">
        <f>IFERROR(__xludf.DUMMYFUNCTION("""COMPUTED_VALUE"""),"Ciudad de México. Una jueza de Control determinó que el ex arbitro mexicano, Marco Antonio ""N"" , alias ""Chiquimarco"", se quede en prisión preventiva justificada al interior del Reclusorio Norte, luego de que se repusiera el proceso en su contra por el"&amp;" delito de violencia familiar. El ex silbante deberá presentarse por su propia cuenta en un plazo de 3 días ante las autoridades de dicho penal para que cumpla con la medida cautelar impuesta. Además, la juzgadora dejó sin efecto hasta el momento la orden"&amp;" de aprehensión en su contra, sin embargo, en caso de que Marco Antonio ""N"" no se presente a ese penal, podrá solicitarse el mandamiento de nueva cuenta, contaron fuentes ministeriales. La audiencia se celebró a las 12:00 horas de este martes en las sal"&amp;"as orales de Doctor Lavista, hasta donde acudió, luego de que no se presentara a una comparecencia el pasado 18 de noviembre. Fue justo por esa ausencia por la que los abogados de la víctima y el Ministerio Público de la Fiscalía General de Justicia solic"&amp;"itaron a la juez revisar las medidas cautelares impuestas y solicitaron el cambio tras ausentarse. El ex árbitro fue denunciado en 2023 por su ex pareja, Alva Neri Hernández.")</f>
        <v>Ciudad de México. Una jueza de Control determinó que el ex arbitro mexicano, Marco Antonio "N" , alias "Chiquimarco", se quede en prisión preventiva justificada al interior del Reclusorio Norte, luego de que se repusiera el proceso en su contra por el delito de violencia familiar. El ex silbante deberá presentarse por su propia cuenta en un plazo de 3 días ante las autoridades de dicho penal para que cumpla con la medida cautelar impuesta. Además, la juzgadora dejó sin efecto hasta el momento la orden de aprehensión en su contra, sin embargo, en caso de que Marco Antonio "N" no se presente a ese penal, podrá solicitarse el mandamiento de nueva cuenta, contaron fuentes ministeriales. La audiencia se celebró a las 12:00 horas de este martes en las salas orales de Doctor Lavista, hasta donde acudió, luego de que no se presentara a una comparecencia el pasado 18 de noviembre. Fue justo por esa ausencia por la que los abogados de la víctima y el Ministerio Público de la Fiscalía General de Justicia solicitaron a la juez revisar las medidas cautelares impuestas y solicitaron el cambio tras ausentarse. El ex árbitro fue denunciado en 2023 por su ex pareja, Alva Neri Hernández.</v>
      </c>
      <c r="O251" s="15">
        <f>IFERROR(__xludf.DUMMYFUNCTION("""COMPUTED_VALUE"""),0.8057)</f>
        <v>0.8057</v>
      </c>
      <c r="P251" s="2"/>
      <c r="Q251" s="17">
        <f>IFERROR(__xludf.DUMMYFUNCTION("""COMPUTED_VALUE"""),5.0)</f>
        <v>5</v>
      </c>
      <c r="R251" s="2" t="str">
        <f>IFERROR(__xludf.DUMMYFUNCTION("""COMPUTED_VALUE"""),"High")</f>
        <v>High</v>
      </c>
      <c r="S251" s="17">
        <f>IFERROR(__xludf.DUMMYFUNCTION("""COMPUTED_VALUE"""),3.0)</f>
        <v>3</v>
      </c>
      <c r="T251" s="17">
        <f>IFERROR(__xludf.DUMMYFUNCTION("""COMPUTED_VALUE"""),0.0)</f>
        <v>0</v>
      </c>
      <c r="U251" s="14">
        <f>IFERROR(__xludf.DUMMYFUNCTION("""COMPUTED_VALUE"""),3.0)</f>
        <v>3</v>
      </c>
      <c r="V251" s="14">
        <v>2025.0</v>
      </c>
      <c r="W251" s="2" t="s">
        <v>1168</v>
      </c>
      <c r="X251" s="2" t="s">
        <v>1218</v>
      </c>
      <c r="Y251" s="13" t="s">
        <v>961</v>
      </c>
      <c r="Z251" s="14">
        <v>0.0</v>
      </c>
      <c r="AA251" s="14">
        <v>0.0</v>
      </c>
      <c r="AB251" s="14">
        <v>0.0</v>
      </c>
      <c r="AC251" s="14">
        <v>0.0</v>
      </c>
      <c r="AD251" s="2">
        <v>0.0</v>
      </c>
      <c r="AE251" s="2">
        <v>0.0</v>
      </c>
      <c r="AF251" s="2">
        <v>12.0</v>
      </c>
      <c r="AG251" s="2" t="s">
        <v>1175</v>
      </c>
      <c r="AH251" s="2">
        <v>0.0</v>
      </c>
    </row>
    <row r="252" ht="15.75" customHeight="1">
      <c r="A252" s="2" t="str">
        <f>IFERROR(__xludf.DUMMYFUNCTION("""COMPUTED_VALUE"""),"La Jornada")</f>
        <v>La Jornada</v>
      </c>
      <c r="B252" s="12" t="str">
        <f>IFERROR(__xludf.DUMMYFUNCTION("""COMPUTED_VALUE"""),"Adolescente dispara a pareja en el interior del panteón en la alcaldía AO ")</f>
        <v>Adolescente dispara a pareja en el interior del panteón en la alcaldía AO </v>
      </c>
      <c r="C252" s="13" t="str">
        <f>IFERROR(__xludf.DUMMYFUNCTION("""COMPUTED_VALUE"""),"2025-12-23")</f>
        <v>2025-12-23</v>
      </c>
      <c r="D252" s="14">
        <f>IFERROR(__xludf.DUMMYFUNCTION("""COMPUTED_VALUE"""),4.0)</f>
        <v>4</v>
      </c>
      <c r="E252" s="15">
        <f>IFERROR(__xludf.DUMMYFUNCTION("""COMPUTED_VALUE"""),-0.7268)</f>
        <v>-0.7268</v>
      </c>
      <c r="F252" s="2" t="str">
        <f>IFERROR(__xludf.DUMMYFUNCTION("""COMPUTED_VALUE"""),"Negativo")</f>
        <v>Negativo</v>
      </c>
      <c r="G252" s="15">
        <f>IFERROR(__xludf.DUMMYFUNCTION("""COMPUTED_VALUE"""),0.7268)</f>
        <v>0.7268</v>
      </c>
      <c r="H252" s="2" t="str">
        <f>IFERROR(__xludf.DUMMYFUNCTION("""COMPUTED_VALUE"""),"Operativo policial o detención")</f>
        <v>Operativo policial o detención</v>
      </c>
      <c r="I252" s="2" t="str">
        <f>IFERROR(__xludf.DUMMYFUNCTION("""COMPUTED_VALUE"""),"N/A")</f>
        <v>N/A</v>
      </c>
      <c r="J252" s="2" t="str">
        <f>IFERROR(__xludf.DUMMYFUNCTION("""COMPUTED_VALUE"""),"Monitoreo general.")</f>
        <v>Monitoreo general.</v>
      </c>
      <c r="K252" s="2" t="str">
        <f>IFERROR(__xludf.DUMMYFUNCTION("""COMPUTED_VALUE"""),"Álvaro Obregón")</f>
        <v>Álvaro Obregón</v>
      </c>
      <c r="L252" s="2" t="str">
        <f>IFERROR(__xludf.DUMMYFUNCTION("""COMPUTED_VALUE"""),"Ciudad de México")</f>
        <v>Ciudad de México</v>
      </c>
      <c r="M252" s="16" t="str">
        <f>IFERROR(__xludf.DUMMYFUNCTION("""COMPUTED_VALUE"""),"https://www.jornada.com.mx/noticia/2025/12/23/capital/adolescente-dispara-a-pareja-en-el-interior-del-panteon-en-la-alcaldia-ao")</f>
        <v>https://www.jornada.com.mx/noticia/2025/12/23/capital/adolescente-dispara-a-pareja-en-el-interior-del-panteon-en-la-alcaldia-ao</v>
      </c>
      <c r="N252" s="2" t="str">
        <f>IFERROR(__xludf.DUMMYFUNCTION("""COMPUTED_VALUE"""),"Ciudad de México.Un adolescente de 17 años fue detenido por la policía capitalina luego de atacar de manera directa a una mujer y lesionar a un hombre, al interior de un panteón en la alcaldía Álvaro Obregón. Los hechos ocurrieron en las avenidas Vasco de"&amp;" Quiroga y Paso a la Alhaja, en la colonia La Mexicana, cuando se reportaron  detonaciones de arma de fuego. Al llegar, los elementos observaron a una mujer con lesión en la parrilla costal derecha, y a un hombre con una herida en el brazo y la rodilla, p"&amp;"or lo que solicitaron los servicios de emergencia, sin embargo fueron trasladados por sus medios a un hospital para su atención médica especializada. Los uniformados aseguraron a un joven señalado por las personas en el sitio, como el probable responsable"&amp;". El sujeto fue detenido y puesto a disposición del agente del Ministerio Público correspondiente quien definirá su situación jurídica.")</f>
        <v>Ciudad de México.Un adolescente de 17 años fue detenido por la policía capitalina luego de atacar de manera directa a una mujer y lesionar a un hombre, al interior de un panteón en la alcaldía Álvaro Obregón. Los hechos ocurrieron en las avenidas Vasco de Quiroga y Paso a la Alhaja, en la colonia La Mexicana, cuando se reportaron  detonaciones de arma de fuego. Al llegar, los elementos observaron a una mujer con lesión en la parrilla costal derecha, y a un hombre con una herida en el brazo y la rodilla, por lo que solicitaron los servicios de emergencia, sin embargo fueron trasladados por sus medios a un hospital para su atención médica especializada. Los uniformados aseguraron a un joven señalado por las personas en el sitio, como el probable responsable. El sujeto fue detenido y puesto a disposición del agente del Ministerio Público correspondiente quien definirá su situación jurídica.</v>
      </c>
      <c r="O252" s="15">
        <f>IFERROR(__xludf.DUMMYFUNCTION("""COMPUTED_VALUE"""),0.7594)</f>
        <v>0.7594</v>
      </c>
      <c r="P252" s="2"/>
      <c r="Q252" s="17">
        <f>IFERROR(__xludf.DUMMYFUNCTION("""COMPUTED_VALUE"""),8.0)</f>
        <v>8</v>
      </c>
      <c r="R252" s="2" t="str">
        <f>IFERROR(__xludf.DUMMYFUNCTION("""COMPUTED_VALUE"""),"High")</f>
        <v>High</v>
      </c>
      <c r="S252" s="17">
        <f>IFERROR(__xludf.DUMMYFUNCTION("""COMPUTED_VALUE"""),3.0)</f>
        <v>3</v>
      </c>
      <c r="T252" s="17">
        <f>IFERROR(__xludf.DUMMYFUNCTION("""COMPUTED_VALUE"""),0.0)</f>
        <v>0</v>
      </c>
      <c r="U252" s="14">
        <f>IFERROR(__xludf.DUMMYFUNCTION("""COMPUTED_VALUE"""),3.0)</f>
        <v>3</v>
      </c>
      <c r="V252" s="14">
        <v>2025.0</v>
      </c>
      <c r="W252" s="2" t="s">
        <v>1168</v>
      </c>
      <c r="X252" s="2" t="s">
        <v>1218</v>
      </c>
      <c r="Y252" s="13" t="s">
        <v>961</v>
      </c>
      <c r="Z252" s="14">
        <v>0.0</v>
      </c>
      <c r="AA252" s="14">
        <v>0.0</v>
      </c>
      <c r="AB252" s="14">
        <v>0.0</v>
      </c>
      <c r="AC252" s="14">
        <v>0.0</v>
      </c>
      <c r="AD252" s="2">
        <v>0.0</v>
      </c>
      <c r="AE252" s="2">
        <v>1.0</v>
      </c>
      <c r="AF252" s="2">
        <v>12.0</v>
      </c>
      <c r="AG252" s="2" t="s">
        <v>1220</v>
      </c>
      <c r="AH252" s="2">
        <v>0.0</v>
      </c>
    </row>
    <row r="253" ht="15.75" customHeight="1">
      <c r="A253" s="2" t="str">
        <f>IFERROR(__xludf.DUMMYFUNCTION("""COMPUTED_VALUE"""),"La Jornada")</f>
        <v>La Jornada</v>
      </c>
      <c r="B253" s="12" t="str">
        <f>IFERROR(__xludf.DUMMYFUNCTION("""COMPUTED_VALUE"""),"Exhortan a capitalinos a evitar fogatas y pirotecnia en fiestas decembrinas")</f>
        <v>Exhortan a capitalinos a evitar fogatas y pirotecnia en fiestas decembrinas</v>
      </c>
      <c r="C253" s="13" t="str">
        <f>IFERROR(__xludf.DUMMYFUNCTION("""COMPUTED_VALUE"""),"2025-12-23")</f>
        <v>2025-12-23</v>
      </c>
      <c r="D253" s="14">
        <f>IFERROR(__xludf.DUMMYFUNCTION("""COMPUTED_VALUE"""),1.0)</f>
        <v>1</v>
      </c>
      <c r="E253" s="15">
        <f>IFERROR(__xludf.DUMMYFUNCTION("""COMPUTED_VALUE"""),-0.7007)</f>
        <v>-0.7007</v>
      </c>
      <c r="F253" s="2" t="str">
        <f>IFERROR(__xludf.DUMMYFUNCTION("""COMPUTED_VALUE"""),"Negativo")</f>
        <v>Negativo</v>
      </c>
      <c r="G253" s="15">
        <f>IFERROR(__xludf.DUMMYFUNCTION("""COMPUTED_VALUE"""),0.7007)</f>
        <v>0.7007</v>
      </c>
      <c r="H253" s="2" t="str">
        <f>IFERROR(__xludf.DUMMYFUNCTION("""COMPUTED_VALUE"""),"Otros temas generales")</f>
        <v>Otros temas generales</v>
      </c>
      <c r="I253" s="2" t="str">
        <f>IFERROR(__xludf.DUMMYFUNCTION("""COMPUTED_VALUE"""),"N/A")</f>
        <v>N/A</v>
      </c>
      <c r="J253" s="2" t="str">
        <f>IFERROR(__xludf.DUMMYFUNCTION("""COMPUTED_VALUE"""),"Descartar / Baja prioridad.")</f>
        <v>Descartar / Baja prioridad.</v>
      </c>
      <c r="K253" s="2" t="str">
        <f>IFERROR(__xludf.DUMMYFUNCTION("""COMPUTED_VALUE"""),"Ciudad de México")</f>
        <v>Ciudad de México</v>
      </c>
      <c r="L253" s="2" t="str">
        <f>IFERROR(__xludf.DUMMYFUNCTION("""COMPUTED_VALUE"""),"Ciudad de México")</f>
        <v>Ciudad de México</v>
      </c>
      <c r="M253" s="16" t="str">
        <f>IFERROR(__xludf.DUMMYFUNCTION("""COMPUTED_VALUE"""),"https://www.jornada.com.mx/noticia/2025/12/23/capital/exhortan-a-capitalinos-a-evitar-fogatas-y-pirotecnia-en-fiestas-decembrinas")</f>
        <v>https://www.jornada.com.mx/noticia/2025/12/23/capital/exhortan-a-capitalinos-a-evitar-fogatas-y-pirotecnia-en-fiestas-decembrinas</v>
      </c>
      <c r="N253" s="2" t="str">
        <f>IFERROR(__xludf.DUMMYFUNCTION("""COMPUTED_VALUE"""),"Ciudad de México.En vísperas de nochebuena y navidad, la Comisión Ambiental de la Megalópolis (CAMe) exhortó a la población a evitar la quema de pirotecnia y fogatas en estos días para evitar el deterioro de la calidad del aire, ante el incremento de cont"&amp;"aminantes que se suscita en esta temporada invernal. La CAMe explicó que en esta temporada las bajas temperaturas y la presencia de un mayor número de inversiones térmicas favorecen el estancamiento de contaminantes (en especial partículas PM10 y PM2.5) y"&amp;" evitan su dispersión. A los que se suman las emisiones de partículas que se generan por la quema de pirotecnia, las fogatas con leña o llantas en la época decembrina, lo que ocasiona el deterioro de la calidad del aire, incluso, en ocasiones se debe decr"&amp;"etar contingencia ambiental atmosférica en la Zona Metropolitana del Valle de México, Zona Metropolitana del Valle de Toluca y otras ciudades de la Megalópolis. La presencia de estas partículas contaminantes dañan la salud, en especial la de los grupos vu"&amp;"lnerables (niños, personas embarazadas, adultos mayores y personas con enfermedades respiratorias). De acuerdo con el Instituto Nacional de Salud Pública, el aire contaminado ocasiona síntomas como la irritación en los ojos, nariz y garganta, dolor cabeza"&amp;" reacciones alérgicas, así como infecciones de las vías respiratorias superiores, eventos agudos isquémicos (infartos), la agudización de asma y de enfermedad pulmonar obstructiva crónica (EPOC), entre otros. Enfatizó que en caso de que la calidad del air"&amp;"e sea muy mala o extremadamente mala se recomienda permanecer en casa con las ventanas cerradas, para evitar que el aire contaminado ingrese; evitar hacer actividades vigorosas al aire libre en la mañana del 25 de diciembre, tales como trotar o andar en b"&amp;"icicleta, porque esto incrementa la tasa de respiración y provoca que ingresen más contaminantes al cuerpo; en caso de estar en exteriores, utilizar cubrebocas. También, pidió a la población reportar incendios forestales al 800-737-0000 o al 911 y consult"&amp;"ar la calidad del aire a través de los canales oficiales de la CAMe.")</f>
        <v>Ciudad de México.En vísperas de nochebuena y navidad, la Comisión Ambiental de la Megalópolis (CAMe) exhortó a la población a evitar la quema de pirotecnia y fogatas en estos días para evitar el deterioro de la calidad del aire, ante el incremento de contaminantes que se suscita en esta temporada invernal. La CAMe explicó que en esta temporada las bajas temperaturas y la presencia de un mayor número de inversiones térmicas favorecen el estancamiento de contaminantes (en especial partículas PM10 y PM2.5) y evitan su dispersión. A los que se suman las emisiones de partículas que se generan por la quema de pirotecnia, las fogatas con leña o llantas en la época decembrina, lo que ocasiona el deterioro de la calidad del aire, incluso, en ocasiones se debe decretar contingencia ambiental atmosférica en la Zona Metropolitana del Valle de México, Zona Metropolitana del Valle de Toluca y otras ciudades de la Megalópolis. La presencia de estas partículas contaminantes dañan la salud, en especial la de los grupos vulnerables (niños, personas embarazadas, adultos mayores y personas con enfermedades respiratorias). De acuerdo con el Instituto Nacional de Salud Pública, el aire contaminado ocasiona síntomas como la irritación en los ojos, nariz y garganta, dolor cabeza reacciones alérgicas, así como infecciones de las vías respiratorias superiores, eventos agudos isquémicos (infartos), la agudización de asma y de enfermedad pulmonar obstructiva crónica (EPOC), entre otros. Enfatizó que en caso de que la calidad del aire sea muy mala o extremadamente mala se recomienda permanecer en casa con las ventanas cerradas, para evitar que el aire contaminado ingrese; evitar hacer actividades vigorosas al aire libre en la mañana del 25 de diciembre, tales como trotar o andar en bicicleta, porque esto incrementa la tasa de respiración y provoca que ingresen más contaminantes al cuerpo; en caso de estar en exteriores, utilizar cubrebocas. También, pidió a la población reportar incendios forestales al 800-737-0000 o al 911 y consultar la calidad del aire a través de los canales oficiales de la CAMe.</v>
      </c>
      <c r="O253" s="15">
        <f>IFERROR(__xludf.DUMMYFUNCTION("""COMPUTED_VALUE"""),0.2983)</f>
        <v>0.2983</v>
      </c>
      <c r="P253" s="2"/>
      <c r="Q253" s="17">
        <f>IFERROR(__xludf.DUMMYFUNCTION("""COMPUTED_VALUE"""),5.0)</f>
        <v>5</v>
      </c>
      <c r="R253" s="2" t="str">
        <f>IFERROR(__xludf.DUMMYFUNCTION("""COMPUTED_VALUE"""),"High")</f>
        <v>High</v>
      </c>
      <c r="S253" s="17">
        <f>IFERROR(__xludf.DUMMYFUNCTION("""COMPUTED_VALUE"""),3.0)</f>
        <v>3</v>
      </c>
      <c r="T253" s="17">
        <f>IFERROR(__xludf.DUMMYFUNCTION("""COMPUTED_VALUE"""),0.0)</f>
        <v>0</v>
      </c>
      <c r="U253" s="14">
        <f>IFERROR(__xludf.DUMMYFUNCTION("""COMPUTED_VALUE"""),3.0)</f>
        <v>3</v>
      </c>
      <c r="V253" s="14">
        <v>2025.0</v>
      </c>
      <c r="W253" s="2" t="s">
        <v>1168</v>
      </c>
      <c r="X253" s="2" t="s">
        <v>1218</v>
      </c>
      <c r="Y253" s="13" t="s">
        <v>961</v>
      </c>
      <c r="Z253" s="14">
        <v>0.0</v>
      </c>
      <c r="AA253" s="14">
        <v>0.0</v>
      </c>
      <c r="AB253" s="14">
        <v>0.0</v>
      </c>
      <c r="AC253" s="14">
        <v>0.0</v>
      </c>
      <c r="AD253" s="2">
        <v>0.0</v>
      </c>
      <c r="AE253" s="2">
        <v>0.0</v>
      </c>
      <c r="AF253" s="2">
        <v>12.0</v>
      </c>
      <c r="AG253" s="2" t="s">
        <v>1175</v>
      </c>
      <c r="AH253" s="2">
        <v>0.0</v>
      </c>
    </row>
    <row r="254" ht="15.75" customHeight="1">
      <c r="A254" s="2" t="str">
        <f>IFERROR(__xludf.DUMMYFUNCTION("""COMPUTED_VALUE"""),"TV Azteca")</f>
        <v>TV Azteca</v>
      </c>
      <c r="B254" s="12" t="str">
        <f>IFERROR(__xludf.DUMMYFUNCTION("""COMPUTED_VALUE"""),"Ellos son las personas que murieron tras descarrilamiento del Tren Interoceánico en Oaxaca")</f>
        <v>Ellos son las personas que murieron tras descarrilamiento del Tren Interoceánico en Oaxaca</v>
      </c>
      <c r="C254" s="13" t="str">
        <f>IFERROR(__xludf.DUMMYFUNCTION("""COMPUTED_VALUE"""),"2025-12-30 01:28:18")</f>
        <v>2025-12-30 01:28:18</v>
      </c>
      <c r="D254" s="14">
        <f>IFERROR(__xludf.DUMMYFUNCTION("""COMPUTED_VALUE"""),4.0)</f>
        <v>4</v>
      </c>
      <c r="E254" s="15">
        <f>IFERROR(__xludf.DUMMYFUNCTION("""COMPUTED_VALUE"""),-0.8925)</f>
        <v>-0.8925</v>
      </c>
      <c r="F254" s="2" t="str">
        <f>IFERROR(__xludf.DUMMYFUNCTION("""COMPUTED_VALUE"""),"Negativo")</f>
        <v>Negativo</v>
      </c>
      <c r="G254" s="15">
        <f>IFERROR(__xludf.DUMMYFUNCTION("""COMPUTED_VALUE"""),0.8925)</f>
        <v>0.8925</v>
      </c>
      <c r="H254" s="2" t="str">
        <f>IFERROR(__xludf.DUMMYFUNCTION("""COMPUTED_VALUE"""),"Accidente de tránsito o choque vial")</f>
        <v>Accidente de tránsito o choque vial</v>
      </c>
      <c r="I254" s="2" t="str">
        <f>IFERROR(__xludf.DUMMYFUNCTION("""COMPUTED_VALUE"""),"N/A")</f>
        <v>N/A</v>
      </c>
      <c r="J254" s="2" t="str">
        <f>IFERROR(__xludf.DUMMYFUNCTION("""COMPUTED_VALUE"""),"Seguridad Vial: Monitoreo de zona.")</f>
        <v>Seguridad Vial: Monitoreo de zona.</v>
      </c>
      <c r="K254" s="2" t="str">
        <f>IFERROR(__xludf.DUMMYFUNCTION("""COMPUTED_VALUE"""),"Oaxaca")</f>
        <v>Oaxaca</v>
      </c>
      <c r="L254" s="2" t="str">
        <f>IFERROR(__xludf.DUMMYFUNCTION("""COMPUTED_VALUE"""),"Oaxaca")</f>
        <v>Oaxaca</v>
      </c>
      <c r="M254" s="16" t="str">
        <f>IFERROR(__xludf.DUMMYFUNCTION("""COMPUTED_VALUE"""),"https://www.tvazteca.com/aztecanoticias/descarrilamiento-del-tren-interoceanico-oaxaca-lista-de-personas-muertas/")</f>
        <v>https://www.tvazteca.com/aztecanoticias/descarrilamiento-del-tren-interoceanico-oaxaca-lista-de-personas-muertas/</v>
      </c>
      <c r="N254" s="2" t="str">
        <f>IFERROR(__xludf.DUMMYFUNCTION("""COMPUTED_VALUE"""),"A dos años de su construcción, elTren Interoceánico del Istmo de Tehuantepecquedó marcado por la tragedia que cobró la vida de 13 personas y dejó casi un centenar de heridos tras eldescarrilamientoen la ruta hacia Coatzacoalcos, Veracruz. A más de 24 hora"&amp;"s del accidente ocurrido enNizanda, Oaxaca, autoridades federales confirmaron lalista oficial de las victimas mortales, entre ellas una niña de seis años y una adolescente de 15 que jamás llegaron a su destino. Las autoridades confirmaron la lista de pers"&amp;"onas que perdieron la vida en elaccidenteferroviario, donde pasajeros señalaron que eltren iba muy rápido: Varias de las víctimas eran originarias del sur deVeracruz, principalmente de Coatzacoalcos, Minatitlán, Acayucan y Villa Allende. Horas antes de qu"&amp;"e las autoridades dieron a conocer la lista, familiares confirmaron lamuerte de Inés Alvarado Rojas,originaria de Villa Allende,Coatzacoalcos. Así como la de María Antonia Rosales, deAcayucan. Entre las víctimas también se encuentran las hermanas Patricia"&amp;" y Honoria Medina, y Rogelio Luna, originario de Minatitlán. Personas que viajaban en una obra insignia de la Cuarta Transformación con la intención de volver a casa de forma segura. Una familia de origen veracruzano hoy llora la pérdida de dos de sus int"&amp;"egrantes, donde los abuelosMaría Luisa y Raúl murieron en elaccidente, mientras que otros seis familiares resultaron lesionados, entre ellos dos menores de edad. “Mi abuela, sus hijos, sus nietos, su esposo… nos dijeron que mi abuela había muerto. Luego a"&amp;"pareció mi abuelo también sin vida. Necesitamos ayuda para traerlos, aquí era su casa”, narró un familiar. La adolescenteLuisa Camila Serrano Moreno,de 15 años, viajaba con su mamá y su hermana, quienes resultaron lesionadas y fueron trasladadas al hospit"&amp;"al Macedonio Benítez Fuentes, en Juchitán. Durante varias horas no se tuvo información sobre su paradero, ya que su nombre no aparecía en la lista de personas heridas ni entre quienes murieron, mientras que las autoridades no ofrecían mayores detalles a l"&amp;"a familia. Finalmente, un día después,Luisafue localizada sin vida. El Conalep Plantel 155 de Salina Cruz confirmó que era estudiante de la carrera de Salud Comunitaria y expresó sus condolencias. De acuerdo con información de la Secretaría de Marina (Sem"&amp;"ar), el tren partió deSalina Cruza las 8 de la mañana. Una hora después, lalocomotorase salió de las vías, provocando que uno de los vagones cayeran hasta el fondo de la barranca. De las 250 personas que viajaban a bordo, 127 pasajeros fueron evacuados si"&amp;"n lesiones, mientras que 98 personas fueron atendidas. El saldo final fue de: Este lunes 29 de diciembre fue recuperado elregistrador electrónico ""Pulse"", conocido como la caja negra ferroviaria, que almacena datos clave como velocidad, frenado y maniob"&amp;"ras, por lo que se espera que la Fiscalía General de la República (FGR) inicie las investigaciones pertinentes. Pese a esto, han surgido señalamientos por presuntos amiguismos en la operación del proyecto, que involucran aBobby López Beltrán,hijo del expr"&amp;"esidente Andrés Manuel López Obrador, quien fue presentado como supervisor honorífico del tren.")</f>
        <v>A dos años de su construcción, elTren Interoceánico del Istmo de Tehuantepecquedó marcado por la tragedia que cobró la vida de 13 personas y dejó casi un centenar de heridos tras eldescarrilamientoen la ruta hacia Coatzacoalcos, Veracruz. A más de 24 horas del accidente ocurrido enNizanda, Oaxaca, autoridades federales confirmaron lalista oficial de las victimas mortales, entre ellas una niña de seis años y una adolescente de 15 que jamás llegaron a su destino. Las autoridades confirmaron la lista de personas que perdieron la vida en elaccidenteferroviario, donde pasajeros señalaron que eltren iba muy rápido: Varias de las víctimas eran originarias del sur deVeracruz, principalmente de Coatzacoalcos, Minatitlán, Acayucan y Villa Allende. Horas antes de que las autoridades dieron a conocer la lista, familiares confirmaron lamuerte de Inés Alvarado Rojas,originaria de Villa Allende,Coatzacoalcos. Así como la de María Antonia Rosales, deAcayucan. Entre las víctimas también se encuentran las hermanas Patricia y Honoria Medina, y Rogelio Luna, originario de Minatitlán. Personas que viajaban en una obra insignia de la Cuarta Transformación con la intención de volver a casa de forma segura. Una familia de origen veracruzano hoy llora la pérdida de dos de sus integrantes, donde los abuelosMaría Luisa y Raúl murieron en elaccidente, mientras que otros seis familiares resultaron lesionados, entre ellos dos menores de edad. “Mi abuela, sus hijos, sus nietos, su esposo… nos dijeron que mi abuela había muerto. Luego apareció mi abuelo también sin vida. Necesitamos ayuda para traerlos, aquí era su casa”, narró un familiar. La adolescenteLuisa Camila Serrano Moreno,de 15 años, viajaba con su mamá y su hermana, quienes resultaron lesionadas y fueron trasladadas al hospital Macedonio Benítez Fuentes, en Juchitán. Durante varias horas no se tuvo información sobre su paradero, ya que su nombre no aparecía en la lista de personas heridas ni entre quienes murieron, mientras que las autoridades no ofrecían mayores detalles a la familia. Finalmente, un día después,Luisafue localizada sin vida. El Conalep Plantel 155 de Salina Cruz confirmó que era estudiante de la carrera de Salud Comunitaria y expresó sus condolencias. De acuerdo con información de la Secretaría de Marina (Semar), el tren partió deSalina Cruza las 8 de la mañana. Una hora después, lalocomotorase salió de las vías, provocando que uno de los vagones cayeran hasta el fondo de la barranca. De las 250 personas que viajaban a bordo, 127 pasajeros fueron evacuados sin lesiones, mientras que 98 personas fueron atendidas. El saldo final fue de: Este lunes 29 de diciembre fue recuperado elregistrador electrónico "Pulse", conocido como la caja negra ferroviaria, que almacena datos clave como velocidad, frenado y maniobras, por lo que se espera que la Fiscalía General de la República (FGR) inicie las investigaciones pertinentes. Pese a esto, han surgido señalamientos por presuntos amiguismos en la operación del proyecto, que involucran aBobby López Beltrán,hijo del expresidente Andrés Manuel López Obrador, quien fue presentado como supervisor honorífico del tren.</v>
      </c>
      <c r="O254" s="15">
        <f>IFERROR(__xludf.DUMMYFUNCTION("""COMPUTED_VALUE"""),0.3625)</f>
        <v>0.3625</v>
      </c>
      <c r="P254" s="2"/>
      <c r="Q254" s="17">
        <f>IFERROR(__xludf.DUMMYFUNCTION("""COMPUTED_VALUE"""),8.5)</f>
        <v>8.5</v>
      </c>
      <c r="R254" s="2" t="str">
        <f>IFERROR(__xludf.DUMMYFUNCTION("""COMPUTED_VALUE"""),"High")</f>
        <v>High</v>
      </c>
      <c r="S254" s="17">
        <f>IFERROR(__xludf.DUMMYFUNCTION("""COMPUTED_VALUE"""),2.5)</f>
        <v>2.5</v>
      </c>
      <c r="T254" s="17">
        <f>IFERROR(__xludf.DUMMYFUNCTION("""COMPUTED_VALUE"""),0.0)</f>
        <v>0</v>
      </c>
      <c r="U254" s="14">
        <f>IFERROR(__xludf.DUMMYFUNCTION("""COMPUTED_VALUE"""),3.0)</f>
        <v>3</v>
      </c>
      <c r="V254" s="14">
        <v>2025.0</v>
      </c>
      <c r="W254" s="2" t="s">
        <v>1168</v>
      </c>
      <c r="X254" s="2" t="s">
        <v>1218</v>
      </c>
      <c r="Y254" s="13" t="s">
        <v>976</v>
      </c>
      <c r="Z254" s="14">
        <v>0.0</v>
      </c>
      <c r="AA254" s="14">
        <v>0.0</v>
      </c>
      <c r="AB254" s="14">
        <v>0.0</v>
      </c>
      <c r="AC254" s="14">
        <v>0.0</v>
      </c>
      <c r="AD254" s="2">
        <v>0.0</v>
      </c>
      <c r="AE254" s="2">
        <v>1.0</v>
      </c>
      <c r="AF254" s="2">
        <v>12.0</v>
      </c>
      <c r="AG254" s="2" t="s">
        <v>1176</v>
      </c>
      <c r="AH254" s="2">
        <v>0.0</v>
      </c>
    </row>
    <row r="255" ht="15.75" customHeight="1">
      <c r="A255" s="2" t="str">
        <f>IFERROR(__xludf.DUMMYFUNCTION("""COMPUTED_VALUE"""),"TV Azteca")</f>
        <v>TV Azteca</v>
      </c>
      <c r="B255" s="12" t="str">
        <f>IFERROR(__xludf.DUMMYFUNCTION("""COMPUTED_VALUE"""),"Tráiler destroza una camioneta en autopista de Jalisco y deja un muerto")</f>
        <v>Tráiler destroza una camioneta en autopista de Jalisco y deja un muerto</v>
      </c>
      <c r="C255" s="13" t="str">
        <f>IFERROR(__xludf.DUMMYFUNCTION("""COMPUTED_VALUE"""),"2025-12-30 00:36:11")</f>
        <v>2025-12-30 00:36:11</v>
      </c>
      <c r="D255" s="14">
        <f>IFERROR(__xludf.DUMMYFUNCTION("""COMPUTED_VALUE"""),4.0)</f>
        <v>4</v>
      </c>
      <c r="E255" s="15">
        <f>IFERROR(__xludf.DUMMYFUNCTION("""COMPUTED_VALUE"""),-0.6516)</f>
        <v>-0.6516</v>
      </c>
      <c r="F255" s="2" t="str">
        <f>IFERROR(__xludf.DUMMYFUNCTION("""COMPUTED_VALUE"""),"Negativo")</f>
        <v>Negativo</v>
      </c>
      <c r="G255" s="15">
        <f>IFERROR(__xludf.DUMMYFUNCTION("""COMPUTED_VALUE"""),0.6516)</f>
        <v>0.6516</v>
      </c>
      <c r="H255" s="2" t="str">
        <f>IFERROR(__xludf.DUMMYFUNCTION("""COMPUTED_VALUE"""),"Accidente de tránsito o choque vial")</f>
        <v>Accidente de tránsito o choque vial</v>
      </c>
      <c r="I255" s="2" t="str">
        <f>IFERROR(__xludf.DUMMYFUNCTION("""COMPUTED_VALUE"""),"choque")</f>
        <v>choque</v>
      </c>
      <c r="J255" s="2" t="str">
        <f>IFERROR(__xludf.DUMMYFUNCTION("""COMPUTED_VALUE"""),"Soporte DRV: Seguros/Guía post-siniestro.")</f>
        <v>Soporte DRV: Seguros/Guía post-siniestro.</v>
      </c>
      <c r="K255" s="2" t="str">
        <f>IFERROR(__xludf.DUMMYFUNCTION("""COMPUTED_VALUE"""),"Jalisco")</f>
        <v>Jalisco</v>
      </c>
      <c r="L255" s="2" t="str">
        <f>IFERROR(__xludf.DUMMYFUNCTION("""COMPUTED_VALUE"""),"Jalisco")</f>
        <v>Jalisco</v>
      </c>
      <c r="M255" s="16" t="str">
        <f>IFERROR(__xludf.DUMMYFUNCTION("""COMPUTED_VALUE"""),"https://www.tvazteca.com/aztecanoticias/accidente-en-la-autopista-aguascalientes-leon-en-jalisco-deja-un-fallecido/")</f>
        <v>https://www.tvazteca.com/aztecanoticias/accidente-en-la-autopista-aguascalientes-leon-en-jalisco-deja-un-fallecido/</v>
      </c>
      <c r="N255" s="2" t="str">
        <f>IFERROR(__xludf.DUMMYFUNCTION("""COMPUTED_VALUE"""),"La mañana de este lunes se registró un aparatosoaccidentesobre laautopista Aguascalientes–León, a la altura del paraje conocido comoEl Desperdicio, en el municipio deEncarnación de Díaz, Jalisco. El choque involucró a dos vehículos particulares y un tráil"&amp;"er de doble remolque, lo que provocó momentos de tensión entre automovilistas que circulaban por la zona. De acuerdo con los primeros reportes, el saldo preliminar delaccidentefue de un adulto fallecido, un menor de edad gravemente lesionado y tres person"&amp;"as más con heridas de consideración regular. Testigos alertaron de inmediato a los servicios de emergencia tras observar los vehículos severamente dañados y a varias personas atrapadas. Elementos de Protección Civil, en coordinación con la Unidad Municipa"&amp;"l deEncarnación de Díaz, arribaron al sitio para brindar atención prehospitalaria a los lesionados. Paramédicos estabilizaron a las víctimas antes de su traslado a hospitales cercanos, mientras que equipos de rescate realizaron maniobras para liberar a pe"&amp;"rsonas que quedaron prensadas dentro de los automóviles. La zona fue acordonada durante varias horas para permitir las labores de auxilio y evitar nuevos percances, lo que generó tráfico lento en ambos sentidos de la autopista. Autoridades pidieron pacien"&amp;"cia a los conductores y recomendaron tomar vías alternas mientras se realizaban las diligencias correspondientes. Hasta el momento, no se ha informado de manera oficial cómo ocurrió elaccidente; sin embargo, no se descarta que el exceso de velocidad o una"&amp;" distracción al volante hayan sido factores determinantes. Las investigaciones continúan para deslindar responsabilidades. Este accidente ocurre en plena temporada devacaciones invernales, una época en la que aumenta considerablemente el flujo vehicular e"&amp;"ncarreterasyautopistasdel país. Las autoridades reiteraron el llamado a manejar con precaución, respetar los límites de velocidad y mantenerse atentos a las condiciones del camino. Durante las vacaciones, pequeños descuidos pueden terminar en tragedia. Pa"&amp;"ra reducir riesgos al viajar por carretera, especialistas recomiendan: Las carreteras no perdonan errores, y en temporada vacacional el riesgo se multiplica. La prevención sigue siendo la mejor herramienta para evitar tragedias como la ocurrida en la auto"&amp;"pista Aguascalientes–León.")</f>
        <v>La mañana de este lunes se registró un aparatosoaccidentesobre laautopista Aguascalientes–León, a la altura del paraje conocido comoEl Desperdicio, en el municipio deEncarnación de Díaz, Jalisco. El choque involucró a dos vehículos particulares y un tráiler de doble remolque, lo que provocó momentos de tensión entre automovilistas que circulaban por la zona. De acuerdo con los primeros reportes, el saldo preliminar delaccidentefue de un adulto fallecido, un menor de edad gravemente lesionado y tres personas más con heridas de consideración regular. Testigos alertaron de inmediato a los servicios de emergencia tras observar los vehículos severamente dañados y a varias personas atrapadas. Elementos de Protección Civil, en coordinación con la Unidad Municipal deEncarnación de Díaz, arribaron al sitio para brindar atención prehospitalaria a los lesionados. Paramédicos estabilizaron a las víctimas antes de su traslado a hospitales cercanos, mientras que equipos de rescate realizaron maniobras para liberar a personas que quedaron prensadas dentro de los automóviles. La zona fue acordonada durante varias horas para permitir las labores de auxilio y evitar nuevos percances, lo que generó tráfico lento en ambos sentidos de la autopista. Autoridades pidieron paciencia a los conductores y recomendaron tomar vías alternas mientras se realizaban las diligencias correspondientes. Hasta el momento, no se ha informado de manera oficial cómo ocurrió elaccidente; sin embargo, no se descarta que el exceso de velocidad o una distracción al volante hayan sido factores determinantes. Las investigaciones continúan para deslindar responsabilidades. Este accidente ocurre en plena temporada devacaciones invernales, una época en la que aumenta considerablemente el flujo vehicular encarreterasyautopistasdel país. Las autoridades reiteraron el llamado a manejar con precaución, respetar los límites de velocidad y mantenerse atentos a las condiciones del camino. Durante las vacaciones, pequeños descuidos pueden terminar en tragedia. Para reducir riesgos al viajar por carretera, especialistas recomiendan: Las carreteras no perdonan errores, y en temporada vacacional el riesgo se multiplica. La prevención sigue siendo la mejor herramienta para evitar tragedias como la ocurrida en la autopista Aguascalientes–León.</v>
      </c>
      <c r="O255" s="15">
        <f>IFERROR(__xludf.DUMMYFUNCTION("""COMPUTED_VALUE"""),1.0)</f>
        <v>1</v>
      </c>
      <c r="P255" s="2"/>
      <c r="Q255" s="17">
        <f>IFERROR(__xludf.DUMMYFUNCTION("""COMPUTED_VALUE"""),8.5)</f>
        <v>8.5</v>
      </c>
      <c r="R255" s="2" t="str">
        <f>IFERROR(__xludf.DUMMYFUNCTION("""COMPUTED_VALUE"""),"High")</f>
        <v>High</v>
      </c>
      <c r="S255" s="17">
        <f>IFERROR(__xludf.DUMMYFUNCTION("""COMPUTED_VALUE"""),2.5)</f>
        <v>2.5</v>
      </c>
      <c r="T255" s="17">
        <f>IFERROR(__xludf.DUMMYFUNCTION("""COMPUTED_VALUE"""),0.0)</f>
        <v>0</v>
      </c>
      <c r="U255" s="14">
        <f>IFERROR(__xludf.DUMMYFUNCTION("""COMPUTED_VALUE"""),3.0)</f>
        <v>3</v>
      </c>
      <c r="V255" s="14">
        <v>2025.0</v>
      </c>
      <c r="W255" s="2" t="s">
        <v>1168</v>
      </c>
      <c r="X255" s="2" t="s">
        <v>1218</v>
      </c>
      <c r="Y255" s="13" t="s">
        <v>980</v>
      </c>
      <c r="Z255" s="14">
        <v>0.0</v>
      </c>
      <c r="AA255" s="14">
        <v>0.0</v>
      </c>
      <c r="AB255" s="14">
        <v>0.0</v>
      </c>
      <c r="AC255" s="14">
        <v>0.0</v>
      </c>
      <c r="AD255" s="2">
        <v>0.0</v>
      </c>
      <c r="AE255" s="2">
        <v>1.0</v>
      </c>
      <c r="AF255" s="2">
        <v>12.0</v>
      </c>
      <c r="AG255" s="2" t="s">
        <v>1226</v>
      </c>
      <c r="AH255" s="2">
        <v>0.0</v>
      </c>
    </row>
    <row r="256" ht="15.75" customHeight="1">
      <c r="A256" s="2" t="str">
        <f>IFERROR(__xludf.DUMMYFUNCTION("""COMPUTED_VALUE"""),"TV Azteca")</f>
        <v>TV Azteca</v>
      </c>
      <c r="B256" s="12" t="str">
        <f>IFERROR(__xludf.DUMMYFUNCTION("""COMPUTED_VALUE"""),"Luisa Camila Serrano es hallada sin vida tras descarrilamiento del Tren Interoceánico")</f>
        <v>Luisa Camila Serrano es hallada sin vida tras descarrilamiento del Tren Interoceánico</v>
      </c>
      <c r="C256" s="13" t="str">
        <f>IFERROR(__xludf.DUMMYFUNCTION("""COMPUTED_VALUE"""),"2025-12-29 20:55:40")</f>
        <v>2025-12-29 20:55:40</v>
      </c>
      <c r="D256" s="14">
        <f>IFERROR(__xludf.DUMMYFUNCTION("""COMPUTED_VALUE"""),4.0)</f>
        <v>4</v>
      </c>
      <c r="E256" s="15">
        <f>IFERROR(__xludf.DUMMYFUNCTION("""COMPUTED_VALUE"""),-0.8904)</f>
        <v>-0.8904</v>
      </c>
      <c r="F256" s="2" t="str">
        <f>IFERROR(__xludf.DUMMYFUNCTION("""COMPUTED_VALUE"""),"Negativo")</f>
        <v>Negativo</v>
      </c>
      <c r="G256" s="15">
        <f>IFERROR(__xludf.DUMMYFUNCTION("""COMPUTED_VALUE"""),0.8904)</f>
        <v>0.8904</v>
      </c>
      <c r="H256" s="2" t="str">
        <f>IFERROR(__xludf.DUMMYFUNCTION("""COMPUTED_VALUE"""),"Operativo policial o detención")</f>
        <v>Operativo policial o detención</v>
      </c>
      <c r="I256" s="2" t="str">
        <f>IFERROR(__xludf.DUMMYFUNCTION("""COMPUTED_VALUE"""),"N/A")</f>
        <v>N/A</v>
      </c>
      <c r="J256" s="2" t="str">
        <f>IFERROR(__xludf.DUMMYFUNCTION("""COMPUTED_VALUE"""),"Monitoreo general.")</f>
        <v>Monitoreo general.</v>
      </c>
      <c r="K256" s="2" t="str">
        <f>IFERROR(__xludf.DUMMYFUNCTION("""COMPUTED_VALUE"""),"Sinaloa")</f>
        <v>Sinaloa</v>
      </c>
      <c r="L256" s="2" t="str">
        <f>IFERROR(__xludf.DUMMYFUNCTION("""COMPUTED_VALUE"""),"Sinaloa")</f>
        <v>Sinaloa</v>
      </c>
      <c r="M256" s="16" t="str">
        <f>IFERROR(__xludf.DUMMYFUNCTION("""COMPUTED_VALUE"""),"https://www.tvazteca.com/aztecanoticias/luisa-camila-serrano-es-hallada-sin-vida-descarrilamiento-del-tren-interoceanico-en-oaxaca/")</f>
        <v>https://www.tvazteca.com/aztecanoticias/luisa-camila-serrano-es-hallada-sin-vida-descarrilamiento-del-tren-interoceanico-en-oaxaca/</v>
      </c>
      <c r="N256" s="2" t="str">
        <f>IFERROR(__xludf.DUMMYFUNCTION("""COMPUTED_VALUE"""),"Después de que elTren Interoceánicose descarrilara enOaxaca, comenzó a circular la fotografía deLuisa Camila Serrano, quien viajaba en la locomotora y no había sido localizada; desafortunadamente, la familia encontró sin vida a la menor de 15 años. La qui"&amp;"nceañeraviajaba con su hermana y mamá en el tren, quienes resultaron lesionadas y las trasladaron al hospital “Macedonio Benítez Fuentes”, deJuchitán, pero de Luisa no se sabía nada. “Pues, pasó lo que pasó y, en el momento, la mamá gritaba que ayudaran a"&amp;" su hija, porque estaba supuestamente, ahora sí, que entre los fierros ahí y que ayudaran a su hija”, contó Jacinto Serrano, tío de la Luisa Camila. Después de varias horas de búsqueda,Luisa Camila Serrano fue localizada sin vida, sumándose a la fatal cif"&amp;"ra de víctimas, de personas que no pudieron llegar a su destino por estedescarrilamiento. El Colegio Nacional de Educación Profesional Técnica (Conalep) Plantel 155, ubicado enSalina Cruz, Oaxaca, lamentó la muerte de su estudiante, quien cursaba la carre"&amp;"ra de Salud Comunitaria. LaSecretaría de Marinaexplicó que en el tren viajaban 250 personas, cuandose descarriló el domingo 28 de diciembre. Hasta ahora hay 13 fallecidos y más de 100 personas fueron trasladadas con diferentes heridas a hospitales. Hasta "&amp;"el punto del accidente se trasladaron agentes del Ministerio Público Federal, así como policías federales ministeriales y peritos de la Agencia de Investigación Criminal, para hacer las indagatorias correspondientes. El lunes 29 de diciembre se recuperó e"&amp;"l registrador electrónico Pulse, es decir, lacaja negra ferroviariaque registra de forma continua datos como velocidad, posición del acelerador, presiones del freno, dirección de avance y otras señales críticas de la locomotora. LaFiscalía General de la R"&amp;"epública (FGR)analizará esos datos para determinar las causas deldescarrilamiento, ya que la caja negra contiene información básica sobre el comportamiento de la maquinaria en tiempo real. El accidente delTren Interoceánicodestapó señalamientos de “amigui"&amp;"smos”, en los que estaría involucradoBobby López Beltrán, hijo del expresidente Andrés Manuel López Obrador. Fue el propio exmandatario quien confirmó que el tren sería operado por el Estado y su hijo, lo supervisaría “como honorífico” y presuntamente, si"&amp;"n cobrar. La oposición pidió que se investigue con claridad eldescarrilamiento del Tren Interoceánico, así lo apuntó Irais Reyes, diputada de Movimiento Ciudadano. “No queremos que la Marina, revise a la Marina, sino que sea justamente una auditoría exter"&amp;"na la que encuentre a las personas responsables de lo que sucedió y garantice la seguridad del uso de ese tren en un futuro”, sentenció la legisladora.")</f>
        <v>Después de que elTren Interoceánicose descarrilara enOaxaca, comenzó a circular la fotografía deLuisa Camila Serrano, quien viajaba en la locomotora y no había sido localizada; desafortunadamente, la familia encontró sin vida a la menor de 15 años. La quinceañeraviajaba con su hermana y mamá en el tren, quienes resultaron lesionadas y las trasladaron al hospital “Macedonio Benítez Fuentes”, deJuchitán, pero de Luisa no se sabía nada. “Pues, pasó lo que pasó y, en el momento, la mamá gritaba que ayudaran a su hija, porque estaba supuestamente, ahora sí, que entre los fierros ahí y que ayudaran a su hija”, contó Jacinto Serrano, tío de la Luisa Camila. Después de varias horas de búsqueda,Luisa Camila Serrano fue localizada sin vida, sumándose a la fatal cifra de víctimas, de personas que no pudieron llegar a su destino por estedescarrilamiento. El Colegio Nacional de Educación Profesional Técnica (Conalep) Plantel 155, ubicado enSalina Cruz, Oaxaca, lamentó la muerte de su estudiante, quien cursaba la carrera de Salud Comunitaria. LaSecretaría de Marinaexplicó que en el tren viajaban 250 personas, cuandose descarriló el domingo 28 de diciembre. Hasta ahora hay 13 fallecidos y más de 100 personas fueron trasladadas con diferentes heridas a hospitales. Hasta el punto del accidente se trasladaron agentes del Ministerio Público Federal, así como policías federales ministeriales y peritos de la Agencia de Investigación Criminal, para hacer las indagatorias correspondientes. El lunes 29 de diciembre se recuperó el registrador electrónico Pulse, es decir, lacaja negra ferroviariaque registra de forma continua datos como velocidad, posición del acelerador, presiones del freno, dirección de avance y otras señales críticas de la locomotora. LaFiscalía General de la República (FGR)analizará esos datos para determinar las causas deldescarrilamiento, ya que la caja negra contiene información básica sobre el comportamiento de la maquinaria en tiempo real. El accidente delTren Interoceánicodestapó señalamientos de “amiguismos”, en los que estaría involucradoBobby López Beltrán, hijo del expresidente Andrés Manuel López Obrador. Fue el propio exmandatario quien confirmó que el tren sería operado por el Estado y su hijo, lo supervisaría “como honorífico” y presuntamente, sin cobrar. La oposición pidió que se investigue con claridad eldescarrilamiento del Tren Interoceánico, así lo apuntó Irais Reyes, diputada de Movimiento Ciudadano. “No queremos que la Marina, revise a la Marina, sino que sea justamente una auditoría externa la que encuentre a las personas responsables de lo que sucedió y garantice la seguridad del uso de ese tren en un futuro”, sentenció la legisladora.</v>
      </c>
      <c r="O256" s="15">
        <f>IFERROR(__xludf.DUMMYFUNCTION("""COMPUTED_VALUE"""),0.3015)</f>
        <v>0.3015</v>
      </c>
      <c r="P256" s="2"/>
      <c r="Q256" s="17">
        <f>IFERROR(__xludf.DUMMYFUNCTION("""COMPUTED_VALUE"""),8.0)</f>
        <v>8</v>
      </c>
      <c r="R256" s="2" t="str">
        <f>IFERROR(__xludf.DUMMYFUNCTION("""COMPUTED_VALUE"""),"High")</f>
        <v>High</v>
      </c>
      <c r="S256" s="17">
        <f>IFERROR(__xludf.DUMMYFUNCTION("""COMPUTED_VALUE"""),5.5)</f>
        <v>5.5</v>
      </c>
      <c r="T256" s="17">
        <f>IFERROR(__xludf.DUMMYFUNCTION("""COMPUTED_VALUE"""),0.0)</f>
        <v>0</v>
      </c>
      <c r="U256" s="14">
        <f>IFERROR(__xludf.DUMMYFUNCTION("""COMPUTED_VALUE"""),3.0)</f>
        <v>3</v>
      </c>
      <c r="V256" s="14">
        <v>2025.0</v>
      </c>
      <c r="W256" s="2" t="s">
        <v>1168</v>
      </c>
      <c r="X256" s="2" t="s">
        <v>1169</v>
      </c>
      <c r="Y256" s="13" t="s">
        <v>984</v>
      </c>
      <c r="Z256" s="14">
        <v>0.0</v>
      </c>
      <c r="AA256" s="14">
        <v>0.0</v>
      </c>
      <c r="AB256" s="14">
        <v>0.0</v>
      </c>
      <c r="AC256" s="14">
        <v>0.0</v>
      </c>
      <c r="AD256" s="2">
        <v>0.0</v>
      </c>
      <c r="AE256" s="2">
        <v>1.0</v>
      </c>
      <c r="AF256" s="2">
        <v>12.0</v>
      </c>
      <c r="AG256" s="2" t="s">
        <v>1172</v>
      </c>
      <c r="AH256" s="2">
        <v>0.0</v>
      </c>
    </row>
    <row r="257" ht="15.75" customHeight="1">
      <c r="A257" s="2" t="str">
        <f>IFERROR(__xludf.DUMMYFUNCTION("""COMPUTED_VALUE"""),"TV Azteca")</f>
        <v>TV Azteca</v>
      </c>
      <c r="B257" s="12" t="str">
        <f>IFERROR(__xludf.DUMMYFUNCTION("""COMPUTED_VALUE"""),"Recuperan dispositivo ""Pulse"" del Tren Interoceánico; la ""caja negra"" que revelará por qué descarriló")</f>
        <v>Recuperan dispositivo "Pulse" del Tren Interoceánico; la "caja negra" que revelará por qué descarriló</v>
      </c>
      <c r="C257" s="13" t="str">
        <f>IFERROR(__xludf.DUMMYFUNCTION("""COMPUTED_VALUE"""),"2025-12-29 19:51:53")</f>
        <v>2025-12-29 19:51:53</v>
      </c>
      <c r="D257" s="14">
        <f>IFERROR(__xludf.DUMMYFUNCTION("""COMPUTED_VALUE"""),1.0)</f>
        <v>1</v>
      </c>
      <c r="E257" s="15">
        <f>IFERROR(__xludf.DUMMYFUNCTION("""COMPUTED_VALUE"""),-0.5822)</f>
        <v>-0.5822</v>
      </c>
      <c r="F257" s="2" t="str">
        <f>IFERROR(__xludf.DUMMYFUNCTION("""COMPUTED_VALUE"""),"Negativo")</f>
        <v>Negativo</v>
      </c>
      <c r="G257" s="15">
        <f>IFERROR(__xludf.DUMMYFUNCTION("""COMPUTED_VALUE"""),0.5822)</f>
        <v>0.5822</v>
      </c>
      <c r="H257" s="2" t="str">
        <f>IFERROR(__xludf.DUMMYFUNCTION("""COMPUTED_VALUE"""),"Noticia corporativa o regulación de transporte")</f>
        <v>Noticia corporativa o regulación de transporte</v>
      </c>
      <c r="I257" s="2" t="str">
        <f>IFERROR(__xludf.DUMMYFUNCTION("""COMPUTED_VALUE"""),"N/A")</f>
        <v>N/A</v>
      </c>
      <c r="J257" s="2" t="str">
        <f>IFERROR(__xludf.DUMMYFUNCTION("""COMPUTED_VALUE"""),"Monitoreo general.")</f>
        <v>Monitoreo general.</v>
      </c>
      <c r="K257" s="2" t="str">
        <f>IFERROR(__xludf.DUMMYFUNCTION("""COMPUTED_VALUE"""),"Oaxaca")</f>
        <v>Oaxaca</v>
      </c>
      <c r="L257" s="2" t="str">
        <f>IFERROR(__xludf.DUMMYFUNCTION("""COMPUTED_VALUE"""),"Oaxaca")</f>
        <v>Oaxaca</v>
      </c>
      <c r="M257" s="16" t="str">
        <f>IFERROR(__xludf.DUMMYFUNCTION("""COMPUTED_VALUE"""),"https://www.tvazteca.com/aztecanoticias/recuperan-caja-negra-del-tren-interoceanico-fgr-analiza-descarrilamiento/")</f>
        <v>https://www.tvazteca.com/aztecanoticias/recuperan-caja-negra-del-tren-interoceanico-fgr-analiza-descarrilamiento/</v>
      </c>
      <c r="N257" s="2" t="str">
        <f>IFERROR(__xludf.DUMMYFUNCTION("""COMPUTED_VALUE"""),"Las investigaciones para esclarecer latragedia ferroviaria en elIstmo de Tehuantepechan dado un paso crucial. Autoridades federales confirmaron larecuperación del registrador electrónico ""Pulse"", el dispositivo tecnológico que funge como la""caja negra"&amp;"""delTren Interoceánicoque descarriló el pasado domingo 28 de diciembre en Nizanda, Oaxaca. La Secretaría de Marina (Semar) informó que este equipo será la pieza fundamental de evidencia que analizará laFiscalía General de la República (FGR)para determina"&amp;"r, con precisión científica, las causas del siniestro. El dispositivo ""Pulse"" almacena datos críticos en tiempo real sobre el comportamiento de la maquinaria previos al accidente, tales como: Para integrar la carpeta de investigación, la FGR ha desplega"&amp;"do un equipo multidisciplinario en la ""Zona Cero"". Agentes del Ministerio Público Federal, adscritos a la Fiscalía Especializada de Control Regional, coordinan los trabajos junto a la Agencia de Investigación Criminal. El equipo de expertos incluye espe"&amp;"cialistas eningeniería civil, arquitectura, seguridad industrial forense, tránsito terrestrey criminalística de campo. Hasta el momento, se han realizado inspecciones exhaustivas de la vía y el tren, además de entrevistas a testigos y sobrevivientes para "&amp;"reconstruir la cronología de los hechos. En un contexto doloroso, la mañana de este lunesfue rescatado el último cuerpoatrapado entre los fierros retorcidos, elevando y confirmando la cifra oficial de13 personas fallecidas. Los restos de las víctimas está"&amp;"n siendo entregados a sus familiares en una funeraria del municipio deEl Espinal. El accidente, ocurrido en laLínea Zcon 241 pasajeros a bordo, dejó también un saldo de98 heridos. De ellos,44 permanecen hospitalizados; la mayoría de los ingresados en el I"&amp;"MSS Bienestar de Juchitán ya fueron dados de alta, mientras que los pacientes más graves fueron trasladados a la ciudad de Oaxaca para recibir atención especializada. De igual forma, se confirmó que una de las víctimas era una joven menor de edad que habí"&amp;"a sido reportada como desaparecida. Su nombre esLuisa Camila Serranode 15 años, quien viajaba con su hermana y mamá en el tren Interoceánico.")</f>
        <v>Las investigaciones para esclarecer latragedia ferroviaria en elIstmo de Tehuantepechan dado un paso crucial. Autoridades federales confirmaron larecuperación del registrador electrónico "Pulse", el dispositivo tecnológico que funge como la"caja negra"delTren Interoceánicoque descarriló el pasado domingo 28 de diciembre en Nizanda, Oaxaca. La Secretaría de Marina (Semar) informó que este equipo será la pieza fundamental de evidencia que analizará laFiscalía General de la República (FGR)para determinar, con precisión científica, las causas del siniestro. El dispositivo "Pulse" almacena datos críticos en tiempo real sobre el comportamiento de la maquinaria previos al accidente, tales como: Para integrar la carpeta de investigación, la FGR ha desplegado un equipo multidisciplinario en la "Zona Cero". Agentes del Ministerio Público Federal, adscritos a la Fiscalía Especializada de Control Regional, coordinan los trabajos junto a la Agencia de Investigación Criminal. El equipo de expertos incluye especialistas eningeniería civil, arquitectura, seguridad industrial forense, tránsito terrestrey criminalística de campo. Hasta el momento, se han realizado inspecciones exhaustivas de la vía y el tren, además de entrevistas a testigos y sobrevivientes para reconstruir la cronología de los hechos. En un contexto doloroso, la mañana de este lunesfue rescatado el último cuerpoatrapado entre los fierros retorcidos, elevando y confirmando la cifra oficial de13 personas fallecidas. Los restos de las víctimas están siendo entregados a sus familiares en una funeraria del municipio deEl Espinal. El accidente, ocurrido en laLínea Zcon 241 pasajeros a bordo, dejó también un saldo de98 heridos. De ellos,44 permanecen hospitalizados; la mayoría de los ingresados en el IMSS Bienestar de Juchitán ya fueron dados de alta, mientras que los pacientes más graves fueron trasladados a la ciudad de Oaxaca para recibir atención especializada. De igual forma, se confirmó que una de las víctimas era una joven menor de edad que había sido reportada como desaparecida. Su nombre esLuisa Camila Serranode 15 años, quien viajaba con su hermana y mamá en el tren Interoceánico.</v>
      </c>
      <c r="O257" s="15">
        <f>IFERROR(__xludf.DUMMYFUNCTION("""COMPUTED_VALUE"""),0.2445)</f>
        <v>0.2445</v>
      </c>
      <c r="P257" s="2"/>
      <c r="Q257" s="17">
        <f>IFERROR(__xludf.DUMMYFUNCTION("""COMPUTED_VALUE"""),3.0)</f>
        <v>3</v>
      </c>
      <c r="R257" s="2" t="str">
        <f>IFERROR(__xludf.DUMMYFUNCTION("""COMPUTED_VALUE"""),"Medium")</f>
        <v>Medium</v>
      </c>
      <c r="S257" s="17">
        <f>IFERROR(__xludf.DUMMYFUNCTION("""COMPUTED_VALUE"""),2.0)</f>
        <v>2</v>
      </c>
      <c r="T257" s="17">
        <f>IFERROR(__xludf.DUMMYFUNCTION("""COMPUTED_VALUE"""),0.0)</f>
        <v>0</v>
      </c>
      <c r="U257" s="14">
        <f>IFERROR(__xludf.DUMMYFUNCTION("""COMPUTED_VALUE"""),3.0)</f>
        <v>3</v>
      </c>
      <c r="V257" s="14">
        <v>2025.0</v>
      </c>
      <c r="W257" s="2" t="s">
        <v>1168</v>
      </c>
      <c r="X257" s="2" t="s">
        <v>1169</v>
      </c>
      <c r="Y257" s="13" t="s">
        <v>988</v>
      </c>
      <c r="Z257" s="14">
        <v>0.0</v>
      </c>
      <c r="AA257" s="14">
        <v>0.0</v>
      </c>
      <c r="AB257" s="14">
        <v>0.0</v>
      </c>
      <c r="AC257" s="14">
        <v>0.0</v>
      </c>
      <c r="AD257" s="2">
        <v>0.0</v>
      </c>
      <c r="AE257" s="2">
        <v>0.0</v>
      </c>
      <c r="AF257" s="2">
        <v>12.0</v>
      </c>
      <c r="AG257" s="2" t="s">
        <v>1176</v>
      </c>
      <c r="AH257" s="2">
        <v>0.0</v>
      </c>
    </row>
    <row r="258" ht="15.75" customHeight="1">
      <c r="A258" s="2" t="str">
        <f>IFERROR(__xludf.DUMMYFUNCTION("""COMPUTED_VALUE"""),"TV Azteca")</f>
        <v>TV Azteca</v>
      </c>
      <c r="B258" s="12" t="str">
        <f>IFERROR(__xludf.DUMMYFUNCTION("""COMPUTED_VALUE"""),"Vagón de carga suelto cruza cuatro kilómetros en Nogales, Sonora, y se impacta con muro de contención")</f>
        <v>Vagón de carga suelto cruza cuatro kilómetros en Nogales, Sonora, y se impacta con muro de contención</v>
      </c>
      <c r="C258" s="13" t="str">
        <f>IFERROR(__xludf.DUMMYFUNCTION("""COMPUTED_VALUE"""),"2025-12-29 19:22:53")</f>
        <v>2025-12-29 19:22:53</v>
      </c>
      <c r="D258" s="14">
        <f>IFERROR(__xludf.DUMMYFUNCTION("""COMPUTED_VALUE"""),2.0)</f>
        <v>2</v>
      </c>
      <c r="E258" s="15">
        <f>IFERROR(__xludf.DUMMYFUNCTION("""COMPUTED_VALUE"""),-0.9192)</f>
        <v>-0.9192</v>
      </c>
      <c r="F258" s="2" t="str">
        <f>IFERROR(__xludf.DUMMYFUNCTION("""COMPUTED_VALUE"""),"Negativo")</f>
        <v>Negativo</v>
      </c>
      <c r="G258" s="15">
        <f>IFERROR(__xludf.DUMMYFUNCTION("""COMPUTED_VALUE"""),0.9192)</f>
        <v>0.9192</v>
      </c>
      <c r="H258" s="2" t="str">
        <f>IFERROR(__xludf.DUMMYFUNCTION("""COMPUTED_VALUE"""),"Accidente de tránsito o choque vial")</f>
        <v>Accidente de tránsito o choque vial</v>
      </c>
      <c r="I258" s="2" t="str">
        <f>IFERROR(__xludf.DUMMYFUNCTION("""COMPUTED_VALUE"""),"N/A")</f>
        <v>N/A</v>
      </c>
      <c r="J258" s="2" t="str">
        <f>IFERROR(__xludf.DUMMYFUNCTION("""COMPUTED_VALUE"""),"Soporte DRV: Seguros/Guía post-siniestro.")</f>
        <v>Soporte DRV: Seguros/Guía post-siniestro.</v>
      </c>
      <c r="K258" s="2" t="str">
        <f>IFERROR(__xludf.DUMMYFUNCTION("""COMPUTED_VALUE"""),"Sonora")</f>
        <v>Sonora</v>
      </c>
      <c r="L258" s="2" t="str">
        <f>IFERROR(__xludf.DUMMYFUNCTION("""COMPUTED_VALUE"""),"Sonora")</f>
        <v>Sonora</v>
      </c>
      <c r="M258" s="16" t="str">
        <f>IFERROR(__xludf.DUMMYFUNCTION("""COMPUTED_VALUE"""),"https://www.tvazteca.com/aztecanoticias/vagon-fantasma-en-nogales-sonora-recorre-la-ciudad-sin-control-y-choca-muro-contencion/")</f>
        <v>https://www.tvazteca.com/aztecanoticias/vagon-fantasma-en-nogales-sonora-recorre-la-ciudad-sin-control-y-choca-muro-contencion/</v>
      </c>
      <c r="N258" s="2" t="str">
        <f>IFERROR(__xludf.DUMMYFUNCTION("""COMPUTED_VALUE"""),"Momentos de tensión e incertidumbre vivieron automovilistas y habitantes deNogales, Sonora, al ser testigos de una escena inusual y peligrosa: un pesadovagón de cargase desplazó atoda velocidadpor distintos puntos de la ciudad, completamente solo y sin es"&amp;"tar acoplado a ninguna locomotora. El incidente, que parecía sacado de una película, generó alarma inmediata. En videos captados por conductores atónitos, se observa a la unidad ferroviaria avanzando por inercia sobre las vías, cruzando intersecciones via"&amp;"les sin que nada pudiera detenerla. El trayectodel vagónfuera de control terminó en una zona crítica. La unidad recorrió la ciudad hasta llegar a las inmediaciones de laLínea Internacional, justo a la altura de laGarita Nogales–Nogales. Fue en este punto "&amp;"donde la carrera del vagón finalizó abruptamente: se desvió del riel yse impactó violentamente contra un muro de contención, evitando así que cruzara hacia el lado estadounidense o causara un accidente mayor en los carriles de cruce. A pesar de lo aparato"&amp;"so del incidente y del riesgo que representó su paso por cruces vehiculares, las autoridades confirmaron queno se reportaron personas lesionadas. ""El vagón presentó un desperfecto durante la noche y salió de los patios de Ferrocarril Mexicano, ubicados e"&amp;"n Lomas de Nogales. Recorrió aproximadamente 4 kilómetros rumbo al norte y no impactó la línea internacional, ya que previo a llegar a la zona divisoria existe un desviador que, en estos casos, provoca el descarrilamiento controlado"", se señaló en un com"&amp;"unicado de Protección Civil de Sonora. Asimismo, se destacó que la carga transportaba chícharos deshidratados, por lo que no representó un riesgo para la población, únicamente daños internos de la empresa. Equipos de emergencia y personal ferroviario acud"&amp;"ieron al lugar del impacto para evaluar los daños a la infraestructura y asegurar la zona, mientras se inician las investigaciones para determinar cómo fue que el vagón se desacopló y comenzó su peligroso viaje en solitario.")</f>
        <v>Momentos de tensión e incertidumbre vivieron automovilistas y habitantes deNogales, Sonora, al ser testigos de una escena inusual y peligrosa: un pesadovagón de cargase desplazó atoda velocidadpor distintos puntos de la ciudad, completamente solo y sin estar acoplado a ninguna locomotora. El incidente, que parecía sacado de una película, generó alarma inmediata. En videos captados por conductores atónitos, se observa a la unidad ferroviaria avanzando por inercia sobre las vías, cruzando intersecciones viales sin que nada pudiera detenerla. El trayectodel vagónfuera de control terminó en una zona crítica. La unidad recorrió la ciudad hasta llegar a las inmediaciones de laLínea Internacional, justo a la altura de laGarita Nogales–Nogales. Fue en este punto donde la carrera del vagón finalizó abruptamente: se desvió del riel yse impactó violentamente contra un muro de contención, evitando así que cruzara hacia el lado estadounidense o causara un accidente mayor en los carriles de cruce. A pesar de lo aparatoso del incidente y del riesgo que representó su paso por cruces vehiculares, las autoridades confirmaron queno se reportaron personas lesionadas. "El vagón presentó un desperfecto durante la noche y salió de los patios de Ferrocarril Mexicano, ubicados en Lomas de Nogales. Recorrió aproximadamente 4 kilómetros rumbo al norte y no impactó la línea internacional, ya que previo a llegar a la zona divisoria existe un desviador que, en estos casos, provoca el descarrilamiento controlado", se señaló en un comunicado de Protección Civil de Sonora. Asimismo, se destacó que la carga transportaba chícharos deshidratados, por lo que no representó un riesgo para la población, únicamente daños internos de la empresa. Equipos de emergencia y personal ferroviario acudieron al lugar del impacto para evaluar los daños a la infraestructura y asegurar la zona, mientras se inician las investigaciones para determinar cómo fue que el vagón se desacopló y comenzó su peligroso viaje en solitario.</v>
      </c>
      <c r="O258" s="15">
        <f>IFERROR(__xludf.DUMMYFUNCTION("""COMPUTED_VALUE"""),0.3456)</f>
        <v>0.3456</v>
      </c>
      <c r="P258" s="2"/>
      <c r="Q258" s="17">
        <f>IFERROR(__xludf.DUMMYFUNCTION("""COMPUTED_VALUE"""),8.5)</f>
        <v>8.5</v>
      </c>
      <c r="R258" s="2" t="str">
        <f>IFERROR(__xludf.DUMMYFUNCTION("""COMPUTED_VALUE"""),"Medium")</f>
        <v>Medium</v>
      </c>
      <c r="S258" s="17">
        <f>IFERROR(__xludf.DUMMYFUNCTION("""COMPUTED_VALUE"""),1.5)</f>
        <v>1.5</v>
      </c>
      <c r="T258" s="17">
        <f>IFERROR(__xludf.DUMMYFUNCTION("""COMPUTED_VALUE"""),0.0)</f>
        <v>0</v>
      </c>
      <c r="U258" s="14">
        <f>IFERROR(__xludf.DUMMYFUNCTION("""COMPUTED_VALUE"""),3.0)</f>
        <v>3</v>
      </c>
      <c r="V258" s="14">
        <v>2025.0</v>
      </c>
      <c r="W258" s="2" t="s">
        <v>1168</v>
      </c>
      <c r="X258" s="2" t="s">
        <v>1169</v>
      </c>
      <c r="Y258" s="13" t="s">
        <v>992</v>
      </c>
      <c r="Z258" s="14">
        <v>0.0</v>
      </c>
      <c r="AA258" s="14">
        <v>0.0</v>
      </c>
      <c r="AB258" s="14">
        <v>0.0</v>
      </c>
      <c r="AC258" s="14">
        <v>0.0</v>
      </c>
      <c r="AD258" s="2">
        <v>0.0</v>
      </c>
      <c r="AE258" s="2">
        <v>0.0</v>
      </c>
      <c r="AF258" s="2">
        <v>12.0</v>
      </c>
      <c r="AG258" s="2" t="s">
        <v>1182</v>
      </c>
      <c r="AH258" s="2">
        <v>0.0</v>
      </c>
    </row>
    <row r="259" ht="15.75" customHeight="1">
      <c r="A259" s="2" t="str">
        <f>IFERROR(__xludf.DUMMYFUNCTION("""COMPUTED_VALUE"""),"TV Azteca")</f>
        <v>TV Azteca</v>
      </c>
      <c r="B259" s="12" t="str">
        <f>IFERROR(__xludf.DUMMYFUNCTION("""COMPUTED_VALUE"""),"¿Qué dijo la presidenta Sheinbaum sobre el descarrilamiento del Tren Interoceánico en Oaxaca? Mañanera EN VIVO")</f>
        <v>¿Qué dijo la presidenta Sheinbaum sobre el descarrilamiento del Tren Interoceánico en Oaxaca? Mañanera EN VIVO</v>
      </c>
      <c r="C259" s="13" t="str">
        <f>IFERROR(__xludf.DUMMYFUNCTION("""COMPUTED_VALUE"""),"2025-12-29 12:41:58")</f>
        <v>2025-12-29 12:41:58</v>
      </c>
      <c r="D259" s="14">
        <f>IFERROR(__xludf.DUMMYFUNCTION("""COMPUTED_VALUE"""),4.0)</f>
        <v>4</v>
      </c>
      <c r="E259" s="15">
        <f>IFERROR(__xludf.DUMMYFUNCTION("""COMPUTED_VALUE"""),-0.5172)</f>
        <v>-0.5172</v>
      </c>
      <c r="F259" s="2" t="str">
        <f>IFERROR(__xludf.DUMMYFUNCTION("""COMPUTED_VALUE"""),"Negativo")</f>
        <v>Negativo</v>
      </c>
      <c r="G259" s="15">
        <f>IFERROR(__xludf.DUMMYFUNCTION("""COMPUTED_VALUE"""),0.5172)</f>
        <v>0.5172</v>
      </c>
      <c r="H259" s="2" t="str">
        <f>IFERROR(__xludf.DUMMYFUNCTION("""COMPUTED_VALUE"""),"Accidente de tránsito o choque vial")</f>
        <v>Accidente de tránsito o choque vial</v>
      </c>
      <c r="I259" s="2" t="str">
        <f>IFERROR(__xludf.DUMMYFUNCTION("""COMPUTED_VALUE"""),"N/A")</f>
        <v>N/A</v>
      </c>
      <c r="J259" s="2" t="str">
        <f>IFERROR(__xludf.DUMMYFUNCTION("""COMPUTED_VALUE"""),"Seguridad Vial: Monitoreo de zona.")</f>
        <v>Seguridad Vial: Monitoreo de zona.</v>
      </c>
      <c r="K259" s="2" t="str">
        <f>IFERROR(__xludf.DUMMYFUNCTION("""COMPUTED_VALUE"""),"Oaxaca")</f>
        <v>Oaxaca</v>
      </c>
      <c r="L259" s="2" t="str">
        <f>IFERROR(__xludf.DUMMYFUNCTION("""COMPUTED_VALUE"""),"Oaxaca")</f>
        <v>Oaxaca</v>
      </c>
      <c r="M259" s="16" t="str">
        <f>IFERROR(__xludf.DUMMYFUNCTION("""COMPUTED_VALUE"""),"https://www.tvazteca.com/aztecanoticias/mananera-sheinbaum-29-diciembre-que-dijo-el-descarrilamiento-del-tren-interoceanico/")</f>
        <v>https://www.tvazteca.com/aztecanoticias/mananera-sheinbaum-29-diciembre-que-dijo-el-descarrilamiento-del-tren-interoceanico/</v>
      </c>
      <c r="N259" s="2" t="str">
        <f>IFERROR(__xludf.DUMMYFUNCTION("""COMPUTED_VALUE"""),"Este es el resumen minuto a minuto de laconferencia matutinadela presidentaClaudia Sheinbaumde este lunes 29 de diciembre, la cual se llevó a cabo desde Palacio Nacional. Fuerza Informativa Azteca (FIA) te presenta los temas más relevantes. Se espera que "&amp;"la presidenta hable sobre el descarrilamiento delTren Interoceánicoen Oaxaca que, hasta el momento, dejó 13 muertos y 98 heridos. Sobre la imputación del delito de terrorismo al periodistaRafael Leónen Veracruz, la presidenta Claudia Sheinbaum señala que "&amp;"es la Fiscalía del estado es quien debe aclarar el caso. “Primero, por qué usa este delito que nunca se ha usado en México, hay que garantizar la libertad de expresión”, afirma. La presidenta señaló que viajará a Oaxaca para reunirse con los familiares de"&amp;" las personas fallecidas y afectadas tras el descarrilamiento del Tren Interoceánico el pasado domingo 28 de diciembre. El secretario de Marina, Raymundo Morales Ángeles, confirmó la muerte de 13 personas en el descarrilamiento sucedido, ayer enIxtepec, O"&amp;"axaca, dijo que ya se trasladó a las personas heridas a diversos hospitales del estado, di más detalles sobre lo sucedido. “De las 250 personas abordo, 9 resultaron atendidas en sitio, 109 atendidas en hospital, de los cuales 44 hospitalizados y lamentabl"&amp;"emente el fallecimiento de 13 personas"", dijo. De esas 13 personas, hemos localizado 12, una continúa en labores de rescates. ""Asimismo, el resto de los pasajeros fueron trasladados a hospitales del estado de Oaxaca, del IMSS-Bienestar, ambulancias de s"&amp;"ecretaría, marina, cruz roja, secretaría de la defensa nacional, protección civil y del grupo ferroviario del sureste"", señaló. La presidenta mencionó que envía su pésame a las personas que resultaron fallecidas en el descarrilamiento delTren Interoceáni"&amp;"coen Oaxaca. Laconferencia matutina, más conocida como “mañanera” de lapresidenta Claudia SheinbaumPardo, comienza en punto de las 7:30 horas y termina alrededor de las 9:30 horas, tiempo del Centro de México.")</f>
        <v>Este es el resumen minuto a minuto de laconferencia matutinadela presidentaClaudia Sheinbaumde este lunes 29 de diciembre, la cual se llevó a cabo desde Palacio Nacional. Fuerza Informativa Azteca (FIA) te presenta los temas más relevantes. Se espera que la presidenta hable sobre el descarrilamiento delTren Interoceánicoen Oaxaca que, hasta el momento, dejó 13 muertos y 98 heridos. Sobre la imputación del delito de terrorismo al periodistaRafael Leónen Veracruz, la presidenta Claudia Sheinbaum señala que es la Fiscalía del estado es quien debe aclarar el caso. “Primero, por qué usa este delito que nunca se ha usado en México, hay que garantizar la libertad de expresión”, afirma. La presidenta señaló que viajará a Oaxaca para reunirse con los familiares de las personas fallecidas y afectadas tras el descarrilamiento del Tren Interoceánico el pasado domingo 28 de diciembre. El secretario de Marina, Raymundo Morales Ángeles, confirmó la muerte de 13 personas en el descarrilamiento sucedido, ayer enIxtepec, Oaxaca, dijo que ya se trasladó a las personas heridas a diversos hospitales del estado, di más detalles sobre lo sucedido. “De las 250 personas abordo, 9 resultaron atendidas en sitio, 109 atendidas en hospital, de los cuales 44 hospitalizados y lamentablemente el fallecimiento de 13 personas", dijo. De esas 13 personas, hemos localizado 12, una continúa en labores de rescates. "Asimismo, el resto de los pasajeros fueron trasladados a hospitales del estado de Oaxaca, del IMSS-Bienestar, ambulancias de secretaría, marina, cruz roja, secretaría de la defensa nacional, protección civil y del grupo ferroviario del sureste", señaló. La presidenta mencionó que envía su pésame a las personas que resultaron fallecidas en el descarrilamiento delTren Interoceánicoen Oaxaca. Laconferencia matutina, más conocida como “mañanera” de lapresidenta Claudia SheinbaumPardo, comienza en punto de las 7:30 horas y termina alrededor de las 9:30 horas, tiempo del Centro de México.</v>
      </c>
      <c r="O259" s="15">
        <f>IFERROR(__xludf.DUMMYFUNCTION("""COMPUTED_VALUE"""),0.4639)</f>
        <v>0.4639</v>
      </c>
      <c r="P259" s="2"/>
      <c r="Q259" s="17">
        <f>IFERROR(__xludf.DUMMYFUNCTION("""COMPUTED_VALUE"""),6.0)</f>
        <v>6</v>
      </c>
      <c r="R259" s="2" t="str">
        <f>IFERROR(__xludf.DUMMYFUNCTION("""COMPUTED_VALUE"""),"Low")</f>
        <v>Low</v>
      </c>
      <c r="S259" s="17">
        <f>IFERROR(__xludf.DUMMYFUNCTION("""COMPUTED_VALUE"""),0.0)</f>
        <v>0</v>
      </c>
      <c r="T259" s="17">
        <f>IFERROR(__xludf.DUMMYFUNCTION("""COMPUTED_VALUE"""),0.0)</f>
        <v>0</v>
      </c>
      <c r="U259" s="14">
        <f>IFERROR(__xludf.DUMMYFUNCTION("""COMPUTED_VALUE"""),3.0)</f>
        <v>3</v>
      </c>
      <c r="V259" s="14">
        <v>2025.0</v>
      </c>
      <c r="W259" s="2" t="s">
        <v>1168</v>
      </c>
      <c r="X259" s="2" t="s">
        <v>1169</v>
      </c>
      <c r="Y259" s="13" t="s">
        <v>996</v>
      </c>
      <c r="Z259" s="14">
        <v>0.0</v>
      </c>
      <c r="AA259" s="14">
        <v>0.0</v>
      </c>
      <c r="AB259" s="14">
        <v>0.0</v>
      </c>
      <c r="AC259" s="14">
        <v>0.0</v>
      </c>
      <c r="AD259" s="2">
        <v>0.0</v>
      </c>
      <c r="AE259" s="2">
        <v>1.0</v>
      </c>
      <c r="AF259" s="2">
        <v>12.0</v>
      </c>
      <c r="AG259" s="2" t="s">
        <v>1176</v>
      </c>
      <c r="AH259" s="2">
        <v>0.0</v>
      </c>
    </row>
    <row r="260" ht="15.75" customHeight="1">
      <c r="A260" s="2" t="str">
        <f>IFERROR(__xludf.DUMMYFUNCTION("""COMPUTED_VALUE"""),"TV Azteca")</f>
        <v>TV Azteca</v>
      </c>
      <c r="B260" s="12" t="str">
        <f>IFERROR(__xludf.DUMMYFUNCTION("""COMPUTED_VALUE"""),"Tragedia en el Tren Interoceánico: Descarrilamiento deja 13 muertos y 98 heridos HOY; confirma Semar")</f>
        <v>Tragedia en el Tren Interoceánico: Descarrilamiento deja 13 muertos y 98 heridos HOY; confirma Semar</v>
      </c>
      <c r="C260" s="13" t="str">
        <f>IFERROR(__xludf.DUMMYFUNCTION("""COMPUTED_VALUE"""),"2025-12-28 17:33:55")</f>
        <v>2025-12-28 17:33:55</v>
      </c>
      <c r="D260" s="14">
        <f>IFERROR(__xludf.DUMMYFUNCTION("""COMPUTED_VALUE"""),4.0)</f>
        <v>4</v>
      </c>
      <c r="E260" s="15">
        <f>IFERROR(__xludf.DUMMYFUNCTION("""COMPUTED_VALUE"""),-0.8078)</f>
        <v>-0.8078</v>
      </c>
      <c r="F260" s="2" t="str">
        <f>IFERROR(__xludf.DUMMYFUNCTION("""COMPUTED_VALUE"""),"Negativo")</f>
        <v>Negativo</v>
      </c>
      <c r="G260" s="15">
        <f>IFERROR(__xludf.DUMMYFUNCTION("""COMPUTED_VALUE"""),0.8078)</f>
        <v>0.8078</v>
      </c>
      <c r="H260" s="2" t="str">
        <f>IFERROR(__xludf.DUMMYFUNCTION("""COMPUTED_VALUE"""),"Accidente de tránsito o choque vial")</f>
        <v>Accidente de tránsito o choque vial</v>
      </c>
      <c r="I260" s="2" t="str">
        <f>IFERROR(__xludf.DUMMYFUNCTION("""COMPUTED_VALUE"""),"choque")</f>
        <v>choque</v>
      </c>
      <c r="J260" s="2" t="str">
        <f>IFERROR(__xludf.DUMMYFUNCTION("""COMPUTED_VALUE"""),"Soporte DRV: Seguros/Guía post-siniestro.")</f>
        <v>Soporte DRV: Seguros/Guía post-siniestro.</v>
      </c>
      <c r="K260" s="2" t="str">
        <f>IFERROR(__xludf.DUMMYFUNCTION("""COMPUTED_VALUE"""),"Oaxaca")</f>
        <v>Oaxaca</v>
      </c>
      <c r="L260" s="2" t="str">
        <f>IFERROR(__xludf.DUMMYFUNCTION("""COMPUTED_VALUE"""),"Oaxaca")</f>
        <v>Oaxaca</v>
      </c>
      <c r="M260" s="16" t="str">
        <f>IFERROR(__xludf.DUMMYFUNCTION("""COMPUTED_VALUE"""),"https://www.tvazteca.com/aztecanoticias/accidente-en-el-tren-interoceanico-hoy-28-diciembre-que-paso-y-que-se-sabe/")</f>
        <v>https://www.tvazteca.com/aztecanoticias/accidente-en-el-tren-interoceanico-hoy-28-diciembre-que-paso-y-que-se-sabe/</v>
      </c>
      <c r="N260" s="2" t="str">
        <f>IFERROR(__xludf.DUMMYFUNCTION("""COMPUTED_VALUE"""),"Trece personas murieron y al menos 98 resultaron lesionadas tras el trágico descarrilamiento delTren Interoceánico del Istmo de TehuantepecregistradoHOY 28 de diciembrea la altura deNizanda, Oaxaca,informó la Secretaría de Marina (Semar). El accidente ocu"&amp;"rrió cuando la locomotora principal se salió de las vías, lo que provocó momentos de caos y una movilización inmediata de cuerpos de emergencia, ya que a bordo viajaban 241 personas pasajeras y nueve integrantes de la tripulación. De acuerdo coninformació"&amp;"n oficial, elaccidente ocurrió sobre laLínea ZdelTren Interoceánico, donde la formación estaba integrada por dos locomotoras y cuatro vagones de pasajeros. Tras el descarrilamiento, personal de auxilio brindó atención directa a las personas usuarias, mien"&amp;"tras se aseguraba la zona para evitar mayores riesgos derivados del accidente. Autoridades delCorredor Interoceánico del Istmo de Tehuantepecinformaron que, tras el accidente, se mantiene coordinación con instancias locales para la atención del suceso y e"&amp;"l levantamiento de información técnica y operativa; el Tren Interoceánico continuará informando conforme se confirmen más datos sobre las causas del accidente. TAMBIÉN TE PUEDE INTERESAR:FUERTE CHOQUE DE TREN INTEROCEÁNICO Y TRÁILER EN CHIAPAS LaSecretarí"&amp;"a de Marinaconfirmó este domingo elfallecimiento de 13 personasa consecuencia del trágico descarrilamiento delTren Interoceánicoocurrido enOaxaca, lo que representa un cambio significativo respecto a los reportes preliminares emitidos horas antes del acci"&amp;"dente. La información fue difundida mediante un comunicado oficial, conforme avanzó la atención integral a las personas afectadas. De acuerdo con el reporte más reciente, el accidente dejó un total de98 personas lesionadas. De ese grupo,36 continúan recib"&amp;"iendo atención médica hospitalaria, mientras que el resto presenta lesiones menores y se encuentra fuera de peligro. Además, se precisó que139 personas no resultaron con afectaciones de gravedadtras el siniestro. La dependencia federal informó que los tra"&amp;"bajos de auxilio y rescate se mantienen activos en la zona del descarrilamiento, en coordinación con autoridades estatales y municipales. Personal naval, cuerpos de emergencia y equipos médicos continúan brindando atención a las personas lesionadas y apoy"&amp;"o a sus familiares, mientras se refuerzan las labores de traslado y seguimiento médico. En su posicionamiento oficial, laSecretaría de Marinaexpresó sus condolencias a las familias de las personas que perdieron la vida y reiteró su compromiso de actuar co"&amp;"n responsabilidad, transparencia y apego a la ley durante la atención de esta emergencia. Asimismo, señaló que el acompañamiento institucional a las víctimas y sus familiares se mantendrá conforme evolucione la situación. Las autoridades indicaron que el "&amp;"monitoreo del accidente del Tren Interoceánico continúa y que, conforme se cuente con información confirmada, se darán a conocer nuevas actualizaciones sobre el estado de salud de las personas lesionadas y las investigaciones en curso para esclarecer las "&amp;"causas del descarrilamiento. Antes de esta actualización, las autoridades habían reportado unsaldo preliminar de 20 personas lesionadastras el descarrilamiento del Tren Interoceánico, sin víctimas mortales confirmadas. Dichas cifras correspondían a los pr"&amp;"imeros reportes emitidos durante las labores iniciales de rescate y atención médica, las cuales fueron ajustadas conforme avanzó la evaluación integral de las personas involucradas en el accidente. Elaccidenteocurrido enOaxacano es un hecho aislado. Enmen"&amp;"os de diez días,elTren Interoceánicose ha visto involucrado en al menos dos accidentes que han obligado a activar protocolos de emergencia y revisar las condiciones de operación en cruces ferroviarios del sureste del país. El antecedente inmediato ocurrió"&amp;" el 20 de diciembre de 2025, cuando un tren de pasajeros colisionó con un tráiler en el estado deChiapas. De acuerdo con los reportes oficiales, el accidente se registró alrededor de las 09:55 horas, en un cruce ferroviario ubicado en la comunidad de Card"&amp;"ona, municipio de Pichucalco. El tráiler se atravesó al paso del Tren Interoceánico que cubría la rutaCoatzacoalcos–Pakal Ná, provocando un fuerte impacto; a bordo viajaban 148 personas, quienes, junto con la tripulación, resultaron ilesas, aunque la loco"&amp;"motora principal presentó daños visibles. Tras el accidente, se activó un protocolo de atención para garantizar el traslado seguro de los pasajeros, mediante el envío de otra unidad ferroviaria y autobuses de apoyo. Autoridades reiteraron que no hubo pers"&amp;"onas lesionadas, pero el incidente volvió a colocar bajo la lupa los riesgos en cruces a nivel, especialmente tras un nuevo accidente del Tren Interoceánico registrado días después enOaxaca, ahora con más de 200 personas a bordo.")</f>
        <v>Trece personas murieron y al menos 98 resultaron lesionadas tras el trágico descarrilamiento delTren Interoceánico del Istmo de TehuantepecregistradoHOY 28 de diciembrea la altura deNizanda, Oaxaca,informó la Secretaría de Marina (Semar). El accidente ocurrió cuando la locomotora principal se salió de las vías, lo que provocó momentos de caos y una movilización inmediata de cuerpos de emergencia, ya que a bordo viajaban 241 personas pasajeras y nueve integrantes de la tripulación. De acuerdo coninformación oficial, elaccidente ocurrió sobre laLínea ZdelTren Interoceánico, donde la formación estaba integrada por dos locomotoras y cuatro vagones de pasajeros. Tras el descarrilamiento, personal de auxilio brindó atención directa a las personas usuarias, mientras se aseguraba la zona para evitar mayores riesgos derivados del accidente. Autoridades delCorredor Interoceánico del Istmo de Tehuantepecinformaron que, tras el accidente, se mantiene coordinación con instancias locales para la atención del suceso y el levantamiento de información técnica y operativa; el Tren Interoceánico continuará informando conforme se confirmen más datos sobre las causas del accidente. TAMBIÉN TE PUEDE INTERESAR:FUERTE CHOQUE DE TREN INTEROCEÁNICO Y TRÁILER EN CHIAPAS LaSecretaría de Marinaconfirmó este domingo elfallecimiento de 13 personasa consecuencia del trágico descarrilamiento delTren Interoceánicoocurrido enOaxaca, lo que representa un cambio significativo respecto a los reportes preliminares emitidos horas antes del accidente. La información fue difundida mediante un comunicado oficial, conforme avanzó la atención integral a las personas afectadas. De acuerdo con el reporte más reciente, el accidente dejó un total de98 personas lesionadas. De ese grupo,36 continúan recibiendo atención médica hospitalaria, mientras que el resto presenta lesiones menores y se encuentra fuera de peligro. Además, se precisó que139 personas no resultaron con afectaciones de gravedadtras el siniestro. La dependencia federal informó que los trabajos de auxilio y rescate se mantienen activos en la zona del descarrilamiento, en coordinación con autoridades estatales y municipales. Personal naval, cuerpos de emergencia y equipos médicos continúan brindando atención a las personas lesionadas y apoyo a sus familiares, mientras se refuerzan las labores de traslado y seguimiento médico. En su posicionamiento oficial, laSecretaría de Marinaexpresó sus condolencias a las familias de las personas que perdieron la vida y reiteró su compromiso de actuar con responsabilidad, transparencia y apego a la ley durante la atención de esta emergencia. Asimismo, señaló que el acompañamiento institucional a las víctimas y sus familiares se mantendrá conforme evolucione la situación. Las autoridades indicaron que el monitoreo del accidente del Tren Interoceánico continúa y que, conforme se cuente con información confirmada, se darán a conocer nuevas actualizaciones sobre el estado de salud de las personas lesionadas y las investigaciones en curso para esclarecer las causas del descarrilamiento. Antes de esta actualización, las autoridades habían reportado unsaldo preliminar de 20 personas lesionadastras el descarrilamiento del Tren Interoceánico, sin víctimas mortales confirmadas. Dichas cifras correspondían a los primeros reportes emitidos durante las labores iniciales de rescate y atención médica, las cuales fueron ajustadas conforme avanzó la evaluación integral de las personas involucradas en el accidente. Elaccidenteocurrido enOaxacano es un hecho aislado. Enmenos de diez días,elTren Interoceánicose ha visto involucrado en al menos dos accidentes que han obligado a activar protocolos de emergencia y revisar las condiciones de operación en cruces ferroviarios del sureste del país. El antecedente inmediato ocurrió el 20 de diciembre de 2025, cuando un tren de pasajeros colisionó con un tráiler en el estado deChiapas. De acuerdo con los reportes oficiales, el accidente se registró alrededor de las 09:55 horas, en un cruce ferroviario ubicado en la comunidad de Cardona, municipio de Pichucalco. El tráiler se atravesó al paso del Tren Interoceánico que cubría la rutaCoatzacoalcos–Pakal Ná, provocando un fuerte impacto; a bordo viajaban 148 personas, quienes, junto con la tripulación, resultaron ilesas, aunque la locomotora principal presentó daños visibles. Tras el accidente, se activó un protocolo de atención para garantizar el traslado seguro de los pasajeros, mediante el envío de otra unidad ferroviaria y autobuses de apoyo. Autoridades reiteraron que no hubo personas lesionadas, pero el incidente volvió a colocar bajo la lupa los riesgos en cruces a nivel, especialmente tras un nuevo accidente del Tren Interoceánico registrado días después enOaxaca, ahora con más de 200 personas a bordo.</v>
      </c>
      <c r="O260" s="15">
        <f>IFERROR(__xludf.DUMMYFUNCTION("""COMPUTED_VALUE"""),1.0)</f>
        <v>1</v>
      </c>
      <c r="P260" s="2"/>
      <c r="Q260" s="17">
        <f>IFERROR(__xludf.DUMMYFUNCTION("""COMPUTED_VALUE"""),4.0)</f>
        <v>4</v>
      </c>
      <c r="R260" s="2" t="str">
        <f>IFERROR(__xludf.DUMMYFUNCTION("""COMPUTED_VALUE"""),"Medium")</f>
        <v>Medium</v>
      </c>
      <c r="S260" s="17">
        <f>IFERROR(__xludf.DUMMYFUNCTION("""COMPUTED_VALUE"""),2.0)</f>
        <v>2</v>
      </c>
      <c r="T260" s="17">
        <f>IFERROR(__xludf.DUMMYFUNCTION("""COMPUTED_VALUE"""),0.0)</f>
        <v>0</v>
      </c>
      <c r="U260" s="14">
        <f>IFERROR(__xludf.DUMMYFUNCTION("""COMPUTED_VALUE"""),3.0)</f>
        <v>3</v>
      </c>
      <c r="V260" s="14">
        <v>2025.0</v>
      </c>
      <c r="W260" s="2" t="s">
        <v>1168</v>
      </c>
      <c r="X260" s="2" t="s">
        <v>1188</v>
      </c>
      <c r="Y260" s="13" t="s">
        <v>1000</v>
      </c>
      <c r="Z260" s="14">
        <v>0.0</v>
      </c>
      <c r="AA260" s="14">
        <v>0.0</v>
      </c>
      <c r="AB260" s="14">
        <v>0.0</v>
      </c>
      <c r="AC260" s="14">
        <v>0.0</v>
      </c>
      <c r="AD260" s="2">
        <v>0.0</v>
      </c>
      <c r="AE260" s="2">
        <v>1.0</v>
      </c>
      <c r="AF260" s="2">
        <v>12.0</v>
      </c>
      <c r="AG260" s="2" t="s">
        <v>1176</v>
      </c>
      <c r="AH260" s="2">
        <v>0.0</v>
      </c>
    </row>
    <row r="261" ht="15.75" customHeight="1">
      <c r="A261" s="2" t="str">
        <f>IFERROR(__xludf.DUMMYFUNCTION("""COMPUTED_VALUE"""),"TV Azteca")</f>
        <v>TV Azteca</v>
      </c>
      <c r="B261" s="12" t="str">
        <f>IFERROR(__xludf.DUMMYFUNCTION("""COMPUTED_VALUE"""),"Fatal error: hombre confunde envase y pierde la vida al beber sustancia tóxica en Coahuila")</f>
        <v>Fatal error: hombre confunde envase y pierde la vida al beber sustancia tóxica en Coahuila</v>
      </c>
      <c r="C261" s="13" t="str">
        <f>IFERROR(__xludf.DUMMYFUNCTION("""COMPUTED_VALUE"""),"2025-12-27 23:36:41")</f>
        <v>2025-12-27 23:36:41</v>
      </c>
      <c r="D261" s="14">
        <f>IFERROR(__xludf.DUMMYFUNCTION("""COMPUTED_VALUE"""),4.0)</f>
        <v>4</v>
      </c>
      <c r="E261" s="15">
        <f>IFERROR(__xludf.DUMMYFUNCTION("""COMPUTED_VALUE"""),-0.8982)</f>
        <v>-0.8982</v>
      </c>
      <c r="F261" s="2" t="str">
        <f>IFERROR(__xludf.DUMMYFUNCTION("""COMPUTED_VALUE"""),"Negativo")</f>
        <v>Negativo</v>
      </c>
      <c r="G261" s="15">
        <f>IFERROR(__xludf.DUMMYFUNCTION("""COMPUTED_VALUE"""),0.8982)</f>
        <v>0.8982</v>
      </c>
      <c r="H261" s="2" t="str">
        <f>IFERROR(__xludf.DUMMYFUNCTION("""COMPUTED_VALUE"""),"Operativo policial o detención")</f>
        <v>Operativo policial o detención</v>
      </c>
      <c r="I261" s="2" t="str">
        <f>IFERROR(__xludf.DUMMYFUNCTION("""COMPUTED_VALUE"""),"N/A")</f>
        <v>N/A</v>
      </c>
      <c r="J261" s="2" t="str">
        <f>IFERROR(__xludf.DUMMYFUNCTION("""COMPUTED_VALUE"""),"Monitoreo general.")</f>
        <v>Monitoreo general.</v>
      </c>
      <c r="K261" s="2" t="str">
        <f>IFERROR(__xludf.DUMMYFUNCTION("""COMPUTED_VALUE"""),"Coahuila")</f>
        <v>Coahuila</v>
      </c>
      <c r="L261" s="2" t="str">
        <f>IFERROR(__xludf.DUMMYFUNCTION("""COMPUTED_VALUE"""),"Coahuila")</f>
        <v>Coahuila</v>
      </c>
      <c r="M261" s="16" t="str">
        <f>IFERROR(__xludf.DUMMYFUNCTION("""COMPUTED_VALUE"""),"https://www.tvazteca.com/aztecanoticias/hombre-confunde-envase-y-pierde-la-vida-al-beber-sustancia-toxica-en-coahuila/")</f>
        <v>https://www.tvazteca.com/aztecanoticias/hombre-confunde-envase-y-pierde-la-vida-al-beber-sustancia-toxica-en-coahuila/</v>
      </c>
      <c r="N261" s="2" t="str">
        <f>IFERROR(__xludf.DUMMYFUNCTION("""COMPUTED_VALUE"""),"La muerte de un hombre de 37 años encendió una fuerte alerta entre autoridades deCoahuila, luego de queperdiera la vida tras ingerir de manera accidental una sustancia tóxicaque estaba almacenada en un envase reutilizado. El caso volvió a poner sobre la m"&amp;"esa un riesgo cotidiano que suele normalizarse en muchos hogares:reutilizar botellas de bebidas para guardar químicos peligrosos. De acuerdo con los primeros reportes, el hombre comenzó a presentar síntomas de intoxicación y, pese a su debilitado estado, "&amp;"logró trasladarse por sus propios medios a una clínica delInstituto Mexicano del Seguro Social,acompañado de familiares. Al llegar, fue ingresado de manera inmediata para recibir valoración y atención de urgencia al ingerir la sustancia desconocida. Perso"&amp;"nal médico aplicó procedimientos de emergencia con el fin de revertir los efectos del tóxico. Sin embargo, la gravedad del cuadro no permitió una evolución favorable.A pesar de los esfuerzos, el paciente no mostró mejoría y falleció horas después. LaFisca"&amp;"lía General de Coahuilatomó conocimiento del hecho y dispuso que el cuerpo fuera trasladado al Servicio Médico Forense. Ahí se realizarán los estudios correspondientes que permitirán confirmar oficialmente la causa del deceso y establecer con precisión el"&amp;" tipo de sustancia involucrada. El incidente puso nuevamente en foco una práctica común pero altamente riesgosa:guardar raticidas, solventes, ácidos y otros químicos en recipientes similares a los utilizados para agua, refrescos o jugos. Su apariencia pue"&amp;"de inducir a confusión, incluso entre personas adultas, y en muchos casos termina en tragedias que pudieron evitarse.")</f>
        <v>La muerte de un hombre de 37 años encendió una fuerte alerta entre autoridades deCoahuila, luego de queperdiera la vida tras ingerir de manera accidental una sustancia tóxicaque estaba almacenada en un envase reutilizado. El caso volvió a poner sobre la mesa un riesgo cotidiano que suele normalizarse en muchos hogares:reutilizar botellas de bebidas para guardar químicos peligrosos. De acuerdo con los primeros reportes, el hombre comenzó a presentar síntomas de intoxicación y, pese a su debilitado estado, logró trasladarse por sus propios medios a una clínica delInstituto Mexicano del Seguro Social,acompañado de familiares. Al llegar, fue ingresado de manera inmediata para recibir valoración y atención de urgencia al ingerir la sustancia desconocida. Personal médico aplicó procedimientos de emergencia con el fin de revertir los efectos del tóxico. Sin embargo, la gravedad del cuadro no permitió una evolución favorable.A pesar de los esfuerzos, el paciente no mostró mejoría y falleció horas después. LaFiscalía General de Coahuilatomó conocimiento del hecho y dispuso que el cuerpo fuera trasladado al Servicio Médico Forense. Ahí se realizarán los estudios correspondientes que permitirán confirmar oficialmente la causa del deceso y establecer con precisión el tipo de sustancia involucrada. El incidente puso nuevamente en foco una práctica común pero altamente riesgosa:guardar raticidas, solventes, ácidos y otros químicos en recipientes similares a los utilizados para agua, refrescos o jugos. Su apariencia puede inducir a confusión, incluso entre personas adultas, y en muchos casos termina en tragedias que pudieron evitarse.</v>
      </c>
      <c r="O261" s="15">
        <f>IFERROR(__xludf.DUMMYFUNCTION("""COMPUTED_VALUE"""),0.2811)</f>
        <v>0.2811</v>
      </c>
      <c r="P261" s="2"/>
      <c r="Q261" s="17">
        <f>IFERROR(__xludf.DUMMYFUNCTION("""COMPUTED_VALUE"""),5.5)</f>
        <v>5.5</v>
      </c>
      <c r="R261" s="2" t="str">
        <f>IFERROR(__xludf.DUMMYFUNCTION("""COMPUTED_VALUE"""),"High")</f>
        <v>High</v>
      </c>
      <c r="S261" s="17">
        <f>IFERROR(__xludf.DUMMYFUNCTION("""COMPUTED_VALUE"""),2.5)</f>
        <v>2.5</v>
      </c>
      <c r="T261" s="17">
        <f>IFERROR(__xludf.DUMMYFUNCTION("""COMPUTED_VALUE"""),0.0)</f>
        <v>0</v>
      </c>
      <c r="U261" s="14">
        <f>IFERROR(__xludf.DUMMYFUNCTION("""COMPUTED_VALUE"""),3.0)</f>
        <v>3</v>
      </c>
      <c r="V261" s="14">
        <v>2025.0</v>
      </c>
      <c r="W261" s="2" t="s">
        <v>1168</v>
      </c>
      <c r="X261" s="2" t="s">
        <v>1194</v>
      </c>
      <c r="Y261" s="13" t="s">
        <v>1004</v>
      </c>
      <c r="Z261" s="14">
        <v>0.0</v>
      </c>
      <c r="AA261" s="14">
        <v>0.0</v>
      </c>
      <c r="AB261" s="14">
        <v>0.0</v>
      </c>
      <c r="AC261" s="14">
        <v>0.0</v>
      </c>
      <c r="AD261" s="2">
        <v>0.0</v>
      </c>
      <c r="AE261" s="2">
        <v>1.0</v>
      </c>
      <c r="AF261" s="2">
        <v>12.0</v>
      </c>
      <c r="AG261" s="2" t="s">
        <v>1227</v>
      </c>
      <c r="AH261" s="2">
        <v>0.0</v>
      </c>
    </row>
    <row r="262" ht="15.75" customHeight="1">
      <c r="A262" s="2" t="str">
        <f>IFERROR(__xludf.DUMMYFUNCTION("""COMPUTED_VALUE"""),"TV Azteca")</f>
        <v>TV Azteca</v>
      </c>
      <c r="B262" s="12" t="str">
        <f>IFERROR(__xludf.DUMMYFUNCTION("""COMPUTED_VALUE"""),"Tragedia en la carretera Victoria-Zaragoza: Choque de autobús deja al menos 2 muertos y decenas de heridos")</f>
        <v>Tragedia en la carretera Victoria-Zaragoza: Choque de autobús deja al menos 2 muertos y decenas de heridos</v>
      </c>
      <c r="C262" s="13" t="str">
        <f>IFERROR(__xludf.DUMMYFUNCTION("""COMPUTED_VALUE"""),"2025-12-27 16:22:53")</f>
        <v>2025-12-27 16:22:53</v>
      </c>
      <c r="D262" s="14">
        <f>IFERROR(__xludf.DUMMYFUNCTION("""COMPUTED_VALUE"""),4.0)</f>
        <v>4</v>
      </c>
      <c r="E262" s="15">
        <f>IFERROR(__xludf.DUMMYFUNCTION("""COMPUTED_VALUE"""),-0.7268)</f>
        <v>-0.7268</v>
      </c>
      <c r="F262" s="2" t="str">
        <f>IFERROR(__xludf.DUMMYFUNCTION("""COMPUTED_VALUE"""),"Negativo")</f>
        <v>Negativo</v>
      </c>
      <c r="G262" s="15">
        <f>IFERROR(__xludf.DUMMYFUNCTION("""COMPUTED_VALUE"""),0.7268)</f>
        <v>0.7268</v>
      </c>
      <c r="H262" s="2" t="str">
        <f>IFERROR(__xludf.DUMMYFUNCTION("""COMPUTED_VALUE"""),"Accidente de tránsito o choque vial")</f>
        <v>Accidente de tránsito o choque vial</v>
      </c>
      <c r="I262" s="2" t="str">
        <f>IFERROR(__xludf.DUMMYFUNCTION("""COMPUTED_VALUE"""),"choque")</f>
        <v>choque</v>
      </c>
      <c r="J262" s="2" t="str">
        <f>IFERROR(__xludf.DUMMYFUNCTION("""COMPUTED_VALUE"""),"Soporte DRV: Seguros/Guía post-siniestro.")</f>
        <v>Soporte DRV: Seguros/Guía post-siniestro.</v>
      </c>
      <c r="K262" s="2" t="str">
        <f>IFERROR(__xludf.DUMMYFUNCTION("""COMPUTED_VALUE"""),"Monterrey")</f>
        <v>Monterrey</v>
      </c>
      <c r="L262" s="2" t="str">
        <f>IFERROR(__xludf.DUMMYFUNCTION("""COMPUTED_VALUE"""),"Nuevo León")</f>
        <v>Nuevo León</v>
      </c>
      <c r="M262" s="16" t="str">
        <f>IFERROR(__xludf.DUMMYFUNCTION("""COMPUTED_VALUE"""),"https://www.tvazteca.com/aztecanoticias/tragedia-en-la-carretera-victoria-zaragoza-choque-autobus-trailer-deja-al-menos-2-muertos/")</f>
        <v>https://www.tvazteca.com/aztecanoticias/tragedia-en-la-carretera-victoria-zaragoza-choque-autobus-trailer-deja-al-menos-2-muertos/</v>
      </c>
      <c r="N262" s="2" t="str">
        <f>IFERROR(__xludf.DUMMYFUNCTION("""COMPUTED_VALUE"""),"Ungrave percance vialse registró este día en el kilómetro 92 de lacarretera Victoria-Zaragoza, en un punto cercano a la intersección que conduce hacia Monterrey. El incidente ocurrió específicamente en la zona conocida como La Toron, donde un autobús de p"&amp;"asajeros, que transportaba alrededor de 37 personas,se estrelló violentamentecontra la parte trasera de un tráiler. De acuerdo con los reportes preliminares, el camión de carga se encontraba detenido sobre el acotamiento de la vía, aparentemente debido a "&amp;"una falla mecánica. El impacto del autobús contra la caja del tráiler fue directo, provocando daños severos en la parte frontal de la unidad de pasajeros. Se dio a conocer sobre el fallecimiento de dos personas como consecuencia de la colisión. Por otro l"&amp;"ado, se informó que ambos conductores de las unidades involucradas lograron sobrevivir al fuerte choque. Debido a la magnitud del impacto, varios pasajeros quedaron atrapados entre los restos del autobús, entre ellos un menor de edad, cuyos gritos de auxi"&amp;"lio se escuchaban desde el exterior. Para facilitar las labores de rescate, los paramédicos y rescatistas se vieron en la necesidad de retirar asientos y romper las ventanas laterales del vehículo para acceder a las víctimas más graves. Se estima que entr"&amp;"e cinco y 10 personas requirieron maniobras especializadas para ser extraídas en camillas rígidas debido a fracturas en sus extremidades y otras heridas de consideración, de acuerdo con información local. La Guardia Nacional estableció un doble perímetro "&amp;"de seguridad para resguardar la escena y permitir que los rescatistas trabajaran de forma coordinada siguiendo los protocolos de investigación. El tráfico en la zona se vio afectado, especialmente para quienes circulaban desde la carretera a Monterrey hac"&amp;"ia la desviación a Zaragoza.")</f>
        <v>Ungrave percance vialse registró este día en el kilómetro 92 de lacarretera Victoria-Zaragoza, en un punto cercano a la intersección que conduce hacia Monterrey. El incidente ocurrió específicamente en la zona conocida como La Toron, donde un autobús de pasajeros, que transportaba alrededor de 37 personas,se estrelló violentamentecontra la parte trasera de un tráiler. De acuerdo con los reportes preliminares, el camión de carga se encontraba detenido sobre el acotamiento de la vía, aparentemente debido a una falla mecánica. El impacto del autobús contra la caja del tráiler fue directo, provocando daños severos en la parte frontal de la unidad de pasajeros. Se dio a conocer sobre el fallecimiento de dos personas como consecuencia de la colisión. Por otro lado, se informó que ambos conductores de las unidades involucradas lograron sobrevivir al fuerte choque. Debido a la magnitud del impacto, varios pasajeros quedaron atrapados entre los restos del autobús, entre ellos un menor de edad, cuyos gritos de auxilio se escuchaban desde el exterior. Para facilitar las labores de rescate, los paramédicos y rescatistas se vieron en la necesidad de retirar asientos y romper las ventanas laterales del vehículo para acceder a las víctimas más graves. Se estima que entre cinco y 10 personas requirieron maniobras especializadas para ser extraídas en camillas rígidas debido a fracturas en sus extremidades y otras heridas de consideración, de acuerdo con información local. La Guardia Nacional estableció un doble perímetro de seguridad para resguardar la escena y permitir que los rescatistas trabajaran de forma coordinada siguiendo los protocolos de investigación. El tráfico en la zona se vio afectado, especialmente para quienes circulaban desde la carretera a Monterrey hacia la desviación a Zaragoza.</v>
      </c>
      <c r="O262" s="15">
        <f>IFERROR(__xludf.DUMMYFUNCTION("""COMPUTED_VALUE"""),1.0)</f>
        <v>1</v>
      </c>
      <c r="P262" s="2"/>
      <c r="Q262" s="17">
        <f>IFERROR(__xludf.DUMMYFUNCTION("""COMPUTED_VALUE"""),5.0)</f>
        <v>5</v>
      </c>
      <c r="R262" s="2" t="str">
        <f>IFERROR(__xludf.DUMMYFUNCTION("""COMPUTED_VALUE"""),"Low")</f>
        <v>Low</v>
      </c>
      <c r="S262" s="17">
        <f>IFERROR(__xludf.DUMMYFUNCTION("""COMPUTED_VALUE"""),0.0)</f>
        <v>0</v>
      </c>
      <c r="T262" s="17">
        <f>IFERROR(__xludf.DUMMYFUNCTION("""COMPUTED_VALUE"""),0.0)</f>
        <v>0</v>
      </c>
      <c r="U262" s="14">
        <f>IFERROR(__xludf.DUMMYFUNCTION("""COMPUTED_VALUE"""),3.0)</f>
        <v>3</v>
      </c>
      <c r="V262" s="14">
        <v>2025.0</v>
      </c>
      <c r="W262" s="2" t="s">
        <v>1168</v>
      </c>
      <c r="X262" s="2" t="s">
        <v>1194</v>
      </c>
      <c r="Y262" s="13" t="s">
        <v>1008</v>
      </c>
      <c r="Z262" s="14">
        <v>0.0</v>
      </c>
      <c r="AA262" s="14">
        <v>0.0</v>
      </c>
      <c r="AB262" s="14">
        <v>0.0</v>
      </c>
      <c r="AC262" s="14">
        <v>0.0</v>
      </c>
      <c r="AD262" s="2">
        <v>0.0</v>
      </c>
      <c r="AE262" s="2">
        <v>1.0</v>
      </c>
      <c r="AF262" s="2">
        <v>12.0</v>
      </c>
      <c r="AG262" s="2" t="s">
        <v>1228</v>
      </c>
      <c r="AH262" s="2">
        <v>0.0</v>
      </c>
    </row>
    <row r="263" ht="15.75" customHeight="1">
      <c r="A263" s="2" t="str">
        <f>IFERROR(__xludf.DUMMYFUNCTION("""COMPUTED_VALUE"""),"TV Azteca")</f>
        <v>TV Azteca</v>
      </c>
      <c r="B263" s="12" t="str">
        <f>IFERROR(__xludf.DUMMYFUNCTION("""COMPUTED_VALUE"""),"Muere alcalde de Tepeapulco, Hidalgo en accidente de tránsito")</f>
        <v>Muere alcalde de Tepeapulco, Hidalgo en accidente de tránsito</v>
      </c>
      <c r="C263" s="13" t="str">
        <f>IFERROR(__xludf.DUMMYFUNCTION("""COMPUTED_VALUE"""),"2025-12-26 23:46:28")</f>
        <v>2025-12-26 23:46:28</v>
      </c>
      <c r="D263" s="14">
        <f>IFERROR(__xludf.DUMMYFUNCTION("""COMPUTED_VALUE"""),2.0)</f>
        <v>2</v>
      </c>
      <c r="E263" s="15">
        <f>IFERROR(__xludf.DUMMYFUNCTION("""COMPUTED_VALUE"""),-0.8734)</f>
        <v>-0.8734</v>
      </c>
      <c r="F263" s="2" t="str">
        <f>IFERROR(__xludf.DUMMYFUNCTION("""COMPUTED_VALUE"""),"Negativo")</f>
        <v>Negativo</v>
      </c>
      <c r="G263" s="15">
        <f>IFERROR(__xludf.DUMMYFUNCTION("""COMPUTED_VALUE"""),0.8734)</f>
        <v>0.8734</v>
      </c>
      <c r="H263" s="2" t="str">
        <f>IFERROR(__xludf.DUMMYFUNCTION("""COMPUTED_VALUE"""),"Accidente de tránsito o choque vial")</f>
        <v>Accidente de tránsito o choque vial</v>
      </c>
      <c r="I263" s="2" t="str">
        <f>IFERROR(__xludf.DUMMYFUNCTION("""COMPUTED_VALUE"""),"N/A")</f>
        <v>N/A</v>
      </c>
      <c r="J263" s="2" t="str">
        <f>IFERROR(__xludf.DUMMYFUNCTION("""COMPUTED_VALUE"""),"Soporte DRV: Seguros/Guía post-siniestro.")</f>
        <v>Soporte DRV: Seguros/Guía post-siniestro.</v>
      </c>
      <c r="K263" s="2" t="str">
        <f>IFERROR(__xludf.DUMMYFUNCTION("""COMPUTED_VALUE"""),"Hidalgo")</f>
        <v>Hidalgo</v>
      </c>
      <c r="L263" s="2" t="str">
        <f>IFERROR(__xludf.DUMMYFUNCTION("""COMPUTED_VALUE"""),"Hidalgo")</f>
        <v>Hidalgo</v>
      </c>
      <c r="M263" s="16" t="str">
        <f>IFERROR(__xludf.DUMMYFUNCTION("""COMPUTED_VALUE"""),"https://www.tvazteca.com/aztecanoticias/muere-alcalde-de-tepeapulco-hidalgo-alfredo-gonzalez-accidente-carretero/")</f>
        <v>https://www.tvazteca.com/aztecanoticias/muere-alcalde-de-tepeapulco-hidalgo-alfredo-gonzalez-accidente-carretero/</v>
      </c>
      <c r="N263" s="2" t="str">
        <f>IFERROR(__xludf.DUMMYFUNCTION("""COMPUTED_VALUE"""),"Elpresidente municipal de Tepeapulco, Hidalgo, Alfredo González Quiroz, murió en un accidente de tránsito en la carreteraCuautepec-Tepeapulco; el chofer del alcalde y su escolta resultaron lesionados. De acuerdo con el reporte de la policía local en chofe"&amp;"r perdió el control de la unidad a la altura de la comunidad delos Coyotesy provocó que se volcara la unidad de lujo de 3.5 millones de pesos. De acuerdo con información proporcionada por su equipo deComunicación Social, el alcalde perdió la vida tras el "&amp;"accidente automovilístico ocurrido en la carreteraTepeapulco–Cuautepec. Elgobernador del estado de Hidalgo, Julio Menchaca, confirmó el deceso en sus redes sociales al lamentar eldeceso y enviar el pésame a sus familiares. En tanto, mediante un comunicado"&amp;", laSecretaría de Seguridad Pública del estado de Hidalgodetalló que el percance en el que el edil falleció ocurrió alrededor de las 15:00 horas de este viernes 26 de diciembre,sobre la carretera que va de Cuautepec hacia Tepeapulco. Se informó queAlfredo"&amp;" González Quiroziba de regreso aTepeapulco, luego de visitar una comunidad en la que entregó juguetes a los niños hidalguenses por la Navidad. De acuerdo con la dependencia, a causa de la lluvia y la cinta asfáltica mojada, el conductor de la camioneta pe"&amp;"rdió el control y se estrelló contra un árbol. Por lo fuerte del impacto, el presidente municipal falleció en el lugar; mientras que su escolta y el chofer fueron trasladados a un hospital de la región en situación crítica.")</f>
        <v>Elpresidente municipal de Tepeapulco, Hidalgo, Alfredo González Quiroz, murió en un accidente de tránsito en la carreteraCuautepec-Tepeapulco; el chofer del alcalde y su escolta resultaron lesionados. De acuerdo con el reporte de la policía local en chofer perdió el control de la unidad a la altura de la comunidad delos Coyotesy provocó que se volcara la unidad de lujo de 3.5 millones de pesos. De acuerdo con información proporcionada por su equipo deComunicación Social, el alcalde perdió la vida tras el accidente automovilístico ocurrido en la carreteraTepeapulco–Cuautepec. Elgobernador del estado de Hidalgo, Julio Menchaca, confirmó el deceso en sus redes sociales al lamentar eldeceso y enviar el pésame a sus familiares. En tanto, mediante un comunicado, laSecretaría de Seguridad Pública del estado de Hidalgodetalló que el percance en el que el edil falleció ocurrió alrededor de las 15:00 horas de este viernes 26 de diciembre,sobre la carretera que va de Cuautepec hacia Tepeapulco. Se informó queAlfredo González Quiroziba de regreso aTepeapulco, luego de visitar una comunidad en la que entregó juguetes a los niños hidalguenses por la Navidad. De acuerdo con la dependencia, a causa de la lluvia y la cinta asfáltica mojada, el conductor de la camioneta perdió el control y se estrelló contra un árbol. Por lo fuerte del impacto, el presidente municipal falleció en el lugar; mientras que su escolta y el chofer fueron trasladados a un hospital de la región en situación crítica.</v>
      </c>
      <c r="O263" s="15">
        <f>IFERROR(__xludf.DUMMYFUNCTION("""COMPUTED_VALUE"""),0.9135)</f>
        <v>0.9135</v>
      </c>
      <c r="P263" s="2"/>
      <c r="Q263" s="17">
        <f>IFERROR(__xludf.DUMMYFUNCTION("""COMPUTED_VALUE"""),8.5)</f>
        <v>8.5</v>
      </c>
      <c r="R263" s="2" t="str">
        <f>IFERROR(__xludf.DUMMYFUNCTION("""COMPUTED_VALUE"""),"Medium")</f>
        <v>Medium</v>
      </c>
      <c r="S263" s="17">
        <f>IFERROR(__xludf.DUMMYFUNCTION("""COMPUTED_VALUE"""),1.5)</f>
        <v>1.5</v>
      </c>
      <c r="T263" s="17">
        <f>IFERROR(__xludf.DUMMYFUNCTION("""COMPUTED_VALUE"""),0.0)</f>
        <v>0</v>
      </c>
      <c r="U263" s="14">
        <f>IFERROR(__xludf.DUMMYFUNCTION("""COMPUTED_VALUE"""),3.0)</f>
        <v>3</v>
      </c>
      <c r="V263" s="14">
        <v>2025.0</v>
      </c>
      <c r="W263" s="2" t="s">
        <v>1168</v>
      </c>
      <c r="X263" s="2" t="s">
        <v>1199</v>
      </c>
      <c r="Y263" s="13" t="s">
        <v>1013</v>
      </c>
      <c r="Z263" s="14">
        <v>0.0</v>
      </c>
      <c r="AA263" s="14">
        <v>0.0</v>
      </c>
      <c r="AB263" s="14">
        <v>0.0</v>
      </c>
      <c r="AC263" s="14">
        <v>0.0</v>
      </c>
      <c r="AD263" s="2">
        <v>0.0</v>
      </c>
      <c r="AE263" s="2">
        <v>0.0</v>
      </c>
      <c r="AF263" s="2">
        <v>12.0</v>
      </c>
      <c r="AG263" s="2" t="s">
        <v>1178</v>
      </c>
      <c r="AH263" s="2">
        <v>0.0</v>
      </c>
    </row>
    <row r="264" ht="15.75" customHeight="1">
      <c r="A264" s="2" t="str">
        <f>IFERROR(__xludf.DUMMYFUNCTION("""COMPUTED_VALUE"""),"TV Azteca")</f>
        <v>TV Azteca</v>
      </c>
      <c r="B264" s="12" t="str">
        <f>IFERROR(__xludf.DUMMYFUNCTION("""COMPUTED_VALUE"""),"¡Terrible! Dos autobuses chocan de frente sobre la carretera Tlapa-Puebla; hay muertos")</f>
        <v>¡Terrible! Dos autobuses chocan de frente sobre la carretera Tlapa-Puebla; hay muertos</v>
      </c>
      <c r="C264" s="13" t="str">
        <f>IFERROR(__xludf.DUMMYFUNCTION("""COMPUTED_VALUE"""),"2025-12-26 22:58:03")</f>
        <v>2025-12-26 22:58:03</v>
      </c>
      <c r="D264" s="14">
        <f>IFERROR(__xludf.DUMMYFUNCTION("""COMPUTED_VALUE"""),4.0)</f>
        <v>4</v>
      </c>
      <c r="E264" s="15">
        <f>IFERROR(__xludf.DUMMYFUNCTION("""COMPUTED_VALUE"""),-0.7188)</f>
        <v>-0.7188</v>
      </c>
      <c r="F264" s="2" t="str">
        <f>IFERROR(__xludf.DUMMYFUNCTION("""COMPUTED_VALUE"""),"Negativo")</f>
        <v>Negativo</v>
      </c>
      <c r="G264" s="15">
        <f>IFERROR(__xludf.DUMMYFUNCTION("""COMPUTED_VALUE"""),0.7188)</f>
        <v>0.7188</v>
      </c>
      <c r="H264" s="2" t="str">
        <f>IFERROR(__xludf.DUMMYFUNCTION("""COMPUTED_VALUE"""),"Accidente de tránsito o choque vial")</f>
        <v>Accidente de tránsito o choque vial</v>
      </c>
      <c r="I264" s="2" t="str">
        <f>IFERROR(__xludf.DUMMYFUNCTION("""COMPUTED_VALUE"""),"choque")</f>
        <v>choque</v>
      </c>
      <c r="J264" s="2" t="str">
        <f>IFERROR(__xludf.DUMMYFUNCTION("""COMPUTED_VALUE"""),"Soporte DRV: Seguros/Guía post-siniestro.")</f>
        <v>Soporte DRV: Seguros/Guía post-siniestro.</v>
      </c>
      <c r="K264" s="2" t="str">
        <f>IFERROR(__xludf.DUMMYFUNCTION("""COMPUTED_VALUE"""),"Puebla")</f>
        <v>Puebla</v>
      </c>
      <c r="L264" s="2" t="str">
        <f>IFERROR(__xludf.DUMMYFUNCTION("""COMPUTED_VALUE"""),"Puebla")</f>
        <v>Puebla</v>
      </c>
      <c r="M264" s="16" t="str">
        <f>IFERROR(__xludf.DUMMYFUNCTION("""COMPUTED_VALUE"""),"https://www.tvazteca.com/aztecanoticias/muertos-y-heridos-dos-autobuses-chocan-frente-la-carretera-tlapa-puebla/")</f>
        <v>https://www.tvazteca.com/aztecanoticias/muertos-y-heridos-dos-autobuses-chocan-frente-la-carretera-tlapa-puebla/</v>
      </c>
      <c r="N264" s="2" t="str">
        <f>IFERROR(__xludf.DUMMYFUNCTION("""COMPUTED_VALUE"""),"Un aparatoso accidente ocurrió en lacarretera Tlapa-Puebla la mañana de este viernes 26 de diciembre de 2025, al impactarase de frente dos autobuses de pasajeros; autoridades de rescate, reportaron muertos y varios heridos. El accidente ocurrió cerca del "&amp;"poblado deIxcateopan municipio de Alpoyecaa unos metros de la bodega Cermo. Lamentablemente se reportan pérdidas humanas y varios heridos, por lo que personal de Protección civil de Tlapa llegó al lugar para auxiliar a los heridos y trasladarlos al hospit"&amp;"alIMSS Bienestar. El accidente ocurrió alrededor de las 8:00 de la mañana en las inmediaciones de la comunidad de Ixcateopan, en un tramo de alta afluencia vehicular. En el choque se vieron involucradas unidades de laslíneas Oro y Sur,que cubrían rutas en"&amp;"treTlapa de Comonfort, Puebla y la Ciudad de México,respectivamente. De acuerdo con los primeros informes de las autoridades, el choque movilizó a elementos deProtección Civil,paramédicos y corporaciones policiacas, quienes brindaron atención prehospitala"&amp;"ria a los lesionados y coordinaron su traslado a hospitales cercanos para su valoración médica. Hasta el momento, se reporta de manera preliminar lamuerte de al menos tres personas y más de una decena de heridos; sin embargo, las cifras podrías cambiar co"&amp;"nforme avanza las labores de auxilio y se confirme la información oficial. Lacarretera Puebla–Tlapafue cerrada de manera parcial a la circulación mientras se realizaban los trabajos de atención a las víctimas, retiro de las unidades impactadas y levantami"&amp;"ento de datos para el peritaje correspondiente. Ante ello, las autoridades exhortaron a los automovilistas aextremar precaucionesy utilizar rutas alternas. Las causas del accidente aún no han sido determinadas y serán las autoridades correspondientes las "&amp;"encargadas de esclarecer cómo ocurrió la colisión. Mientras tanto,cuerpos de emergenciapermanecen en la zona para garantizar la seguridad de quienes transitan por la vía.")</f>
        <v>Un aparatoso accidente ocurrió en lacarretera Tlapa-Puebla la mañana de este viernes 26 de diciembre de 2025, al impactarase de frente dos autobuses de pasajeros; autoridades de rescate, reportaron muertos y varios heridos. El accidente ocurrió cerca del poblado deIxcateopan municipio de Alpoyecaa unos metros de la bodega Cermo. Lamentablemente se reportan pérdidas humanas y varios heridos, por lo que personal de Protección civil de Tlapa llegó al lugar para auxiliar a los heridos y trasladarlos al hospitalIMSS Bienestar. El accidente ocurrió alrededor de las 8:00 de la mañana en las inmediaciones de la comunidad de Ixcateopan, en un tramo de alta afluencia vehicular. En el choque se vieron involucradas unidades de laslíneas Oro y Sur,que cubrían rutas entreTlapa de Comonfort, Puebla y la Ciudad de México,respectivamente. De acuerdo con los primeros informes de las autoridades, el choque movilizó a elementos deProtección Civil,paramédicos y corporaciones policiacas, quienes brindaron atención prehospitalaria a los lesionados y coordinaron su traslado a hospitales cercanos para su valoración médica. Hasta el momento, se reporta de manera preliminar lamuerte de al menos tres personas y más de una decena de heridos; sin embargo, las cifras podrías cambiar conforme avanza las labores de auxilio y se confirme la información oficial. Lacarretera Puebla–Tlapafue cerrada de manera parcial a la circulación mientras se realizaban los trabajos de atención a las víctimas, retiro de las unidades impactadas y levantamiento de datos para el peritaje correspondiente. Ante ello, las autoridades exhortaron a los automovilistas aextremar precaucionesy utilizar rutas alternas. Las causas del accidente aún no han sido determinadas y serán las autoridades correspondientes las encargadas de esclarecer cómo ocurrió la colisión. Mientras tanto,cuerpos de emergenciapermanecen en la zona para garantizar la seguridad de quienes transitan por la vía.</v>
      </c>
      <c r="O264" s="15">
        <f>IFERROR(__xludf.DUMMYFUNCTION("""COMPUTED_VALUE"""),1.0)</f>
        <v>1</v>
      </c>
      <c r="P264" s="2"/>
      <c r="Q264" s="17">
        <f>IFERROR(__xludf.DUMMYFUNCTION("""COMPUTED_VALUE"""),8.5)</f>
        <v>8.5</v>
      </c>
      <c r="R264" s="2" t="str">
        <f>IFERROR(__xludf.DUMMYFUNCTION("""COMPUTED_VALUE"""),"High")</f>
        <v>High</v>
      </c>
      <c r="S264" s="17">
        <f>IFERROR(__xludf.DUMMYFUNCTION("""COMPUTED_VALUE"""),5.5)</f>
        <v>5.5</v>
      </c>
      <c r="T264" s="17">
        <f>IFERROR(__xludf.DUMMYFUNCTION("""COMPUTED_VALUE"""),0.0)</f>
        <v>0</v>
      </c>
      <c r="U264" s="14">
        <f>IFERROR(__xludf.DUMMYFUNCTION("""COMPUTED_VALUE"""),3.0)</f>
        <v>3</v>
      </c>
      <c r="V264" s="14">
        <v>2025.0</v>
      </c>
      <c r="W264" s="2" t="s">
        <v>1168</v>
      </c>
      <c r="X264" s="2" t="s">
        <v>1199</v>
      </c>
      <c r="Y264" s="13" t="s">
        <v>1017</v>
      </c>
      <c r="Z264" s="14">
        <v>0.0</v>
      </c>
      <c r="AA264" s="14">
        <v>0.0</v>
      </c>
      <c r="AB264" s="14">
        <v>0.0</v>
      </c>
      <c r="AC264" s="14">
        <v>0.0</v>
      </c>
      <c r="AD264" s="2">
        <v>0.0</v>
      </c>
      <c r="AE264" s="2">
        <v>1.0</v>
      </c>
      <c r="AF264" s="2">
        <v>12.0</v>
      </c>
      <c r="AG264" s="2" t="s">
        <v>1229</v>
      </c>
      <c r="AH264" s="2">
        <v>0.0</v>
      </c>
    </row>
    <row r="265" ht="15.75" customHeight="1">
      <c r="A265" s="2" t="str">
        <f>IFERROR(__xludf.DUMMYFUNCTION("""COMPUTED_VALUE"""),"TV Azteca")</f>
        <v>TV Azteca</v>
      </c>
      <c r="B265" s="12" t="str">
        <f>IFERROR(__xludf.DUMMYFUNCTION("""COMPUTED_VALUE"""),"Lo que impide la indemnización a la familia de Abril “N”, madre que perdió la vida tras la explosión en Iztapalapa")</f>
        <v>Lo que impide la indemnización a la familia de Abril “N”, madre que perdió la vida tras la explosión en Iztapalapa</v>
      </c>
      <c r="C265" s="13" t="str">
        <f>IFERROR(__xludf.DUMMYFUNCTION("""COMPUTED_VALUE"""),"2025-12-26 00:43:40")</f>
        <v>2025-12-26 00:43:40</v>
      </c>
      <c r="D265" s="14">
        <f>IFERROR(__xludf.DUMMYFUNCTION("""COMPUTED_VALUE"""),2.0)</f>
        <v>2</v>
      </c>
      <c r="E265" s="15">
        <f>IFERROR(__xludf.DUMMYFUNCTION("""COMPUTED_VALUE"""),-0.8909)</f>
        <v>-0.8909</v>
      </c>
      <c r="F265" s="2" t="str">
        <f>IFERROR(__xludf.DUMMYFUNCTION("""COMPUTED_VALUE"""),"Negativo")</f>
        <v>Negativo</v>
      </c>
      <c r="G265" s="15">
        <f>IFERROR(__xludf.DUMMYFUNCTION("""COMPUTED_VALUE"""),0.8909)</f>
        <v>0.8909</v>
      </c>
      <c r="H265" s="2" t="str">
        <f>IFERROR(__xludf.DUMMYFUNCTION("""COMPUTED_VALUE"""),"Accidente de tránsito o choque vial")</f>
        <v>Accidente de tránsito o choque vial</v>
      </c>
      <c r="I265" s="2" t="str">
        <f>IFERROR(__xludf.DUMMYFUNCTION("""COMPUTED_VALUE"""),"N/A")</f>
        <v>N/A</v>
      </c>
      <c r="J265" s="2" t="str">
        <f>IFERROR(__xludf.DUMMYFUNCTION("""COMPUTED_VALUE"""),"Seguridad Vial: Monitoreo de zona.")</f>
        <v>Seguridad Vial: Monitoreo de zona.</v>
      </c>
      <c r="K265" s="2" t="str">
        <f>IFERROR(__xludf.DUMMYFUNCTION("""COMPUTED_VALUE"""),"Iztapalapa")</f>
        <v>Iztapalapa</v>
      </c>
      <c r="L265" s="2" t="str">
        <f>IFERROR(__xludf.DUMMYFUNCTION("""COMPUTED_VALUE"""),"Ciudad de México")</f>
        <v>Ciudad de México</v>
      </c>
      <c r="M265" s="16" t="str">
        <f>IFERROR(__xludf.DUMMYFUNCTION("""COMPUTED_VALUE"""),"https://www.tvazteca.com/aztecanoticias/explosion-en-iztapalapa-por-que-la-familia-abril-n-madre-fallecida-no-ha-recibido/")</f>
        <v>https://www.tvazteca.com/aztecanoticias/explosion-en-iztapalapa-por-que-la-familia-abril-n-madre-fallecida-no-ha-recibido/</v>
      </c>
      <c r="N265" s="2" t="str">
        <f>IFERROR(__xludf.DUMMYFUNCTION("""COMPUTED_VALUE"""),"La familia deAbril “N”,madre de cuatro pequeños que perdió la vida tras la explosión de la pipa en Iztapalapa,continúasin recibir la indemnizaciónque se les prometió. A pesar del tiempo transcurrido y de los trámites realizados, el pago sigue detenido, y "&amp;"recientementese dio a conocer la razón que ha frenado el apoyo económico que esperan para enfrentar los efectos de la tragedia. Desde que se registró el incidente, autoridades capitalinas informaron que se han brindado apoyos directos a los deudos, entre "&amp;"ellos lacobertura de gastos funerarios,apoyo solidario, orientación jurídica yatención psicológica especializadapara las hijas e hijos de lavíctima, así como para las personas que actualmente se hacen cargo de su cuidado. Abril “N” era madre dedos hijas y"&amp;" dos hijos, quienes hoy están bajo el resguardo de un familiar cercano. De acuerdo con la Fiscalía, las y los menores recibenseguimiento psicológico continuo, con sesiones periódicas y enfoque especializado, como parte de las acciones deprotección integra"&amp;"l a víctimas indirectas. Sin embargo, lareparación del dañoaún no se ha formalizado. La propia Fiscalía explicó que existe unconflicto familiar en proceso de resolución, relacionado con la definición legal de laguarda y custodiade las y los menores. Esta "&amp;"definición es indispensable para establecer un mecanismo jurídico seguro que permita garantizar que los recursos de la reparaciónse destinen exclusivamente a las hijas e hijos de la víctima. Además, laFGRseñaló que el caso de Abril, continúa siendo atendi"&amp;"do y que el acompañamiento institucional y humano se mantiene activo. Además, señaló queel caso no se dará por concluido hasta que el proceso familiar permita avanzarplenamente hacia unareparación integral del daño, con justicia y protección efectiva para"&amp;" las niñas, niños y adolescentes que quedaron en orfandad tras la tragedia. Abril Díaz, de 34 años, fue otra de las víctimas de la explosión de la pipa de gas LP en el puente de La Concordia, murió el pasado 18 de septiembre, trasquemaduras en aproximadam"&amp;"ente el 95% de su cuerpo. Su hermana confirmó que la jovenmurióa consecuencia de las graves quemaduras sufridas el pasado 10 de septiembre.")</f>
        <v>La familia deAbril “N”,madre de cuatro pequeños que perdió la vida tras la explosión de la pipa en Iztapalapa,continúasin recibir la indemnizaciónque se les prometió. A pesar del tiempo transcurrido y de los trámites realizados, el pago sigue detenido, y recientementese dio a conocer la razón que ha frenado el apoyo económico que esperan para enfrentar los efectos de la tragedia. Desde que se registró el incidente, autoridades capitalinas informaron que se han brindado apoyos directos a los deudos, entre ellos lacobertura de gastos funerarios,apoyo solidario, orientación jurídica yatención psicológica especializadapara las hijas e hijos de lavíctima, así como para las personas que actualmente se hacen cargo de su cuidado. Abril “N” era madre dedos hijas y dos hijos, quienes hoy están bajo el resguardo de un familiar cercano. De acuerdo con la Fiscalía, las y los menores recibenseguimiento psicológico continuo, con sesiones periódicas y enfoque especializado, como parte de las acciones deprotección integral a víctimas indirectas. Sin embargo, lareparación del dañoaún no se ha formalizado. La propia Fiscalía explicó que existe unconflicto familiar en proceso de resolución, relacionado con la definición legal de laguarda y custodiade las y los menores. Esta definición es indispensable para establecer un mecanismo jurídico seguro que permita garantizar que los recursos de la reparaciónse destinen exclusivamente a las hijas e hijos de la víctima. Además, laFGRseñaló que el caso de Abril, continúa siendo atendido y que el acompañamiento institucional y humano se mantiene activo. Además, señaló queel caso no se dará por concluido hasta que el proceso familiar permita avanzarplenamente hacia unareparación integral del daño, con justicia y protección efectiva para las niñas, niños y adolescentes que quedaron en orfandad tras la tragedia. Abril Díaz, de 34 años, fue otra de las víctimas de la explosión de la pipa de gas LP en el puente de La Concordia, murió el pasado 18 de septiembre, trasquemaduras en aproximadamente el 95% de su cuerpo. Su hermana confirmó que la jovenmurióa consecuencia de las graves quemaduras sufridas el pasado 10 de septiembre.</v>
      </c>
      <c r="O265" s="15">
        <f>IFERROR(__xludf.DUMMYFUNCTION("""COMPUTED_VALUE"""),0.399)</f>
        <v>0.399</v>
      </c>
      <c r="P265" s="2"/>
      <c r="Q265" s="17">
        <f>IFERROR(__xludf.DUMMYFUNCTION("""COMPUTED_VALUE"""),8.5)</f>
        <v>8.5</v>
      </c>
      <c r="R265" s="2" t="str">
        <f>IFERROR(__xludf.DUMMYFUNCTION("""COMPUTED_VALUE"""),"High")</f>
        <v>High</v>
      </c>
      <c r="S265" s="17">
        <f>IFERROR(__xludf.DUMMYFUNCTION("""COMPUTED_VALUE"""),8.5)</f>
        <v>8.5</v>
      </c>
      <c r="T265" s="17">
        <f>IFERROR(__xludf.DUMMYFUNCTION("""COMPUTED_VALUE"""),0.0)</f>
        <v>0</v>
      </c>
      <c r="U265" s="14">
        <f>IFERROR(__xludf.DUMMYFUNCTION("""COMPUTED_VALUE"""),3.0)</f>
        <v>3</v>
      </c>
      <c r="V265" s="14">
        <v>2025.0</v>
      </c>
      <c r="W265" s="2" t="s">
        <v>1168</v>
      </c>
      <c r="X265" s="2" t="s">
        <v>1199</v>
      </c>
      <c r="Y265" s="13" t="s">
        <v>1022</v>
      </c>
      <c r="Z265" s="14">
        <v>0.0</v>
      </c>
      <c r="AA265" s="14">
        <v>0.0</v>
      </c>
      <c r="AB265" s="14">
        <v>0.0</v>
      </c>
      <c r="AC265" s="14">
        <v>0.0</v>
      </c>
      <c r="AD265" s="2">
        <v>0.0</v>
      </c>
      <c r="AE265" s="2">
        <v>0.0</v>
      </c>
      <c r="AF265" s="2">
        <v>12.0</v>
      </c>
      <c r="AG265" s="2" t="s">
        <v>1222</v>
      </c>
      <c r="AH265" s="2">
        <v>0.0</v>
      </c>
    </row>
    <row r="266" ht="15.75" customHeight="1">
      <c r="A266" s="2" t="str">
        <f>IFERROR(__xludf.DUMMYFUNCTION("""COMPUTED_VALUE"""),"TV Azteca")</f>
        <v>TV Azteca</v>
      </c>
      <c r="B266" s="12" t="str">
        <f>IFERROR(__xludf.DUMMYFUNCTION("""COMPUTED_VALUE"""),"""¡Qué feo lo que pasa aquí!""; dos muertos, deja estallido de pirotecnia en Oaxaca")</f>
        <v>"¡Qué feo lo que pasa aquí!"; dos muertos, deja estallido de pirotecnia en Oaxaca</v>
      </c>
      <c r="C266" s="13" t="str">
        <f>IFERROR(__xludf.DUMMYFUNCTION("""COMPUTED_VALUE"""),"2025-12-25 22:46:50")</f>
        <v>2025-12-25 22:46:50</v>
      </c>
      <c r="D266" s="14">
        <f>IFERROR(__xludf.DUMMYFUNCTION("""COMPUTED_VALUE"""),4.0)</f>
        <v>4</v>
      </c>
      <c r="E266" s="15">
        <f>IFERROR(__xludf.DUMMYFUNCTION("""COMPUTED_VALUE"""),-0.666)</f>
        <v>-0.666</v>
      </c>
      <c r="F266" s="2" t="str">
        <f>IFERROR(__xludf.DUMMYFUNCTION("""COMPUTED_VALUE"""),"Negativo")</f>
        <v>Negativo</v>
      </c>
      <c r="G266" s="15">
        <f>IFERROR(__xludf.DUMMYFUNCTION("""COMPUTED_VALUE"""),0.666)</f>
        <v>0.666</v>
      </c>
      <c r="H266" s="2" t="str">
        <f>IFERROR(__xludf.DUMMYFUNCTION("""COMPUTED_VALUE"""),"Operativo policial o detención")</f>
        <v>Operativo policial o detención</v>
      </c>
      <c r="I266" s="2" t="str">
        <f>IFERROR(__xludf.DUMMYFUNCTION("""COMPUTED_VALUE"""),"N/A")</f>
        <v>N/A</v>
      </c>
      <c r="J266" s="2" t="str">
        <f>IFERROR(__xludf.DUMMYFUNCTION("""COMPUTED_VALUE"""),"Monitoreo general.")</f>
        <v>Monitoreo general.</v>
      </c>
      <c r="K266" s="2" t="str">
        <f>IFERROR(__xludf.DUMMYFUNCTION("""COMPUTED_VALUE"""),"Oaxaca")</f>
        <v>Oaxaca</v>
      </c>
      <c r="L266" s="2" t="str">
        <f>IFERROR(__xludf.DUMMYFUNCTION("""COMPUTED_VALUE"""),"Oaxaca")</f>
        <v>Oaxaca</v>
      </c>
      <c r="M266" s="16" t="str">
        <f>IFERROR(__xludf.DUMMYFUNCTION("""COMPUTED_VALUE"""),"https://www.tvazteca.com/aztecanoticias/dos-muertos-deja-explosion-pirotecnia-en-jalapa-del-marquesado-oaxaca/")</f>
        <v>https://www.tvazteca.com/aztecanoticias/dos-muertos-deja-explosion-pirotecnia-en-jalapa-del-marquesado-oaxaca/</v>
      </c>
      <c r="N266" s="2" t="str">
        <f>IFERROR(__xludf.DUMMYFUNCTION("""COMPUTED_VALUE"""),"Poco después del mediodía de este jueves 25 de diciembre, se registró unaexplosión,presuntamente por elmal manejo de pirotecniaque se expendía en una tienda de abarrotes en la localidad deJalapa del Marqués, en el Istmo de Tehuantepec, Oaxaca. Las autorid"&amp;"ades reportaron a dos personas fallecidas,cuerpos de emergenciaacudieron al lugar para auxiliar a los heridos y apoyar para sofocar el fuego generado por la explosión. De acuerdo con la Coordinación Estatal de Protección Civil y Gestión de Riesgos (CEPCyG"&amp;"R) de Oaxaca, se atendió una explosión registrada al interior de una vivienda en la cual se almacenabapirotecnia, en el municipio deSanta María Jalapa del Marqués, en la que se reportandos personas fallecidas y una lesionada. Este incidente se presentó en"&amp;" el domicilio ubicado en la calle Diagonal Oriente con Primera Poniente, donde se realizabantrabajos de soldadura,lo que, de acuerdo con los primeros informes, pudo generar esta situación. Además, en el sitio había untanque de gasque provocó una explosión"&amp;" de gran magnitud que sorprendió a los vecinos de la zona. De manera preliminar, se reportan dos personas fallecidas del sexo masculino, de nombres Fernando T. V., y Fernando T. Mientras que lapersona lesionadafue identificado como Jair L., quien fue tras"&amp;"ladado a una clínica de esa municipalidad para recibir atención médica. Al sitio acudieron corporaciones de auxilio y seguridad federales, estatales y municipales quienes controlaron la emergencia. La dependencia reiteró su llamado a la ciudadanía para no"&amp;" manipular pirotecnia, evitar su almacenamiento en viviendas y reportar cualquier actividad irregular, con el fin de preveniraccidentes fatales. Servicios de emergencia laboran en explosión de toma clandestina")</f>
        <v>Poco después del mediodía de este jueves 25 de diciembre, se registró unaexplosión,presuntamente por elmal manejo de pirotecniaque se expendía en una tienda de abarrotes en la localidad deJalapa del Marqués, en el Istmo de Tehuantepec, Oaxaca. Las autoridades reportaron a dos personas fallecidas,cuerpos de emergenciaacudieron al lugar para auxiliar a los heridos y apoyar para sofocar el fuego generado por la explosión. De acuerdo con la Coordinación Estatal de Protección Civil y Gestión de Riesgos (CEPCyGR) de Oaxaca, se atendió una explosión registrada al interior de una vivienda en la cual se almacenabapirotecnia, en el municipio deSanta María Jalapa del Marqués, en la que se reportandos personas fallecidas y una lesionada. Este incidente se presentó en el domicilio ubicado en la calle Diagonal Oriente con Primera Poniente, donde se realizabantrabajos de soldadura,lo que, de acuerdo con los primeros informes, pudo generar esta situación. Además, en el sitio había untanque de gasque provocó una explosión de gran magnitud que sorprendió a los vecinos de la zona. De manera preliminar, se reportan dos personas fallecidas del sexo masculino, de nombres Fernando T. V., y Fernando T. Mientras que lapersona lesionadafue identificado como Jair L., quien fue trasladado a una clínica de esa municipalidad para recibir atención médica. Al sitio acudieron corporaciones de auxilio y seguridad federales, estatales y municipales quienes controlaron la emergencia. La dependencia reiteró su llamado a la ciudadanía para no manipular pirotecnia, evitar su almacenamiento en viviendas y reportar cualquier actividad irregular, con el fin de preveniraccidentes fatales. Servicios de emergencia laboran en explosión de toma clandestina</v>
      </c>
      <c r="O266" s="15">
        <f>IFERROR(__xludf.DUMMYFUNCTION("""COMPUTED_VALUE"""),0.3603)</f>
        <v>0.3603</v>
      </c>
      <c r="P266" s="2"/>
      <c r="Q266" s="17">
        <f>IFERROR(__xludf.DUMMYFUNCTION("""COMPUTED_VALUE"""),8.5)</f>
        <v>8.5</v>
      </c>
      <c r="R266" s="2" t="str">
        <f>IFERROR(__xludf.DUMMYFUNCTION("""COMPUTED_VALUE"""),"Medium")</f>
        <v>Medium</v>
      </c>
      <c r="S266" s="17">
        <f>IFERROR(__xludf.DUMMYFUNCTION("""COMPUTED_VALUE"""),1.5)</f>
        <v>1.5</v>
      </c>
      <c r="T266" s="17">
        <f>IFERROR(__xludf.DUMMYFUNCTION("""COMPUTED_VALUE"""),0.0)</f>
        <v>0</v>
      </c>
      <c r="U266" s="14">
        <f>IFERROR(__xludf.DUMMYFUNCTION("""COMPUTED_VALUE"""),3.0)</f>
        <v>3</v>
      </c>
      <c r="V266" s="14">
        <v>2025.0</v>
      </c>
      <c r="W266" s="2" t="s">
        <v>1168</v>
      </c>
      <c r="X266" s="2" t="s">
        <v>1201</v>
      </c>
      <c r="Y266" s="13" t="s">
        <v>1026</v>
      </c>
      <c r="Z266" s="14">
        <v>0.0</v>
      </c>
      <c r="AA266" s="14">
        <v>0.0</v>
      </c>
      <c r="AB266" s="14">
        <v>0.0</v>
      </c>
      <c r="AC266" s="14">
        <v>0.0</v>
      </c>
      <c r="AD266" s="2">
        <v>0.0</v>
      </c>
      <c r="AE266" s="2">
        <v>1.0</v>
      </c>
      <c r="AF266" s="2">
        <v>12.0</v>
      </c>
      <c r="AG266" s="2" t="s">
        <v>1176</v>
      </c>
      <c r="AH266" s="2">
        <v>0.0</v>
      </c>
    </row>
    <row r="267" ht="15.75" customHeight="1">
      <c r="A267" s="2" t="str">
        <f>IFERROR(__xludf.DUMMYFUNCTION("""COMPUTED_VALUE"""),"TV Azteca")</f>
        <v>TV Azteca</v>
      </c>
      <c r="B267" s="12" t="str">
        <f>IFERROR(__xludf.DUMMYFUNCTION("""COMPUTED_VALUE"""),"Explosión en polvorín del Edomex: Reportan heridos y destrozos tras estallido en bodega de pirotecnia en Ozumba")</f>
        <v>Explosión en polvorín del Edomex: Reportan heridos y destrozos tras estallido en bodega de pirotecnia en Ozumba</v>
      </c>
      <c r="C267" s="13" t="str">
        <f>IFERROR(__xludf.DUMMYFUNCTION("""COMPUTED_VALUE"""),"2025-12-25 17:18:52")</f>
        <v>2025-12-25 17:18:52</v>
      </c>
      <c r="D267" s="14">
        <f>IFERROR(__xludf.DUMMYFUNCTION("""COMPUTED_VALUE"""),2.0)</f>
        <v>2</v>
      </c>
      <c r="E267" s="15">
        <f>IFERROR(__xludf.DUMMYFUNCTION("""COMPUTED_VALUE"""),0.0)</f>
        <v>0</v>
      </c>
      <c r="F267" s="2" t="str">
        <f>IFERROR(__xludf.DUMMYFUNCTION("""COMPUTED_VALUE"""),"Neutral")</f>
        <v>Neutral</v>
      </c>
      <c r="G267" s="15">
        <f>IFERROR(__xludf.DUMMYFUNCTION("""COMPUTED_VALUE"""),0.5461)</f>
        <v>0.5461</v>
      </c>
      <c r="H267" s="2" t="str">
        <f>IFERROR(__xludf.DUMMYFUNCTION("""COMPUTED_VALUE"""),"Operativo policial o detención")</f>
        <v>Operativo policial o detención</v>
      </c>
      <c r="I267" s="2" t="str">
        <f>IFERROR(__xludf.DUMMYFUNCTION("""COMPUTED_VALUE"""),"N/A")</f>
        <v>N/A</v>
      </c>
      <c r="J267" s="2" t="str">
        <f>IFERROR(__xludf.DUMMYFUNCTION("""COMPUTED_VALUE"""),"Monitoreo general.")</f>
        <v>Monitoreo general.</v>
      </c>
      <c r="K267" s="2" t="str">
        <f>IFERROR(__xludf.DUMMYFUNCTION("""COMPUTED_VALUE"""),"Estado de México")</f>
        <v>Estado de México</v>
      </c>
      <c r="L267" s="2" t="str">
        <f>IFERROR(__xludf.DUMMYFUNCTION("""COMPUTED_VALUE"""),"Estado de México")</f>
        <v>Estado de México</v>
      </c>
      <c r="M267" s="16" t="str">
        <f>IFERROR(__xludf.DUMMYFUNCTION("""COMPUTED_VALUE"""),"https://www.tvazteca.com/aztecanoticias/explosion-polvorin-ozumba-edomex-dos-heridos-estallido-taller-pirotecnia-24-diciembre/")</f>
        <v>https://www.tvazteca.com/aztecanoticias/explosion-polvorin-ozumba-edomex-dos-heridos-estallido-taller-pirotecnia-24-diciembre/</v>
      </c>
      <c r="N267" s="2" t="str">
        <f>IFERROR(__xludf.DUMMYFUNCTION("""COMPUTED_VALUE"""),"AlertayemergenciaenNochebuena:unaexplosiónregistrada lanoche del 24 de diciembreactivó unaintensa movilizaciónde cuerpos de rescate tras elestallidode unpolvorínenOzumba, Edomex. El incidente ocurrió mientras las familias se encontraban celebrando, por lo"&amp;" que este hecho deúltima horagenerócaospor elincendioy una rápida respuesta deProtección Civil, bomberos y servicios médicosen esta localidad mexiquense De acuerdo con los primeros reportes, laexplosión del polvorínenOzumba, Edomex,se registró alrededor d"&amp;"e las21:15 horasen untaller de pirotecniaubicado en la calle de losCoheteros, en el barrio delChamizal, a un costado del libramiento que conecta la carreteraMéxico-CuautlaconAtlautla. La explosión provocó un incendio de grandes proporciones dentro del pol"&amp;"vorín, donde chispas y cohetes encendidos salían del inmueble, generando una escena de alto riesgo para los habitantes de la zona. Paramédicos confirmaron que dos hombres resultaron lesionados con quemaduras de segundo grado, consideradas de prioridad, po"&amp;"r lo que ambos fueron estabilizados en el lugar y trasladados a hospitales de la región deAmecamecapara recibir atención especializada. Autoridades municipales deOzumba, Edomex, informaron que, pese a la magnitud del estallido del polvorín, no se reportar"&amp;"on personas fallecidas; no obstante, los destrozos en el taller son totales, dejando pérdidas significativas tras la explosión. TAMBIÉN TE PUEDE INTERESAR:¿QUIÉNES MURIERON EN LA EXPLOSIÓN DE PESQUERÍA? AUMENTA LISTA DE VÍCTIMAS EN NUEVO LEÓN Tras control"&amp;"ar el fuego, elementos deProtección Civil de Ozumba, Tepetlixpa y Atlautla, junto conCruz Roja Amecamecay policías estatales y municipales, acordonaron la zona para evitar riesgos adicionales. Al concluir las labores de emergencia, el presidente municipal"&amp;" deOzumba, Ricardo Valencia, informó que el gobierno local se mantendrá atento a la situación tras laexplosióndelpolvorínregistrada enEdomexdurante laNochebuena. El edil subrayó que su administración dará seguimiento puntual tanto a la seguridad de la zon"&amp;"a como al estado de los lesionados. ""Nuestro compromiso es estar cerca de la ciudadanía en los momentos más difíciles, trabajando con responsabilidad, solidaridad y coordinación"", expresó el alcalde, mientras continuaban los peritajes para esclarecer la"&amp;"s condiciones en las que ocurrió la explosión.")</f>
        <v>AlertayemergenciaenNochebuena:unaexplosiónregistrada lanoche del 24 de diciembreactivó unaintensa movilizaciónde cuerpos de rescate tras elestallidode unpolvorínenOzumba, Edomex. El incidente ocurrió mientras las familias se encontraban celebrando, por lo que este hecho deúltima horagenerócaospor elincendioy una rápida respuesta deProtección Civil, bomberos y servicios médicosen esta localidad mexiquense De acuerdo con los primeros reportes, laexplosión del polvorínenOzumba, Edomex,se registró alrededor de las21:15 horasen untaller de pirotecniaubicado en la calle de losCoheteros, en el barrio delChamizal, a un costado del libramiento que conecta la carreteraMéxico-CuautlaconAtlautla. La explosión provocó un incendio de grandes proporciones dentro del polvorín, donde chispas y cohetes encendidos salían del inmueble, generando una escena de alto riesgo para los habitantes de la zona. Paramédicos confirmaron que dos hombres resultaron lesionados con quemaduras de segundo grado, consideradas de prioridad, por lo que ambos fueron estabilizados en el lugar y trasladados a hospitales de la región deAmecamecapara recibir atención especializada. Autoridades municipales deOzumba, Edomex, informaron que, pese a la magnitud del estallido del polvorín, no se reportaron personas fallecidas; no obstante, los destrozos en el taller son totales, dejando pérdidas significativas tras la explosión. TAMBIÉN TE PUEDE INTERESAR:¿QUIÉNES MURIERON EN LA EXPLOSIÓN DE PESQUERÍA? AUMENTA LISTA DE VÍCTIMAS EN NUEVO LEÓN Tras controlar el fuego, elementos deProtección Civil de Ozumba, Tepetlixpa y Atlautla, junto conCruz Roja Amecamecay policías estatales y municipales, acordonaron la zona para evitar riesgos adicionales. Al concluir las labores de emergencia, el presidente municipal deOzumba, Ricardo Valencia, informó que el gobierno local se mantendrá atento a la situación tras laexplosióndelpolvorínregistrada enEdomexdurante laNochebuena. El edil subrayó que su administración dará seguimiento puntual tanto a la seguridad de la zona como al estado de los lesionados. "Nuestro compromiso es estar cerca de la ciudadanía en los momentos más difíciles, trabajando con responsabilidad, solidaridad y coordinación", expresó el alcalde, mientras continuaban los peritajes para esclarecer las condiciones en las que ocurrió la explosión.</v>
      </c>
      <c r="O267" s="15">
        <f>IFERROR(__xludf.DUMMYFUNCTION("""COMPUTED_VALUE"""),0.5289)</f>
        <v>0.5289</v>
      </c>
      <c r="P267" s="2"/>
      <c r="Q267" s="17">
        <f>IFERROR(__xludf.DUMMYFUNCTION("""COMPUTED_VALUE"""),8.0)</f>
        <v>8</v>
      </c>
      <c r="R267" s="2" t="str">
        <f>IFERROR(__xludf.DUMMYFUNCTION("""COMPUTED_VALUE"""),"High")</f>
        <v>High</v>
      </c>
      <c r="S267" s="17">
        <f>IFERROR(__xludf.DUMMYFUNCTION("""COMPUTED_VALUE"""),5.0)</f>
        <v>5</v>
      </c>
      <c r="T267" s="17">
        <f>IFERROR(__xludf.DUMMYFUNCTION("""COMPUTED_VALUE"""),0.0)</f>
        <v>0</v>
      </c>
      <c r="U267" s="14">
        <f>IFERROR(__xludf.DUMMYFUNCTION("""COMPUTED_VALUE"""),3.0)</f>
        <v>3</v>
      </c>
      <c r="V267" s="14">
        <v>2025.0</v>
      </c>
      <c r="W267" s="2" t="s">
        <v>1168</v>
      </c>
      <c r="X267" s="2" t="s">
        <v>1201</v>
      </c>
      <c r="Y267" s="13" t="s">
        <v>1030</v>
      </c>
      <c r="Z267" s="14">
        <v>0.0</v>
      </c>
      <c r="AA267" s="14">
        <v>0.0</v>
      </c>
      <c r="AB267" s="14">
        <v>0.0</v>
      </c>
      <c r="AC267" s="14">
        <v>0.0</v>
      </c>
      <c r="AD267" s="2">
        <v>0.0</v>
      </c>
      <c r="AE267" s="2">
        <v>0.0</v>
      </c>
      <c r="AF267" s="2">
        <v>12.0</v>
      </c>
      <c r="AG267" s="2" t="s">
        <v>1202</v>
      </c>
      <c r="AH267" s="2">
        <v>0.0</v>
      </c>
    </row>
    <row r="268" ht="15.75" customHeight="1">
      <c r="A268" s="2" t="str">
        <f>IFERROR(__xludf.DUMMYFUNCTION("""COMPUTED_VALUE"""),"TV Azteca")</f>
        <v>TV Azteca</v>
      </c>
      <c r="B268" s="12" t="str">
        <f>IFERROR(__xludf.DUMMYFUNCTION("""COMPUTED_VALUE"""),"Fatal choque en San Antonio Abad: Conductor de taxi de la CDMX muere tras volcadura; rescatan a su perro entre los fierros")</f>
        <v>Fatal choque en San Antonio Abad: Conductor de taxi de la CDMX muere tras volcadura; rescatan a su perro entre los fierros</v>
      </c>
      <c r="C268" s="13" t="str">
        <f>IFERROR(__xludf.DUMMYFUNCTION("""COMPUTED_VALUE"""),"2025-12-25 15:20:26")</f>
        <v>2025-12-25 15:20:26</v>
      </c>
      <c r="D268" s="14">
        <f>IFERROR(__xludf.DUMMYFUNCTION("""COMPUTED_VALUE"""),4.0)</f>
        <v>4</v>
      </c>
      <c r="E268" s="15">
        <f>IFERROR(__xludf.DUMMYFUNCTION("""COMPUTED_VALUE"""),-0.8092)</f>
        <v>-0.8092</v>
      </c>
      <c r="F268" s="2" t="str">
        <f>IFERROR(__xludf.DUMMYFUNCTION("""COMPUTED_VALUE"""),"Negativo")</f>
        <v>Negativo</v>
      </c>
      <c r="G268" s="15">
        <f>IFERROR(__xludf.DUMMYFUNCTION("""COMPUTED_VALUE"""),0.8092)</f>
        <v>0.8092</v>
      </c>
      <c r="H268" s="2" t="str">
        <f>IFERROR(__xludf.DUMMYFUNCTION("""COMPUTED_VALUE"""),"Accidente de tránsito o choque vial")</f>
        <v>Accidente de tránsito o choque vial</v>
      </c>
      <c r="I268" s="2" t="str">
        <f>IFERROR(__xludf.DUMMYFUNCTION("""COMPUTED_VALUE"""),"choque")</f>
        <v>choque</v>
      </c>
      <c r="J268" s="2" t="str">
        <f>IFERROR(__xludf.DUMMYFUNCTION("""COMPUTED_VALUE"""),"Soporte DRV: Seguros/Guía post-siniestro.")</f>
        <v>Soporte DRV: Seguros/Guía post-siniestro.</v>
      </c>
      <c r="K268" s="2" t="str">
        <f>IFERROR(__xludf.DUMMYFUNCTION("""COMPUTED_VALUE"""),"Ciudad de México")</f>
        <v>Ciudad de México</v>
      </c>
      <c r="L268" s="2" t="str">
        <f>IFERROR(__xludf.DUMMYFUNCTION("""COMPUTED_VALUE"""),"Ciudad de México")</f>
        <v>Ciudad de México</v>
      </c>
      <c r="M268" s="16" t="str">
        <f>IFERROR(__xludf.DUMMYFUNCTION("""COMPUTED_VALUE"""),"https://www.tvazteca.com/aztecanoticias/choque-san-antonio-abad-hoy-muere-chofer-taxi-cdmx-y-rescatan-perro-accidente/")</f>
        <v>https://www.tvazteca.com/aztecanoticias/choque-san-antonio-abad-hoy-muere-chofer-taxi-cdmx-y-rescatan-perro-accidente/</v>
      </c>
      <c r="N268" s="2" t="str">
        <f>IFERROR(__xludf.DUMMYFUNCTION("""COMPUTED_VALUE"""),"Unchoque fatalregistrado en plenaNavidaddesató unaemergenciadeúltima horaen laCDMX, luego de que unTaxise impactara contra una palmera y terminara en volcadura, provocando lamuerte del conductory un fuertecaos vial. El accidente ocurrió sobre la calzadaSa"&amp;"n Antonio Abad, en la alcaldía Cuauhtémoc, activando una alerta para los cuerpos de rescate en uno de los corredores más transitados de la capital. De acuerdo con los primeros reportes, eltaxi de la CDMXcirculaba a la altura del cruce conJosé T. Cuéllar,e"&amp;"n lacolonia Obrera, cuando el conductor perdió el control, se impactó violentamente ysufrió unavolcadura. La fuerza delchoqueen calles de laCDMXprovocó que el chofer fuera eyectado del vehículo, perdiendo la vida de manera inmediata. Servicios de emergenc"&amp;"ia confirmaron el fallecimiento en el lugar del accidente. Al interior del taxi, además del conductor, viajaba un perro que quedó prensado entre los fierros tras lavolcadura.Elementos del Heroico Cuerpo de Bomberos de la CDMX realizaron maniobras de resca"&amp;"te y lograron liberar con vida al animal, una escena que conmovió a testigos del choque ocurrido en plena madrugada deNavidad. TAMBIÉN TE PUEDE INTERESAR:CAOS VIAL EN NAVIDAD: ¡APARATOSO CHOQUE EN CDMX! AUTO CON JÓVENES SALE DISPARADO A DESNIVEL DE OCEANÍ"&amp;"A Estechoqueno fue el único accidente que generócaosen laCDMXdurante este 25 de diciembre. En laalcaldía Venustiano Carranza, otro percance terminó en volcadura y caída a desnivel sobre avenidaOceanía, a la altura de la coloniaRomero Rubio, lo que activó "&amp;"una nuevaemergenciaymovilización policiaca. En ese accidente, ocurridohoy 25 de diciembre, un vehículo perdió el control tras un choque con otro automóvil, salió del camino y cayó a un desnivel. Cuatro personas viajaban a bordo; dos jóvenes resultaron les"&amp;"ionados y fueron trasladados alHospital General de Balbuena. Aunque el choque en la CDMX fue aparatoso, no se reportaron víctimas mortales. Autoridades acordonaron ambas zonas para permitir el retiro de los vehículos siniestrados. Los choques, volcaduras "&amp;"y accidentes registrados duranteNavidadencendieron la alerta en laCDMX, donde continúan las investigaciones para deslindar responsabilidades.")</f>
        <v>Unchoque fatalregistrado en plenaNavidaddesató unaemergenciadeúltima horaen laCDMX, luego de que unTaxise impactara contra una palmera y terminara en volcadura, provocando lamuerte del conductory un fuertecaos vial. El accidente ocurrió sobre la calzadaSan Antonio Abad, en la alcaldía Cuauhtémoc, activando una alerta para los cuerpos de rescate en uno de los corredores más transitados de la capital. De acuerdo con los primeros reportes, eltaxi de la CDMXcirculaba a la altura del cruce conJosé T. Cuéllar,en lacolonia Obrera, cuando el conductor perdió el control, se impactó violentamente ysufrió unavolcadura. La fuerza delchoqueen calles de laCDMXprovocó que el chofer fuera eyectado del vehículo, perdiendo la vida de manera inmediata. Servicios de emergencia confirmaron el fallecimiento en el lugar del accidente. Al interior del taxi, además del conductor, viajaba un perro que quedó prensado entre los fierros tras lavolcadura.Elementos del Heroico Cuerpo de Bomberos de la CDMX realizaron maniobras de rescate y lograron liberar con vida al animal, una escena que conmovió a testigos del choque ocurrido en plena madrugada deNavidad. TAMBIÉN TE PUEDE INTERESAR:CAOS VIAL EN NAVIDAD: ¡APARATOSO CHOQUE EN CDMX! AUTO CON JÓVENES SALE DISPARADO A DESNIVEL DE OCEANÍA Estechoqueno fue el único accidente que generócaosen laCDMXdurante este 25 de diciembre. En laalcaldía Venustiano Carranza, otro percance terminó en volcadura y caída a desnivel sobre avenidaOceanía, a la altura de la coloniaRomero Rubio, lo que activó una nuevaemergenciaymovilización policiaca. En ese accidente, ocurridohoy 25 de diciembre, un vehículo perdió el control tras un choque con otro automóvil, salió del camino y cayó a un desnivel. Cuatro personas viajaban a bordo; dos jóvenes resultaron lesionados y fueron trasladados alHospital General de Balbuena. Aunque el choque en la CDMX fue aparatoso, no se reportaron víctimas mortales. Autoridades acordonaron ambas zonas para permitir el retiro de los vehículos siniestrados. Los choques, volcaduras y accidentes registrados duranteNavidadencendieron la alerta en laCDMX, donde continúan las investigaciones para deslindar responsabilidades.</v>
      </c>
      <c r="O268" s="15">
        <f>IFERROR(__xludf.DUMMYFUNCTION("""COMPUTED_VALUE"""),1.0)</f>
        <v>1</v>
      </c>
      <c r="P268" s="2"/>
      <c r="Q268" s="17">
        <f>IFERROR(__xludf.DUMMYFUNCTION("""COMPUTED_VALUE"""),6.0)</f>
        <v>6</v>
      </c>
      <c r="R268" s="2" t="str">
        <f>IFERROR(__xludf.DUMMYFUNCTION("""COMPUTED_VALUE"""),"High")</f>
        <v>High</v>
      </c>
      <c r="S268" s="17">
        <f>IFERROR(__xludf.DUMMYFUNCTION("""COMPUTED_VALUE"""),2.0)</f>
        <v>2</v>
      </c>
      <c r="T268" s="17">
        <f>IFERROR(__xludf.DUMMYFUNCTION("""COMPUTED_VALUE"""),0.0)</f>
        <v>0</v>
      </c>
      <c r="U268" s="14">
        <f>IFERROR(__xludf.DUMMYFUNCTION("""COMPUTED_VALUE"""),3.0)</f>
        <v>3</v>
      </c>
      <c r="V268" s="14">
        <v>2025.0</v>
      </c>
      <c r="W268" s="2" t="s">
        <v>1168</v>
      </c>
      <c r="X268" s="2" t="s">
        <v>1201</v>
      </c>
      <c r="Y268" s="13" t="s">
        <v>1034</v>
      </c>
      <c r="Z268" s="14">
        <v>0.0</v>
      </c>
      <c r="AA268" s="14">
        <v>0.0</v>
      </c>
      <c r="AB268" s="14">
        <v>0.0</v>
      </c>
      <c r="AC268" s="14">
        <v>0.0</v>
      </c>
      <c r="AD268" s="2">
        <v>0.0</v>
      </c>
      <c r="AE268" s="2">
        <v>1.0</v>
      </c>
      <c r="AF268" s="2">
        <v>12.0</v>
      </c>
      <c r="AG268" s="2" t="s">
        <v>1175</v>
      </c>
      <c r="AH268" s="2">
        <v>0.0</v>
      </c>
    </row>
    <row r="269" ht="15.75" customHeight="1">
      <c r="A269" s="2" t="str">
        <f>IFERROR(__xludf.DUMMYFUNCTION("""COMPUTED_VALUE"""),"TV Azteca")</f>
        <v>TV Azteca</v>
      </c>
      <c r="B269" s="12" t="str">
        <f>IFERROR(__xludf.DUMMYFUNCTION("""COMPUTED_VALUE"""),"Caos vial en Navidad: ¡Aparatoso choque en CDMX! Auto con jóvenes sale disparado a desnivel de Oceanía")</f>
        <v>Caos vial en Navidad: ¡Aparatoso choque en CDMX! Auto con jóvenes sale disparado a desnivel de Oceanía</v>
      </c>
      <c r="C269" s="13" t="str">
        <f>IFERROR(__xludf.DUMMYFUNCTION("""COMPUTED_VALUE"""),"2025-12-25 14:02:50")</f>
        <v>2025-12-25 14:02:50</v>
      </c>
      <c r="D269" s="14">
        <f>IFERROR(__xludf.DUMMYFUNCTION("""COMPUTED_VALUE"""),2.0)</f>
        <v>2</v>
      </c>
      <c r="E269" s="15">
        <f>IFERROR(__xludf.DUMMYFUNCTION("""COMPUTED_VALUE"""),-0.7189)</f>
        <v>-0.7189</v>
      </c>
      <c r="F269" s="2" t="str">
        <f>IFERROR(__xludf.DUMMYFUNCTION("""COMPUTED_VALUE"""),"Negativo")</f>
        <v>Negativo</v>
      </c>
      <c r="G269" s="15">
        <f>IFERROR(__xludf.DUMMYFUNCTION("""COMPUTED_VALUE"""),0.7189)</f>
        <v>0.7189</v>
      </c>
      <c r="H269" s="2" t="str">
        <f>IFERROR(__xludf.DUMMYFUNCTION("""COMPUTED_VALUE"""),"Accidente de tránsito o choque vial")</f>
        <v>Accidente de tránsito o choque vial</v>
      </c>
      <c r="I269" s="2" t="str">
        <f>IFERROR(__xludf.DUMMYFUNCTION("""COMPUTED_VALUE"""),"choque")</f>
        <v>choque</v>
      </c>
      <c r="J269" s="2" t="str">
        <f>IFERROR(__xludf.DUMMYFUNCTION("""COMPUTED_VALUE"""),"Soporte DRV: Seguros/Guía post-siniestro.")</f>
        <v>Soporte DRV: Seguros/Guía post-siniestro.</v>
      </c>
      <c r="K269" s="2" t="str">
        <f>IFERROR(__xludf.DUMMYFUNCTION("""COMPUTED_VALUE"""),"Ciudad de México")</f>
        <v>Ciudad de México</v>
      </c>
      <c r="L269" s="2" t="str">
        <f>IFERROR(__xludf.DUMMYFUNCTION("""COMPUTED_VALUE"""),"Ciudad de México")</f>
        <v>Ciudad de México</v>
      </c>
      <c r="M269" s="16" t="str">
        <f>IFERROR(__xludf.DUMMYFUNCTION("""COMPUTED_VALUE"""),"https://www.tvazteca.com/aztecanoticias/choque-cdmx-hoy-volcadura-emergencia-navidad-auto-jovenes-sale-disparado-oceania/")</f>
        <v>https://www.tvazteca.com/aztecanoticias/choque-cdmx-hoy-volcadura-emergencia-navidad-auto-jovenes-sale-disparado-oceania/</v>
      </c>
      <c r="N269" s="2" t="str">
        <f>IFERROR(__xludf.DUMMYFUNCTION("""COMPUTED_VALUE"""),"Elcaos vialvolvió a sacudir a laCDMXmientras la ciudad dormía y celebraba laNavidad 2025, luego deunchoqueque terminó envolcaduray caída a desnivel sobreavenida Oceanía, en laalcaldía Venustiano Carranza. El accidente, ocurridohoy 25 de diciembre, activó "&amp;"unaalerta de emergenciay una intensa movilización de cuerpos de rescate, convirtiéndose en un hecho de última hora que afectó la circulación en esta zona del oriente capitalina. De acuerdo con los primeros reportes, un vehículo particular circulaba sobreO"&amp;"ceaníacuando otro automóvil le cerró el paso de forma repentina. El conductor intentó esquivar el impacto, pero perdió el control y salió proyectado de la vialidad, cayendo a un desnivel en el cruce con la calle Siberia, en la colonia Romero Rubio. Elchoq"&amp;"ueenOceanía, en plenaCDMX, dejó escenas de alto riesgo y obligó al cierre parcial de la avenida. Dentro del automóvil viajaban cuatro personas. Trasel choque, dos jóvenes resultaron lesionados: un menor de 16 años y otro de aproximadamente 20, quienes fue"&amp;"ron atendidos por paramédicos en el lugar y trasladados alHospital General de Balbuena. Aunque el accidente en Oceanía fue aparatoso, ambos se reportaron fuera de peligro. Elementos de seguridad acordonaron la zona para facilitar las maniobras de rescate "&amp;"y el retiro del vehículo siniestrado. Elchoqueen laCDMXprovocó afectaciones viales durante varias horas, mientras autoridades iniciaron las investigaciones para determinar responsabilidades. Hasta el momento, no se reportan personas detenidas por este acc"&amp;"idente registrado enOceanía. A pocos kilómetros delchoqueenOceanía, laNavidaden laCDMXse vivió de otra forma. Afuera de hospitales, familiares de pacientes pasaron la noche en vigilia, esperando noticias en medio de la preocupación. Algunos llevaban horas"&amp;"; otros, días sin volver a casa. TAMBIÉN TE PUEDE INTERESAR:¡CAOS EN PERIFÉRICO SUR POR CHOQUE! CIERRAN LATERAL POR EMERGENCIA TRAS APARATOSA VOLCADURA| MIENTRAS DORMÍA En este escenario,ciudadanos y voluntariosdecidieron cambiar su cena navideña por sali"&amp;"r a las calles con ollas de pozole, atole y comida caliente. Recorrieron hospitales ofreciendo alimento y consuelo a quienes enfrentaban una noche difícil; no hubo preguntas ni condiciones, solo apoyo. Así, mientras el choque enOceaníarecordaba lo frágil "&amp;"que puede ser la vida en laCDMX, gestos solidarios demostraron que incluso en medio de una emergencia, laNavidadtambién puede significar esperanza y humanidad.")</f>
        <v>Elcaos vialvolvió a sacudir a laCDMXmientras la ciudad dormía y celebraba laNavidad 2025, luego deunchoqueque terminó envolcaduray caída a desnivel sobreavenida Oceanía, en laalcaldía Venustiano Carranza. El accidente, ocurridohoy 25 de diciembre, activó unaalerta de emergenciay una intensa movilización de cuerpos de rescate, convirtiéndose en un hecho de última hora que afectó la circulación en esta zona del oriente capitalina. De acuerdo con los primeros reportes, un vehículo particular circulaba sobreOceaníacuando otro automóvil le cerró el paso de forma repentina. El conductor intentó esquivar el impacto, pero perdió el control y salió proyectado de la vialidad, cayendo a un desnivel en el cruce con la calle Siberia, en la colonia Romero Rubio. ElchoqueenOceanía, en plenaCDMX, dejó escenas de alto riesgo y obligó al cierre parcial de la avenida. Dentro del automóvil viajaban cuatro personas. Trasel choque, dos jóvenes resultaron lesionados: un menor de 16 años y otro de aproximadamente 20, quienes fueron atendidos por paramédicos en el lugar y trasladados alHospital General de Balbuena. Aunque el accidente en Oceanía fue aparatoso, ambos se reportaron fuera de peligro. Elementos de seguridad acordonaron la zona para facilitar las maniobras de rescate y el retiro del vehículo siniestrado. Elchoqueen laCDMXprovocó afectaciones viales durante varias horas, mientras autoridades iniciaron las investigaciones para determinar responsabilidades. Hasta el momento, no se reportan personas detenidas por este accidente registrado enOceanía. A pocos kilómetros delchoqueenOceanía, laNavidaden laCDMXse vivió de otra forma. Afuera de hospitales, familiares de pacientes pasaron la noche en vigilia, esperando noticias en medio de la preocupación. Algunos llevaban horas; otros, días sin volver a casa. TAMBIÉN TE PUEDE INTERESAR:¡CAOS EN PERIFÉRICO SUR POR CHOQUE! CIERRAN LATERAL POR EMERGENCIA TRAS APARATOSA VOLCADURA| MIENTRAS DORMÍA En este escenario,ciudadanos y voluntariosdecidieron cambiar su cena navideña por salir a las calles con ollas de pozole, atole y comida caliente. Recorrieron hospitales ofreciendo alimento y consuelo a quienes enfrentaban una noche difícil; no hubo preguntas ni condiciones, solo apoyo. Así, mientras el choque enOceaníarecordaba lo frágil que puede ser la vida en laCDMX, gestos solidarios demostraron que incluso en medio de una emergencia, laNavidadtambién puede significar esperanza y humanidad.</v>
      </c>
      <c r="O269" s="15">
        <f>IFERROR(__xludf.DUMMYFUNCTION("""COMPUTED_VALUE"""),1.0)</f>
        <v>1</v>
      </c>
      <c r="P269" s="2"/>
      <c r="Q269" s="17">
        <f>IFERROR(__xludf.DUMMYFUNCTION("""COMPUTED_VALUE"""),3.0)</f>
        <v>3</v>
      </c>
      <c r="R269" s="2" t="str">
        <f>IFERROR(__xludf.DUMMYFUNCTION("""COMPUTED_VALUE"""),"Low")</f>
        <v>Low</v>
      </c>
      <c r="S269" s="17">
        <f>IFERROR(__xludf.DUMMYFUNCTION("""COMPUTED_VALUE"""),0.0)</f>
        <v>0</v>
      </c>
      <c r="T269" s="17">
        <f>IFERROR(__xludf.DUMMYFUNCTION("""COMPUTED_VALUE"""),0.0)</f>
        <v>0</v>
      </c>
      <c r="U269" s="14">
        <f>IFERROR(__xludf.DUMMYFUNCTION("""COMPUTED_VALUE"""),3.0)</f>
        <v>3</v>
      </c>
      <c r="V269" s="14">
        <v>2025.0</v>
      </c>
      <c r="W269" s="2" t="s">
        <v>1168</v>
      </c>
      <c r="X269" s="2" t="s">
        <v>1201</v>
      </c>
      <c r="Y269" s="13" t="s">
        <v>1038</v>
      </c>
      <c r="Z269" s="14">
        <v>0.0</v>
      </c>
      <c r="AA269" s="14">
        <v>0.0</v>
      </c>
      <c r="AB269" s="14">
        <v>0.0</v>
      </c>
      <c r="AC269" s="14">
        <v>0.0</v>
      </c>
      <c r="AD269" s="2">
        <v>0.0</v>
      </c>
      <c r="AE269" s="2">
        <v>0.0</v>
      </c>
      <c r="AF269" s="2">
        <v>12.0</v>
      </c>
      <c r="AG269" s="2" t="s">
        <v>1175</v>
      </c>
      <c r="AH269" s="2">
        <v>0.0</v>
      </c>
    </row>
    <row r="270" ht="15.75" customHeight="1">
      <c r="A270" s="2" t="str">
        <f>IFERROR(__xludf.DUMMYFUNCTION("""COMPUTED_VALUE"""),"TV Azteca")</f>
        <v>TV Azteca</v>
      </c>
      <c r="B270" s="12" t="str">
        <f>IFERROR(__xludf.DUMMYFUNCTION("""COMPUTED_VALUE"""),"¡Buscan esta camioneta! Revelan video del fatal atropellamiento en la ZMG; el conductor mató a una niña y huyó")</f>
        <v>¡Buscan esta camioneta! Revelan video del fatal atropellamiento en la ZMG; el conductor mató a una niña y huyó</v>
      </c>
      <c r="C270" s="13" t="str">
        <f>IFERROR(__xludf.DUMMYFUNCTION("""COMPUTED_VALUE"""),"2025-12-24 20:29:33")</f>
        <v>2025-12-24 20:29:33</v>
      </c>
      <c r="D270" s="14">
        <f>IFERROR(__xludf.DUMMYFUNCTION("""COMPUTED_VALUE"""),2.0)</f>
        <v>2</v>
      </c>
      <c r="E270" s="15">
        <f>IFERROR(__xludf.DUMMYFUNCTION("""COMPUTED_VALUE"""),-0.7218)</f>
        <v>-0.7218</v>
      </c>
      <c r="F270" s="2" t="str">
        <f>IFERROR(__xludf.DUMMYFUNCTION("""COMPUTED_VALUE"""),"Negativo")</f>
        <v>Negativo</v>
      </c>
      <c r="G270" s="15">
        <f>IFERROR(__xludf.DUMMYFUNCTION("""COMPUTED_VALUE"""),0.7218)</f>
        <v>0.7218</v>
      </c>
      <c r="H270" s="2" t="str">
        <f>IFERROR(__xludf.DUMMYFUNCTION("""COMPUTED_VALUE"""),"Accidente de tránsito o choque vial")</f>
        <v>Accidente de tránsito o choque vial</v>
      </c>
      <c r="I270" s="2" t="str">
        <f>IFERROR(__xludf.DUMMYFUNCTION("""COMPUTED_VALUE"""),"atropellamiento")</f>
        <v>atropellamiento</v>
      </c>
      <c r="J270" s="2" t="str">
        <f>IFERROR(__xludf.DUMMYFUNCTION("""COMPUTED_VALUE"""),"Soporte DRV: Seguros/Guía post-siniestro.")</f>
        <v>Soporte DRV: Seguros/Guía post-siniestro.</v>
      </c>
      <c r="K270" s="2" t="str">
        <f>IFERROR(__xludf.DUMMYFUNCTION("""COMPUTED_VALUE"""),"Guadalajara")</f>
        <v>Guadalajara</v>
      </c>
      <c r="L270" s="2" t="str">
        <f>IFERROR(__xludf.DUMMYFUNCTION("""COMPUTED_VALUE"""),"Jalisco")</f>
        <v>Jalisco</v>
      </c>
      <c r="M270" s="16" t="str">
        <f>IFERROR(__xludf.DUMMYFUNCTION("""COMPUTED_VALUE"""),"https://www.tvazteca.com/aztecanoticias/filtran-video-fatal-accidente-zmg-jalisco-revelan-clip-atropellamiento-mortal-tonala/")</f>
        <v>https://www.tvazteca.com/aztecanoticias/filtran-video-fatal-accidente-zmg-jalisco-revelan-clip-atropellamiento-mortal-tonala/</v>
      </c>
      <c r="N270" s="2" t="str">
        <f>IFERROR(__xludf.DUMMYFUNCTION("""COMPUTED_VALUE"""),"Unaalertayemergenciase mantieneactivaen laZona Metropolitana de Guadalajara (ZMG), Jalisco, luego de que se revelara elvideodelatropellamientoque terminó con la vida de una niña de nueve años enTonalá. Las imágenes, difundidas este martes, muestran elmome"&amp;"nto exactode latragediay son clave para ubicar al vehículo responsable, cuyo conductor huyó tras el impacto. El video, captado por una cámara de seguridad de un comercio en la coloniaSan Gaspar,exhibe cómo una madre y sus hijas intentan cruzar la avenidaT"&amp;"onaltecascuando una camioneta negra circula a alta velocidad. El atropellamiento ocurre en segundos: la madre es proyectada y la niña es arrollada, perdiendo la vida de manera instantánea; el conductor no se detuvo y escapó, lo que desató indignaciónen la"&amp;" ZMG. De acuerdo con los reportes, el atropellamiento ocurrió la noche del lunes 22 de diciembre, alrededor de las 21:55 horas. Paramédicos de la Cruz Verde atendieron la emergencia y confirmaron que la niña ya no contaba con signos vitales. Su madre, de "&amp;"33 años, fue trasladada de urgencia con fracturas expuestas en ambas piernas a un hospital de tercer nivelenGuadalajara. Este video se convirtió en una pieza clave para las investigaciones, ya que permite observar características del vehículo involucrado "&amp;"en el atropellamiento, así como la ruta de escape. Autoridades deJaliscoconfirmaron que ya se revisan cámaras delC5para reforzar el análisis del material. TAMBIÉN TE PUEDE INTERESAR:TRÁGICO ACCIDENTE EN LA ZMG: CONDUCTOR SE PASA EL ALTO, MATA A UNA NIÑA, "&amp;"DEJA A SU MADRE GRAVE Y HUYE HOY 23 DE DICIEMBRE La difusión del video busca que la ciudadanía ayude a identificar la camioneta implicada en este atropellamiento que enluta a una familia de la ZMG. El caso mantiene a Tonalá en alerta, mientras continúan l"&amp;"as diligencias para localizar al conductor que provocó la tragedia y abandonó a la niña y a su madre tras el impacto. Las autoridades reiteraron el llamado a aportar información que ayude a esclarecer este atropellamiento, uno de los hechos viales más gra"&amp;"ves registrados recientemente en laZona Metropolitana de Guadalajara.")</f>
        <v>Unaalertayemergenciase mantieneactivaen laZona Metropolitana de Guadalajara (ZMG), Jalisco, luego de que se revelara elvideodelatropellamientoque terminó con la vida de una niña de nueve años enTonalá. Las imágenes, difundidas este martes, muestran elmomento exactode latragediay son clave para ubicar al vehículo responsable, cuyo conductor huyó tras el impacto. El video, captado por una cámara de seguridad de un comercio en la coloniaSan Gaspar,exhibe cómo una madre y sus hijas intentan cruzar la avenidaTonaltecascuando una camioneta negra circula a alta velocidad. El atropellamiento ocurre en segundos: la madre es proyectada y la niña es arrollada, perdiendo la vida de manera instantánea; el conductor no se detuvo y escapó, lo que desató indignaciónen la ZMG. De acuerdo con los reportes, el atropellamiento ocurrió la noche del lunes 22 de diciembre, alrededor de las 21:55 horas. Paramédicos de la Cruz Verde atendieron la emergencia y confirmaron que la niña ya no contaba con signos vitales. Su madre, de 33 años, fue trasladada de urgencia con fracturas expuestas en ambas piernas a un hospital de tercer nivelenGuadalajara. Este video se convirtió en una pieza clave para las investigaciones, ya que permite observar características del vehículo involucrado en el atropellamiento, así como la ruta de escape. Autoridades deJaliscoconfirmaron que ya se revisan cámaras delC5para reforzar el análisis del material. TAMBIÉN TE PUEDE INTERESAR:TRÁGICO ACCIDENTE EN LA ZMG: CONDUCTOR SE PASA EL ALTO, MATA A UNA NIÑA, DEJA A SU MADRE GRAVE Y HUYE HOY 23 DE DICIEMBRE La difusión del video busca que la ciudadanía ayude a identificar la camioneta implicada en este atropellamiento que enluta a una familia de la ZMG. El caso mantiene a Tonalá en alerta, mientras continúan las diligencias para localizar al conductor que provocó la tragedia y abandonó a la niña y a su madre tras el impacto. Las autoridades reiteraron el llamado a aportar información que ayude a esclarecer este atropellamiento, uno de los hechos viales más graves registrados recientemente en laZona Metropolitana de Guadalajara.</v>
      </c>
      <c r="O270" s="15">
        <f>IFERROR(__xludf.DUMMYFUNCTION("""COMPUTED_VALUE"""),1.0)</f>
        <v>1</v>
      </c>
      <c r="P270" s="2"/>
      <c r="Q270" s="17">
        <f>IFERROR(__xludf.DUMMYFUNCTION("""COMPUTED_VALUE"""),5.0)</f>
        <v>5</v>
      </c>
      <c r="R270" s="2" t="str">
        <f>IFERROR(__xludf.DUMMYFUNCTION("""COMPUTED_VALUE"""),"Low")</f>
        <v>Low</v>
      </c>
      <c r="S270" s="17">
        <f>IFERROR(__xludf.DUMMYFUNCTION("""COMPUTED_VALUE"""),0.5)</f>
        <v>0.5</v>
      </c>
      <c r="T270" s="17">
        <f>IFERROR(__xludf.DUMMYFUNCTION("""COMPUTED_VALUE"""),0.0)</f>
        <v>0</v>
      </c>
      <c r="U270" s="14">
        <f>IFERROR(__xludf.DUMMYFUNCTION("""COMPUTED_VALUE"""),3.0)</f>
        <v>3</v>
      </c>
      <c r="V270" s="14">
        <v>2025.0</v>
      </c>
      <c r="W270" s="2" t="s">
        <v>1168</v>
      </c>
      <c r="X270" s="2" t="s">
        <v>1203</v>
      </c>
      <c r="Y270" s="13" t="s">
        <v>1042</v>
      </c>
      <c r="Z270" s="14">
        <v>0.0</v>
      </c>
      <c r="AA270" s="14">
        <v>0.0</v>
      </c>
      <c r="AB270" s="14">
        <v>0.0</v>
      </c>
      <c r="AC270" s="14">
        <v>0.0</v>
      </c>
      <c r="AD270" s="2">
        <v>0.0</v>
      </c>
      <c r="AE270" s="2">
        <v>0.0</v>
      </c>
      <c r="AF270" s="2">
        <v>12.0</v>
      </c>
      <c r="AG270" s="2" t="s">
        <v>1230</v>
      </c>
      <c r="AH270" s="2">
        <v>0.0</v>
      </c>
    </row>
    <row r="271" ht="15.75" customHeight="1">
      <c r="A271" s="2" t="str">
        <f>IFERROR(__xludf.DUMMYFUNCTION("""COMPUTED_VALUE"""),"TV Azteca")</f>
        <v>TV Azteca</v>
      </c>
      <c r="B271" s="12" t="str">
        <f>IFERROR(__xludf.DUMMYFUNCTION("""COMPUTED_VALUE"""),"Choque entre patrulla de policía y camioneta particular en la ZMG termina en pleito, destrozos y caos vial HOY")</f>
        <v>Choque entre patrulla de policía y camioneta particular en la ZMG termina en pleito, destrozos y caos vial HOY</v>
      </c>
      <c r="C271" s="13" t="str">
        <f>IFERROR(__xludf.DUMMYFUNCTION("""COMPUTED_VALUE"""),"2025-12-24 14:38:17")</f>
        <v>2025-12-24 14:38:17</v>
      </c>
      <c r="D271" s="14">
        <f>IFERROR(__xludf.DUMMYFUNCTION("""COMPUTED_VALUE"""),2.0)</f>
        <v>2</v>
      </c>
      <c r="E271" s="15">
        <f>IFERROR(__xludf.DUMMYFUNCTION("""COMPUTED_VALUE"""),-0.7604)</f>
        <v>-0.7604</v>
      </c>
      <c r="F271" s="2" t="str">
        <f>IFERROR(__xludf.DUMMYFUNCTION("""COMPUTED_VALUE"""),"Negativo")</f>
        <v>Negativo</v>
      </c>
      <c r="G271" s="15">
        <f>IFERROR(__xludf.DUMMYFUNCTION("""COMPUTED_VALUE"""),0.7604)</f>
        <v>0.7604</v>
      </c>
      <c r="H271" s="2" t="str">
        <f>IFERROR(__xludf.DUMMYFUNCTION("""COMPUTED_VALUE"""),"Accidente de tránsito o choque vial")</f>
        <v>Accidente de tránsito o choque vial</v>
      </c>
      <c r="I271" s="2" t="str">
        <f>IFERROR(__xludf.DUMMYFUNCTION("""COMPUTED_VALUE"""),"choque")</f>
        <v>choque</v>
      </c>
      <c r="J271" s="2" t="str">
        <f>IFERROR(__xludf.DUMMYFUNCTION("""COMPUTED_VALUE"""),"Soporte DRV: Seguros/Guía post-siniestro.")</f>
        <v>Soporte DRV: Seguros/Guía post-siniestro.</v>
      </c>
      <c r="K271" s="2" t="str">
        <f>IFERROR(__xludf.DUMMYFUNCTION("""COMPUTED_VALUE"""),"Sonora")</f>
        <v>Sonora</v>
      </c>
      <c r="L271" s="2" t="str">
        <f>IFERROR(__xludf.DUMMYFUNCTION("""COMPUTED_VALUE"""),"Sonora")</f>
        <v>Sonora</v>
      </c>
      <c r="M271" s="16" t="str">
        <f>IFERROR(__xludf.DUMMYFUNCTION("""COMPUTED_VALUE"""),"https://www.tvazteca.com/aztecanoticias/accidente-zmg-hoy-fuerte-choque-patrulla-camioneta-golpes-caos-vial-emergencia/")</f>
        <v>https://www.tvazteca.com/aztecanoticias/accidente-zmg-hoy-fuerte-choque-patrulla-camioneta-golpes-caos-vial-emergencia/</v>
      </c>
      <c r="N271" s="2" t="str">
        <f>IFERROR(__xludf.DUMMYFUNCTION("""COMPUTED_VALUE"""),"Unchoque registradodurante la madrugada dehoy 24 de diciembreprovocócaos vial, alarmay una ampliamovilización de emergenciaen laZMGdeJalisco, luego de que una patrulla de policía deGuadalajarase impactara contra una camioneta particular. Elaccidenteocurri"&amp;"ó en un cruce de alta afluencia y derivó en destrozos, cierre parcial de la vialidad y un enfrentamiento entre policías y familiares de los ocupantes del vehículo involucrado. Elaccidentese registró en el cruce de avenidaJavier Minay calleBasilio Vadillo,"&amp;" en lacolonia La Penal, punto donde el choque obligó a detener la circulación durante varias horas. Tras el impacto, se solicitó apoyo inmediato, lo que generó la llegada de más unidades de la patrulla de policía, ambulancias de la Cruz Roja y personal de"&amp;" rescate, reforzando la movilización deemergenciaen laZMG. En la camioneta particular viajaba una familia integrada por un hombre de 34 años, una mujer y un menor de siete años. Tras el accidente, ninguno requirió traslado hospitalario, aunque presentaron"&amp;" golpes leves. En contraste, dos elementos que viajaban en la patrulla de policía resultaron lesionados y fueron llevados a un hospital para su valoración médica, luego del choque. Las causas del choque son motivo de versiones encontradas. Testigos señala"&amp;"ron que lapatrulla de policíahabría cruzado el semáforo sin señales luminosas ni audibles, mientras que laComisaría de Guadalajaraindicó que el conductor de la camioneta presuntamente no respetó la luz roja; será la autoridad vial la que determine la mecá"&amp;"nica del accidente ocurridoen laZMG. TAMBIÉN TE PUEDE INTERESAR:TRÁGICO ACCIDENTE EN LA ZMG: CONDUCTOR SE PASA EL ALTO, MATA A UNA NIÑA, DEJA A SU MADRE GRAVE Y HUYE HOY 23 DE DICIEMBRE Tras el choque, el conductor de la camioneta fue asegurado por policí"&amp;"as, lo que generó un altercado con familiares y personas que se encontraban en el sitio. Hubo gritos e intercambio de golpes, situación que aumentó el caos vial y mantuvo la zona acordonada mientras continuaban los peritajes delaccidenteen laZMG. Las auto"&amp;"ridades informaron que las investigaciones continúan para deslindar responsabilidades por este choque que involucró a una patrulla de policía, registrado hoy 24 de diciembre y que encendió la alerta en el oriente de la ciudad.")</f>
        <v>Unchoque registradodurante la madrugada dehoy 24 de diciembreprovocócaos vial, alarmay una ampliamovilización de emergenciaen laZMGdeJalisco, luego de que una patrulla de policía deGuadalajarase impactara contra una camioneta particular. Elaccidenteocurrió en un cruce de alta afluencia y derivó en destrozos, cierre parcial de la vialidad y un enfrentamiento entre policías y familiares de los ocupantes del vehículo involucrado. Elaccidentese registró en el cruce de avenidaJavier Minay calleBasilio Vadillo, en lacolonia La Penal, punto donde el choque obligó a detener la circulación durante varias horas. Tras el impacto, se solicitó apoyo inmediato, lo que generó la llegada de más unidades de la patrulla de policía, ambulancias de la Cruz Roja y personal de rescate, reforzando la movilización deemergenciaen laZMG. En la camioneta particular viajaba una familia integrada por un hombre de 34 años, una mujer y un menor de siete años. Tras el accidente, ninguno requirió traslado hospitalario, aunque presentaron golpes leves. En contraste, dos elementos que viajaban en la patrulla de policía resultaron lesionados y fueron llevados a un hospital para su valoración médica, luego del choque. Las causas del choque son motivo de versiones encontradas. Testigos señalaron que lapatrulla de policíahabría cruzado el semáforo sin señales luminosas ni audibles, mientras que laComisaría de Guadalajaraindicó que el conductor de la camioneta presuntamente no respetó la luz roja; será la autoridad vial la que determine la mecánica del accidente ocurridoen laZMG. TAMBIÉN TE PUEDE INTERESAR:TRÁGICO ACCIDENTE EN LA ZMG: CONDUCTOR SE PASA EL ALTO, MATA A UNA NIÑA, DEJA A SU MADRE GRAVE Y HUYE HOY 23 DE DICIEMBRE Tras el choque, el conductor de la camioneta fue asegurado por policías, lo que generó un altercado con familiares y personas que se encontraban en el sitio. Hubo gritos e intercambio de golpes, situación que aumentó el caos vial y mantuvo la zona acordonada mientras continuaban los peritajes delaccidenteen laZMG. Las autoridades informaron que las investigaciones continúan para deslindar responsabilidades por este choque que involucró a una patrulla de policía, registrado hoy 24 de diciembre y que encendió la alerta en el oriente de la ciudad.</v>
      </c>
      <c r="O271" s="15">
        <f>IFERROR(__xludf.DUMMYFUNCTION("""COMPUTED_VALUE"""),1.0)</f>
        <v>1</v>
      </c>
      <c r="P271" s="2"/>
      <c r="Q271" s="17">
        <f>IFERROR(__xludf.DUMMYFUNCTION("""COMPUTED_VALUE"""),0.0)</f>
        <v>0</v>
      </c>
      <c r="R271" s="2" t="str">
        <f>IFERROR(__xludf.DUMMYFUNCTION("""COMPUTED_VALUE"""),"Low")</f>
        <v>Low</v>
      </c>
      <c r="S271" s="17">
        <f>IFERROR(__xludf.DUMMYFUNCTION("""COMPUTED_VALUE"""),0.0)</f>
        <v>0</v>
      </c>
      <c r="T271" s="17">
        <f>IFERROR(__xludf.DUMMYFUNCTION("""COMPUTED_VALUE"""),0.0)</f>
        <v>0</v>
      </c>
      <c r="U271" s="14">
        <f>IFERROR(__xludf.DUMMYFUNCTION("""COMPUTED_VALUE"""),3.0)</f>
        <v>3</v>
      </c>
      <c r="V271" s="14">
        <v>2025.0</v>
      </c>
      <c r="W271" s="2" t="s">
        <v>1168</v>
      </c>
      <c r="X271" s="2" t="s">
        <v>1203</v>
      </c>
      <c r="Y271" s="13" t="s">
        <v>1048</v>
      </c>
      <c r="Z271" s="14">
        <v>0.0</v>
      </c>
      <c r="AA271" s="14">
        <v>0.0</v>
      </c>
      <c r="AB271" s="14">
        <v>0.0</v>
      </c>
      <c r="AC271" s="14">
        <v>0.0</v>
      </c>
      <c r="AD271" s="2">
        <v>0.0</v>
      </c>
      <c r="AE271" s="2">
        <v>0.0</v>
      </c>
      <c r="AF271" s="2">
        <v>12.0</v>
      </c>
      <c r="AG271" s="2" t="s">
        <v>1182</v>
      </c>
      <c r="AH271" s="2">
        <v>0.0</v>
      </c>
    </row>
    <row r="272" ht="15.75" customHeight="1">
      <c r="A272" s="2" t="str">
        <f>IFERROR(__xludf.DUMMYFUNCTION("""COMPUTED_VALUE"""),"TV Azteca")</f>
        <v>TV Azteca</v>
      </c>
      <c r="B272" s="12" t="str">
        <f>IFERROR(__xludf.DUMMYFUNCTION("""COMPUTED_VALUE"""),"¡Caos en Periférico Sur por choque! Cierran lateral por emergencia tras aparatosa volcadura| Mientras Dormía")</f>
        <v>¡Caos en Periférico Sur por choque! Cierran lateral por emergencia tras aparatosa volcadura| Mientras Dormía</v>
      </c>
      <c r="C272" s="13" t="str">
        <f>IFERROR(__xludf.DUMMYFUNCTION("""COMPUTED_VALUE"""),"2025-12-24 13:51:07")</f>
        <v>2025-12-24 13:51:07</v>
      </c>
      <c r="D272" s="14">
        <f>IFERROR(__xludf.DUMMYFUNCTION("""COMPUTED_VALUE"""),4.0)</f>
        <v>4</v>
      </c>
      <c r="E272" s="15">
        <f>IFERROR(__xludf.DUMMYFUNCTION("""COMPUTED_VALUE"""),-0.7281)</f>
        <v>-0.7281</v>
      </c>
      <c r="F272" s="2" t="str">
        <f>IFERROR(__xludf.DUMMYFUNCTION("""COMPUTED_VALUE"""),"Negativo")</f>
        <v>Negativo</v>
      </c>
      <c r="G272" s="15">
        <f>IFERROR(__xludf.DUMMYFUNCTION("""COMPUTED_VALUE"""),0.7281)</f>
        <v>0.7281</v>
      </c>
      <c r="H272" s="2" t="str">
        <f>IFERROR(__xludf.DUMMYFUNCTION("""COMPUTED_VALUE"""),"Accidente de tránsito o choque vial")</f>
        <v>Accidente de tránsito o choque vial</v>
      </c>
      <c r="I272" s="2" t="str">
        <f>IFERROR(__xludf.DUMMYFUNCTION("""COMPUTED_VALUE"""),"choque")</f>
        <v>choque</v>
      </c>
      <c r="J272" s="2" t="str">
        <f>IFERROR(__xludf.DUMMYFUNCTION("""COMPUTED_VALUE"""),"Soporte DRV: Seguros/Guía post-siniestro.")</f>
        <v>Soporte DRV: Seguros/Guía post-siniestro.</v>
      </c>
      <c r="K272" s="2" t="str">
        <f>IFERROR(__xludf.DUMMYFUNCTION("""COMPUTED_VALUE"""),"Ciudad Juárez")</f>
        <v>Ciudad Juárez</v>
      </c>
      <c r="L272" s="2" t="str">
        <f>IFERROR(__xludf.DUMMYFUNCTION("""COMPUTED_VALUE"""),"Chihuahua")</f>
        <v>Chihuahua</v>
      </c>
      <c r="M272" s="16" t="str">
        <f>IFERROR(__xludf.DUMMYFUNCTION("""COMPUTED_VALUE"""),"https://www.tvazteca.com/aztecanoticias/fuerte-accidente-periferico-sur-choque-coche-arbol-volcadura-cdmx-benito-juarez/")</f>
        <v>https://www.tvazteca.com/aztecanoticias/fuerte-accidente-periferico-sur-choque-coche-arbol-volcadura-cdmx-benito-juarez/</v>
      </c>
      <c r="N272" s="2" t="str">
        <f>IFERROR(__xludf.DUMMYFUNCTION("""COMPUTED_VALUE"""),"Minutos antes de la medianoche,Mientras Usted Dormía, se registró unfuerte choqueque derivó en unaccidente vialen la lateral delPeriférico Sur,a la altura de la calleJuan Tinoco, en la coloniaMerced Gómez, alcaldíaBenito Juárez. Un vehículo compacto termi"&amp;"nó completamente con las llantas arriba tras unaaparatosa volcaduraal impactar contra un árbol, lo que movilizó a distintos cuerpos de emergencia. De acuerdo con los primeros reportes recabados en el lugar del accidente, el conductor perdió el control de "&amp;"la unidad mientras circulaba por la lateral del periférico sur, lo que provocó el choque contra el árbol y la posterior volcadura. El choque ocurrió cuando la circulación era moderada, por lo que fue necesaria la intervención inmediata de autoridades para"&amp;" evitar mayores riesgos. Al sitio del accidente acudieron elementos de laSecretaría de Seguridad Ciudadana, Bomberos de la Ciudad de Méxicoy personal deProtección Civil. Paramédicos de laCruz Rojabrindaron atención prehospitalaria al conductor en el lugar"&amp;", sin que se reportaran lesiones de gravedad. El percance no involucró a otros vehículos. TAMBIÉN TE PUEDE INTERESAR:¡EMERGENCIA EN EL EDOMEX HOY! VUELCA PIPA DE GAS EN AUTOPISTA PEÑÓN-TEXCOCO Y DESATA CAOS VIAL POR BLOQUEO DE CARRETERA Durante las maniob"&amp;"ras de auxilio, la circulación vehicular en el periférico sur fue cerrada de manera temporal, principalmente desde avenida Barranca del Muerto, con el objetivo de permitir el retiro seguro del automóvil y evitar un nuevo choque. Policías viales implementa"&amp;"ron cortes y desvíos preventivos. Tras varios minutos de trabajo coordinado, el vehículo fue colocado nuevamente en su posición normal y retirado de la zona del choque. Una vez concluidas las labores, la circulación en el periférico sur se restableció de "&amp;"forma gradual. Este accidente se suma a otros percances registrados durante la noche en vialidades de alta velocidad, por lo que autoridades reiteran el llamado a conducir con precaución, especialmente en tramos del periférico sur donde se han reportado c"&amp;"hoques recientes.")</f>
        <v>Minutos antes de la medianoche,Mientras Usted Dormía, se registró unfuerte choqueque derivó en unaccidente vialen la lateral delPeriférico Sur,a la altura de la calleJuan Tinoco, en la coloniaMerced Gómez, alcaldíaBenito Juárez. Un vehículo compacto terminó completamente con las llantas arriba tras unaaparatosa volcaduraal impactar contra un árbol, lo que movilizó a distintos cuerpos de emergencia. De acuerdo con los primeros reportes recabados en el lugar del accidente, el conductor perdió el control de la unidad mientras circulaba por la lateral del periférico sur, lo que provocó el choque contra el árbol y la posterior volcadura. El choque ocurrió cuando la circulación era moderada, por lo que fue necesaria la intervención inmediata de autoridades para evitar mayores riesgos. Al sitio del accidente acudieron elementos de laSecretaría de Seguridad Ciudadana, Bomberos de la Ciudad de Méxicoy personal deProtección Civil. Paramédicos de laCruz Rojabrindaron atención prehospitalaria al conductor en el lugar, sin que se reportaran lesiones de gravedad. El percance no involucró a otros vehículos. TAMBIÉN TE PUEDE INTERESAR:¡EMERGENCIA EN EL EDOMEX HOY! VUELCA PIPA DE GAS EN AUTOPISTA PEÑÓN-TEXCOCO Y DESATA CAOS VIAL POR BLOQUEO DE CARRETERA Durante las maniobras de auxilio, la circulación vehicular en el periférico sur fue cerrada de manera temporal, principalmente desde avenida Barranca del Muerto, con el objetivo de permitir el retiro seguro del automóvil y evitar un nuevo choque. Policías viales implementaron cortes y desvíos preventivos. Tras varios minutos de trabajo coordinado, el vehículo fue colocado nuevamente en su posición normal y retirado de la zona del choque. Una vez concluidas las labores, la circulación en el periférico sur se restableció de forma gradual. Este accidente se suma a otros percances registrados durante la noche en vialidades de alta velocidad, por lo que autoridades reiteran el llamado a conducir con precaución, especialmente en tramos del periférico sur donde se han reportado choques recientes.</v>
      </c>
      <c r="O272" s="15">
        <f>IFERROR(__xludf.DUMMYFUNCTION("""COMPUTED_VALUE"""),1.0)</f>
        <v>1</v>
      </c>
      <c r="P272" s="2"/>
      <c r="Q272" s="17">
        <f>IFERROR(__xludf.DUMMYFUNCTION("""COMPUTED_VALUE"""),3.0)</f>
        <v>3</v>
      </c>
      <c r="R272" s="2" t="str">
        <f>IFERROR(__xludf.DUMMYFUNCTION("""COMPUTED_VALUE"""),"Medium")</f>
        <v>Medium</v>
      </c>
      <c r="S272" s="17">
        <f>IFERROR(__xludf.DUMMYFUNCTION("""COMPUTED_VALUE"""),3.0)</f>
        <v>3</v>
      </c>
      <c r="T272" s="17">
        <f>IFERROR(__xludf.DUMMYFUNCTION("""COMPUTED_VALUE"""),0.0)</f>
        <v>0</v>
      </c>
      <c r="U272" s="14">
        <f>IFERROR(__xludf.DUMMYFUNCTION("""COMPUTED_VALUE"""),3.0)</f>
        <v>3</v>
      </c>
      <c r="V272" s="14">
        <v>2025.0</v>
      </c>
      <c r="W272" s="2" t="s">
        <v>1168</v>
      </c>
      <c r="X272" s="2" t="s">
        <v>1203</v>
      </c>
      <c r="Y272" s="13" t="s">
        <v>1052</v>
      </c>
      <c r="Z272" s="14">
        <v>0.0</v>
      </c>
      <c r="AA272" s="14">
        <v>0.0</v>
      </c>
      <c r="AB272" s="14">
        <v>0.0</v>
      </c>
      <c r="AC272" s="14">
        <v>0.0</v>
      </c>
      <c r="AD272" s="2">
        <v>0.0</v>
      </c>
      <c r="AE272" s="2">
        <v>1.0</v>
      </c>
      <c r="AF272" s="2">
        <v>12.0</v>
      </c>
      <c r="AG272" s="2" t="s">
        <v>1187</v>
      </c>
      <c r="AH272" s="2">
        <v>0.0</v>
      </c>
    </row>
    <row r="273" ht="15.75" customHeight="1">
      <c r="A273" s="2" t="str">
        <f>IFERROR(__xludf.DUMMYFUNCTION("""COMPUTED_VALUE"""),"TV Azteca")</f>
        <v>TV Azteca</v>
      </c>
      <c r="B273" s="12" t="str">
        <f>IFERROR(__xludf.DUMMYFUNCTION("""COMPUTED_VALUE"""),"Reportan incendio en la Colonia Hacienda del Jardín, Tultepec; desalojan viviendas")</f>
        <v>Reportan incendio en la Colonia Hacienda del Jardín, Tultepec; desalojan viviendas</v>
      </c>
      <c r="C273" s="13" t="str">
        <f>IFERROR(__xludf.DUMMYFUNCTION("""COMPUTED_VALUE"""),"2025-12-24 04:13:07")</f>
        <v>2025-12-24 04:13:07</v>
      </c>
      <c r="D273" s="14">
        <f>IFERROR(__xludf.DUMMYFUNCTION("""COMPUTED_VALUE"""),3.0)</f>
        <v>3</v>
      </c>
      <c r="E273" s="15">
        <f>IFERROR(__xludf.DUMMYFUNCTION("""COMPUTED_VALUE"""),-0.4811)</f>
        <v>-0.4811</v>
      </c>
      <c r="F273" s="2" t="str">
        <f>IFERROR(__xludf.DUMMYFUNCTION("""COMPUTED_VALUE"""),"Negativo")</f>
        <v>Negativo</v>
      </c>
      <c r="G273" s="15">
        <f>IFERROR(__xludf.DUMMYFUNCTION("""COMPUTED_VALUE"""),0.4811)</f>
        <v>0.4811</v>
      </c>
      <c r="H273" s="2" t="str">
        <f>IFERROR(__xludf.DUMMYFUNCTION("""COMPUTED_VALUE"""),"Protestas o bloqueos viales")</f>
        <v>Protestas o bloqueos viales</v>
      </c>
      <c r="I273" s="2" t="str">
        <f>IFERROR(__xludf.DUMMYFUNCTION("""COMPUTED_VALUE"""),"N/A")</f>
        <v>N/A</v>
      </c>
      <c r="J273" s="2" t="str">
        <f>IFERROR(__xludf.DUMMYFUNCTION("""COMPUTED_VALUE"""),"Operaciones: Notificar zonas a evitar (Waze/Maps).")</f>
        <v>Operaciones: Notificar zonas a evitar (Waze/Maps).</v>
      </c>
      <c r="K273" s="2" t="str">
        <f>IFERROR(__xludf.DUMMYFUNCTION("""COMPUTED_VALUE"""),"Estado de México")</f>
        <v>Estado de México</v>
      </c>
      <c r="L273" s="2" t="str">
        <f>IFERROR(__xludf.DUMMYFUNCTION("""COMPUTED_VALUE"""),"Estado de México")</f>
        <v>Estado de México</v>
      </c>
      <c r="M273" s="16" t="str">
        <f>IFERROR(__xludf.DUMMYFUNCTION("""COMPUTED_VALUE"""),"https://www.tvazteca.com/aztecanoticias/incendio-en-colonia-hacienda-del-jardin-tultepec-desalojan-viviendas/")</f>
        <v>https://www.tvazteca.com/aztecanoticias/incendio-en-colonia-hacienda-del-jardin-tultepec-desalojan-viviendas/</v>
      </c>
      <c r="N273" s="2" t="str">
        <f>IFERROR(__xludf.DUMMYFUNCTION("""COMPUTED_VALUE"""),"La noche de este martes 23 de diciembre, se registró un incendio en elfraccionamiento Hacienda del Jardín Dos, en elmunicipio de Tultepec, Estado de México (Edomex), dondetubos de drenajeque se encontraban en el lugar ardieron en su totalidad, generando u"&amp;"na intensa movilización de cuerpos de emergencia. De acuerdo con el reporte preliminar, al sitio acudieron elementos delCuerpo de Bomberos de Tultepec, así como de municipios vecinos, quienes trabajaron de manera coordinada para combatir y sofocar las lla"&amp;"mas. El fuerteincendioprovocó preocupación entre los habitantes de la zona debido a la cercanía del fuego con viviendas. Como medida preventiva,vecinos de casas aledañas fueron desalojados durante el desarrollo de la emergencia,con el objetivo de salvagua"&amp;"rdar su integridad ante la propagación delfuego y el humo generado por la combustión de los materiales. Tras varios minutos de labores, los bomberos lograron controlar y finalmente sofocar el incendio, evitando que se extendiera a otras áreas del fraccion"&amp;"amiento. Una vez eliminados los riesgos, la situación fue controlada en el lugar. Autoridades informaron que, pese a la magnitud del siniestro, no se reportaron personas lesionadas.Hasta el momento no se han dado a conocer las causas que originaron el inc"&amp;"endio ni si se registraron daños adicionales, por lo que se espera que las autoridades correspondientes continúen con las revisiones en la zona. El pasadodomingo21 de diciembre, se vivieron momentos decaosyalarmatras registrarseunaexplosióndentro de untia"&amp;"nguis instaladosobre laavenida Pedregal, al poniente deMorelia. Esto sucedió, luego de que un puesto de pirotecnia estallara de forma repentina, provocando pánico entre comerciantes y visitantes; el incidente activó una movilización deemergencia, aunque a"&amp;"utoridades confirmaron que no hubo personas lesionadas. Las autoridades informaron que, al momento de la revisión, únicamente se localizaron restos de la pirotecnia sin detonar y las mesas utilizadas para su comercialización; el presunto responsable del p"&amp;"uesto involucrado en la explosión no fue localizado en el lugar.")</f>
        <v>La noche de este martes 23 de diciembre, se registró un incendio en elfraccionamiento Hacienda del Jardín Dos, en elmunicipio de Tultepec, Estado de México (Edomex), dondetubos de drenajeque se encontraban en el lugar ardieron en su totalidad, generando una intensa movilización de cuerpos de emergencia. De acuerdo con el reporte preliminar, al sitio acudieron elementos delCuerpo de Bomberos de Tultepec, así como de municipios vecinos, quienes trabajaron de manera coordinada para combatir y sofocar las llamas. El fuerteincendioprovocó preocupación entre los habitantes de la zona debido a la cercanía del fuego con viviendas. Como medida preventiva,vecinos de casas aledañas fueron desalojados durante el desarrollo de la emergencia,con el objetivo de salvaguardar su integridad ante la propagación delfuego y el humo generado por la combustión de los materiales. Tras varios minutos de labores, los bomberos lograron controlar y finalmente sofocar el incendio, evitando que se extendiera a otras áreas del fraccionamiento. Una vez eliminados los riesgos, la situación fue controlada en el lugar. Autoridades informaron que, pese a la magnitud del siniestro, no se reportaron personas lesionadas.Hasta el momento no se han dado a conocer las causas que originaron el incendio ni si se registraron daños adicionales, por lo que se espera que las autoridades correspondientes continúen con las revisiones en la zona. El pasadodomingo21 de diciembre, se vivieron momentos decaosyalarmatras registrarseunaexplosióndentro de untianguis instaladosobre laavenida Pedregal, al poniente deMorelia. Esto sucedió, luego de que un puesto de pirotecnia estallara de forma repentina, provocando pánico entre comerciantes y visitantes; el incidente activó una movilización deemergencia, aunque autoridades confirmaron que no hubo personas lesionadas. Las autoridades informaron que, al momento de la revisión, únicamente se localizaron restos de la pirotecnia sin detonar y las mesas utilizadas para su comercialización; el presunto responsable del puesto involucrado en la explosión no fue localizado en el lugar.</v>
      </c>
      <c r="O273" s="15">
        <f>IFERROR(__xludf.DUMMYFUNCTION("""COMPUTED_VALUE"""),0.2675)</f>
        <v>0.2675</v>
      </c>
      <c r="P273" s="2"/>
      <c r="Q273" s="17">
        <f>IFERROR(__xludf.DUMMYFUNCTION("""COMPUTED_VALUE"""),5.0)</f>
        <v>5</v>
      </c>
      <c r="R273" s="2" t="str">
        <f>IFERROR(__xludf.DUMMYFUNCTION("""COMPUTED_VALUE"""),"High")</f>
        <v>High</v>
      </c>
      <c r="S273" s="17">
        <f>IFERROR(__xludf.DUMMYFUNCTION("""COMPUTED_VALUE"""),3.0)</f>
        <v>3</v>
      </c>
      <c r="T273" s="17">
        <f>IFERROR(__xludf.DUMMYFUNCTION("""COMPUTED_VALUE"""),0.0)</f>
        <v>0</v>
      </c>
      <c r="U273" s="14">
        <f>IFERROR(__xludf.DUMMYFUNCTION("""COMPUTED_VALUE"""),3.0)</f>
        <v>3</v>
      </c>
      <c r="V273" s="14">
        <v>2025.0</v>
      </c>
      <c r="W273" s="2" t="s">
        <v>1168</v>
      </c>
      <c r="X273" s="2" t="s">
        <v>1203</v>
      </c>
      <c r="Y273" s="13" t="s">
        <v>1056</v>
      </c>
      <c r="Z273" s="14">
        <v>0.0</v>
      </c>
      <c r="AA273" s="14">
        <v>0.0</v>
      </c>
      <c r="AB273" s="14">
        <v>0.0</v>
      </c>
      <c r="AC273" s="14">
        <v>0.0</v>
      </c>
      <c r="AD273" s="2">
        <v>0.0</v>
      </c>
      <c r="AE273" s="2">
        <v>0.0</v>
      </c>
      <c r="AF273" s="2">
        <v>12.0</v>
      </c>
      <c r="AG273" s="2" t="s">
        <v>1202</v>
      </c>
      <c r="AH273" s="2">
        <v>0.0</v>
      </c>
    </row>
    <row r="274" ht="15.75" customHeight="1">
      <c r="A274" s="2" t="str">
        <f>IFERROR(__xludf.DUMMYFUNCTION("""COMPUTED_VALUE"""),"TV Azteca")</f>
        <v>TV Azteca</v>
      </c>
      <c r="B274" s="12" t="str">
        <f>IFERROR(__xludf.DUMMYFUNCTION("""COMPUTED_VALUE"""),"¡Emergencia en el Edomex HOY! Vuelca pipa de gas en autopista Peñón-Texcoco y desata caos vial por bloqueo de carretera")</f>
        <v>¡Emergencia en el Edomex HOY! Vuelca pipa de gas en autopista Peñón-Texcoco y desata caos vial por bloqueo de carretera</v>
      </c>
      <c r="C274" s="13" t="str">
        <f>IFERROR(__xludf.DUMMYFUNCTION("""COMPUTED_VALUE"""),"2025-12-23 16:39:56")</f>
        <v>2025-12-23 16:39:56</v>
      </c>
      <c r="D274" s="14">
        <f>IFERROR(__xludf.DUMMYFUNCTION("""COMPUTED_VALUE"""),3.0)</f>
        <v>3</v>
      </c>
      <c r="E274" s="15">
        <f>IFERROR(__xludf.DUMMYFUNCTION("""COMPUTED_VALUE"""),-0.897)</f>
        <v>-0.897</v>
      </c>
      <c r="F274" s="2" t="str">
        <f>IFERROR(__xludf.DUMMYFUNCTION("""COMPUTED_VALUE"""),"Negativo")</f>
        <v>Negativo</v>
      </c>
      <c r="G274" s="15">
        <f>IFERROR(__xludf.DUMMYFUNCTION("""COMPUTED_VALUE"""),0.897)</f>
        <v>0.897</v>
      </c>
      <c r="H274" s="2" t="str">
        <f>IFERROR(__xludf.DUMMYFUNCTION("""COMPUTED_VALUE"""),"Protestas o bloqueos viales")</f>
        <v>Protestas o bloqueos viales</v>
      </c>
      <c r="I274" s="2" t="str">
        <f>IFERROR(__xludf.DUMMYFUNCTION("""COMPUTED_VALUE"""),"bloqueo")</f>
        <v>bloqueo</v>
      </c>
      <c r="J274" s="2" t="str">
        <f>IFERROR(__xludf.DUMMYFUNCTION("""COMPUTED_VALUE"""),"Operaciones: Notificar zonas a evitar (Waze/Maps).")</f>
        <v>Operaciones: Notificar zonas a evitar (Waze/Maps).</v>
      </c>
      <c r="K274" s="2" t="str">
        <f>IFERROR(__xludf.DUMMYFUNCTION("""COMPUTED_VALUE"""),"Estado de México")</f>
        <v>Estado de México</v>
      </c>
      <c r="L274" s="2" t="str">
        <f>IFERROR(__xludf.DUMMYFUNCTION("""COMPUTED_VALUE"""),"Estado de México")</f>
        <v>Estado de México</v>
      </c>
      <c r="M274" s="16" t="str">
        <f>IFERROR(__xludf.DUMMYFUNCTION("""COMPUTED_VALUE"""),"https://www.tvazteca.com/aztecanoticias/vuelca-pipa-autopista-penon-texcoco-hoy-edomex-alerta-caos-vial-bloqueo-carretera-cierre/")</f>
        <v>https://www.tvazteca.com/aztecanoticias/vuelca-pipa-autopista-penon-texcoco-hoy-edomex-alerta-caos-vial-bloqueo-carretera-cierre/</v>
      </c>
      <c r="N274" s="2" t="str">
        <f>IFERROR(__xludf.DUMMYFUNCTION("""COMPUTED_VALUE"""),"¡Vuelcaotrapipadegas!Alertadeúltima horaen la autopistaPeñón–Texcocoporaparatoso accidente: Unavolcadurade unapipaque transportabagasdesató caos vial, emergencia y un bloqueo carreteroa la altura delkilómetro 10, con dirección aTexcoco, generando unainten"&amp;"sa movilizacióndecuerpos de auxilioy un severocongestionamiento vehicularen los límites conChimalhuacányNezahualcóyotl. La situación obligó al cierre total de la circulación como medida preventiva ante el riesgo que implicaba la unidad siniestrada. De acu"&amp;"erdo con los primeros reportes, el accidente se originó por exceso de velocidad y falta de precaución del conductor pasando el puente a la desviación aPirámidescon rumbo a laCDMX. La pipa, que se encontraba aproximadamente al 80 por ciento de su capacidad"&amp;", terminó volcada fuera del pavimento. Por lavolcaduraen laautopista Peñón-Texcocono se reportan personas lesionadas ni fuga de gas, pero bomberos y personal deProtección Civil del Estado de Méxicorealizan maniobras de enfriamiento, revisión y preparación"&amp;" para el trasvase del combustible, mientras grúas trabajan para retirar la unidad y restablecer la circulación, que avanza de forma lenta y controlada. TAMBIÉN TE PUEDE INTERESAR:VUELCA Y SE INCENDIA PIPA CON CHAPOPOTE EN CHIAPAS; REPORTAN UNA PERSONA SIN"&amp;" VIDA Lavolcadurade lapipa de de gasocurrió a pocos metros de la caseta de laautopista Peñón–Texcoco, lo que ha permitido que, de manera intermitente, algunos automovilistas, motociclistas y unidades de transporte público avancen con dirección al Libramie"&amp;"nto Periférico y hacia la Ciudad de México, principalmente rumbo al Aeropuerto Internacional. Autoridadesrecomiendan paciencia y sugieren como vía alterna la carretera federal, ya que en los próximos minutos podrían registrarse mayores afectaciones en est"&amp;"a zona del municipio deTexcoco, Estado de México. Los tripulantes de la unidad fueron valorados por paramédicos en el lugar y permanecen a la espera del arribo de las aseguradoras para iniciar el deslinde de responsabilidades. Hasta el momento, las autori"&amp;"dades no han confirmado si la volcadura se debió a exceso de velocidad o a una posible falla mecánica, por lo que las investigaciones continúan.")</f>
        <v>¡Vuelcaotrapipadegas!Alertadeúltima horaen la autopistaPeñón–Texcocoporaparatoso accidente: Unavolcadurade unapipaque transportabagasdesató caos vial, emergencia y un bloqueo carreteroa la altura delkilómetro 10, con dirección aTexcoco, generando unaintensa movilizacióndecuerpos de auxilioy un severocongestionamiento vehicularen los límites conChimalhuacányNezahualcóyotl. La situación obligó al cierre total de la circulación como medida preventiva ante el riesgo que implicaba la unidad siniestrada. De acuerdo con los primeros reportes, el accidente se originó por exceso de velocidad y falta de precaución del conductor pasando el puente a la desviación aPirámidescon rumbo a laCDMX. La pipa, que se encontraba aproximadamente al 80 por ciento de su capacidad, terminó volcada fuera del pavimento. Por lavolcaduraen laautopista Peñón-Texcocono se reportan personas lesionadas ni fuga de gas, pero bomberos y personal deProtección Civil del Estado de Méxicorealizan maniobras de enfriamiento, revisión y preparación para el trasvase del combustible, mientras grúas trabajan para retirar la unidad y restablecer la circulación, que avanza de forma lenta y controlada. TAMBIÉN TE PUEDE INTERESAR:VUELCA Y SE INCENDIA PIPA CON CHAPOPOTE EN CHIAPAS; REPORTAN UNA PERSONA SIN VIDA Lavolcadurade lapipa de de gasocurrió a pocos metros de la caseta de laautopista Peñón–Texcoco, lo que ha permitido que, de manera intermitente, algunos automovilistas, motociclistas y unidades de transporte público avancen con dirección al Libramiento Periférico y hacia la Ciudad de México, principalmente rumbo al Aeropuerto Internacional. Autoridadesrecomiendan paciencia y sugieren como vía alterna la carretera federal, ya que en los próximos minutos podrían registrarse mayores afectaciones en esta zona del municipio deTexcoco, Estado de México. Los tripulantes de la unidad fueron valorados por paramédicos en el lugar y permanecen a la espera del arribo de las aseguradoras para iniciar el deslinde de responsabilidades. Hasta el momento, las autoridades no han confirmado si la volcadura se debió a exceso de velocidad o a una posible falla mecánica, por lo que las investigaciones continúan.</v>
      </c>
      <c r="O274" s="15">
        <f>IFERROR(__xludf.DUMMYFUNCTION("""COMPUTED_VALUE"""),1.0)</f>
        <v>1</v>
      </c>
      <c r="P274" s="2"/>
      <c r="Q274" s="17">
        <f>IFERROR(__xludf.DUMMYFUNCTION("""COMPUTED_VALUE"""),6.0)</f>
        <v>6</v>
      </c>
      <c r="R274" s="2" t="str">
        <f>IFERROR(__xludf.DUMMYFUNCTION("""COMPUTED_VALUE"""),"High")</f>
        <v>High</v>
      </c>
      <c r="S274" s="17">
        <f>IFERROR(__xludf.DUMMYFUNCTION("""COMPUTED_VALUE"""),3.0)</f>
        <v>3</v>
      </c>
      <c r="T274" s="17">
        <f>IFERROR(__xludf.DUMMYFUNCTION("""COMPUTED_VALUE"""),0.0)</f>
        <v>0</v>
      </c>
      <c r="U274" s="14">
        <f>IFERROR(__xludf.DUMMYFUNCTION("""COMPUTED_VALUE"""),3.0)</f>
        <v>3</v>
      </c>
      <c r="V274" s="14">
        <v>2025.0</v>
      </c>
      <c r="W274" s="2" t="s">
        <v>1168</v>
      </c>
      <c r="X274" s="2" t="s">
        <v>1218</v>
      </c>
      <c r="Y274" s="13" t="s">
        <v>1060</v>
      </c>
      <c r="Z274" s="14">
        <v>0.0</v>
      </c>
      <c r="AA274" s="14">
        <v>0.0</v>
      </c>
      <c r="AB274" s="14">
        <v>0.0</v>
      </c>
      <c r="AC274" s="14">
        <v>0.0</v>
      </c>
      <c r="AD274" s="2">
        <v>0.0</v>
      </c>
      <c r="AE274" s="2">
        <v>0.0</v>
      </c>
      <c r="AF274" s="2">
        <v>12.0</v>
      </c>
      <c r="AG274" s="2" t="s">
        <v>1202</v>
      </c>
      <c r="AH274" s="2">
        <v>0.0</v>
      </c>
    </row>
    <row r="275" ht="15.75" customHeight="1">
      <c r="A275" s="2" t="str">
        <f>IFERROR(__xludf.DUMMYFUNCTION("""COMPUTED_VALUE"""),"TV Azteca")</f>
        <v>TV Azteca</v>
      </c>
      <c r="B275" s="12" t="str">
        <f>IFERROR(__xludf.DUMMYFUNCTION("""COMPUTED_VALUE"""),"Trágico accidente en la ZMG: Conductor se pasa el alto, mata a una niña, deja a su madre grave y huye HOY 23 de diciembre")</f>
        <v>Trágico accidente en la ZMG: Conductor se pasa el alto, mata a una niña, deja a su madre grave y huye HOY 23 de diciembre</v>
      </c>
      <c r="C275" s="13" t="str">
        <f>IFERROR(__xludf.DUMMYFUNCTION("""COMPUTED_VALUE"""),"2025-12-23 15:10:08")</f>
        <v>2025-12-23 15:10:08</v>
      </c>
      <c r="D275" s="14">
        <f>IFERROR(__xludf.DUMMYFUNCTION("""COMPUTED_VALUE"""),2.0)</f>
        <v>2</v>
      </c>
      <c r="E275" s="15">
        <f>IFERROR(__xludf.DUMMYFUNCTION("""COMPUTED_VALUE"""),-0.8482)</f>
        <v>-0.8482</v>
      </c>
      <c r="F275" s="2" t="str">
        <f>IFERROR(__xludf.DUMMYFUNCTION("""COMPUTED_VALUE"""),"Negativo")</f>
        <v>Negativo</v>
      </c>
      <c r="G275" s="15">
        <f>IFERROR(__xludf.DUMMYFUNCTION("""COMPUTED_VALUE"""),0.8482)</f>
        <v>0.8482</v>
      </c>
      <c r="H275" s="2" t="str">
        <f>IFERROR(__xludf.DUMMYFUNCTION("""COMPUTED_VALUE"""),"Accidente de tránsito o choque vial")</f>
        <v>Accidente de tránsito o choque vial</v>
      </c>
      <c r="I275" s="2" t="str">
        <f>IFERROR(__xludf.DUMMYFUNCTION("""COMPUTED_VALUE"""),"atropellamiento")</f>
        <v>atropellamiento</v>
      </c>
      <c r="J275" s="2" t="str">
        <f>IFERROR(__xludf.DUMMYFUNCTION("""COMPUTED_VALUE"""),"Soporte DRV: Seguros/Guía post-siniestro.")</f>
        <v>Soporte DRV: Seguros/Guía post-siniestro.</v>
      </c>
      <c r="K275" s="2" t="str">
        <f>IFERROR(__xludf.DUMMYFUNCTION("""COMPUTED_VALUE"""),"Guadalajara")</f>
        <v>Guadalajara</v>
      </c>
      <c r="L275" s="2" t="str">
        <f>IFERROR(__xludf.DUMMYFUNCTION("""COMPUTED_VALUE"""),"Jalisco")</f>
        <v>Jalisco</v>
      </c>
      <c r="M275" s="16" t="str">
        <f>IFERROR(__xludf.DUMMYFUNCTION("""COMPUTED_VALUE"""),"https://www.tvazteca.com/aztecanoticias/fatal-accidente-en-zmg-hoy-conductor-atropella-a-menor-deja-grave-a-su-madre-y-huye/")</f>
        <v>https://www.tvazteca.com/aztecanoticias/fatal-accidente-en-zmg-hoy-conductor-atropella-a-menor-deja-grave-a-su-madre-y-huye/</v>
      </c>
      <c r="N275" s="2" t="str">
        <f>IFERROR(__xludf.DUMMYFUNCTION("""COMPUTED_VALUE"""),"Caos, alertaymovilización de emergenciaen laZona Metropolitana de Guadalajara(ZMG). Unaintensa madrugadamarcada portragedia y accidentessacudió aGuadalajara HOY 23 de diciembre, luego de que un accidente vial enTonalácobrara la vida de una menor y dejara "&amp;"a su madre gravemente herida. El caso activó una fuerte respuesta de cuerpos de auxilio y encendió las alertas en laZMG, donde autoridades atendieron varios percances casi de forma simultánea enGuadalajaray su zona conurbada. De acuerdo con los primeros r"&amp;"eportes, elaccidenteocurrió sobre la avenidaTonal Altec, en la coloniaSan Gaspar de Tonalá, dentro de laZMG; una mujer de 33 años y dos de sus hijas intentaban cruzar la vialidad cuando fueron atropelladas por un vehículo que circulaba a exceso de velocid"&amp;"ad. Paramédicos de laCruz Verdelocalizaron a la mujer y a una niña de nueve años con múltiples lesiones; una menor más resultó ilesa. Pese a los esfuerzos médicos, laniña fallecióen el lugar debido a heridas incompatibles con la vida, mientras que su madr"&amp;"e fue trasladada en estado grave a un hospital deGuadalajara, con fracturas en ambas piernas. ¿Qué se sabe del vehículo involucrado en el accidente de Tonalá en la ZMG? Testigos indicaron que se trató de una camioneta que presuntamente omitió la luz roja "&amp;"del semáforo y huyó tras el accidente. Autoridades de la ZMG ya revisan cámaras del C5 de Guadalajara para tratar de ubicar el vehículo responsable y esclarecer los hechos ocurridos en esta zona de alto flujo vehicular. TAMBIÉN TE PUEDE INTERESAR:SIAPA AN"&amp;"UNCIA MEGACORTE MASIVO DE AGUA EN MÁS DE 800 COLONIAS DEL ÁREA METROPOLITANA DE GUADALAJARA Horas antes y después del atropellamiento,laZMGregistró otros accidentes relevantes. En la autopistaGuadalajara–Zapotlanejo, a la altura del fraccionamientoLa Auro"&amp;"ra, un tráiler volcó y quedó atravesado en sentido contrario, lo que obligó al cierre parcial de la circulación; el conductor presentó múltiples contusiones, sin requerir traslado. En otro punto dela ZMG, sobre la carretera aAgua Blanca, en el municipio d"&amp;"eEl Salto, una camioneta volcó tras salir de la cinta asfáltica. Un adulto quedó prensado y fue rescatado por unidades especializadas; dos adultos y un menor resultaron lesionados y recibieron atención médica. Autoridades reiteraron el llamado a extremar "&amp;"precauciones al conducir por Guadalajara y la ZMG, especialmente durante la madrugada, donde el exceso de velocidad sigue siendo un factor constante en cada accidente.")</f>
        <v>Caos, alertaymovilización de emergenciaen laZona Metropolitana de Guadalajara(ZMG). Unaintensa madrugadamarcada portragedia y accidentessacudió aGuadalajara HOY 23 de diciembre, luego de que un accidente vial enTonalácobrara la vida de una menor y dejara a su madre gravemente herida. El caso activó una fuerte respuesta de cuerpos de auxilio y encendió las alertas en laZMG, donde autoridades atendieron varios percances casi de forma simultánea enGuadalajaray su zona conurbada. De acuerdo con los primeros reportes, elaccidenteocurrió sobre la avenidaTonal Altec, en la coloniaSan Gaspar de Tonalá, dentro de laZMG; una mujer de 33 años y dos de sus hijas intentaban cruzar la vialidad cuando fueron atropelladas por un vehículo que circulaba a exceso de velocidad. Paramédicos de laCruz Verdelocalizaron a la mujer y a una niña de nueve años con múltiples lesiones; una menor más resultó ilesa. Pese a los esfuerzos médicos, laniña fallecióen el lugar debido a heridas incompatibles con la vida, mientras que su madre fue trasladada en estado grave a un hospital deGuadalajara, con fracturas en ambas piernas. ¿Qué se sabe del vehículo involucrado en el accidente de Tonalá en la ZMG? Testigos indicaron que se trató de una camioneta que presuntamente omitió la luz roja del semáforo y huyó tras el accidente. Autoridades de la ZMG ya revisan cámaras del C5 de Guadalajara para tratar de ubicar el vehículo responsable y esclarecer los hechos ocurridos en esta zona de alto flujo vehicular. TAMBIÉN TE PUEDE INTERESAR:SIAPA ANUNCIA MEGACORTE MASIVO DE AGUA EN MÁS DE 800 COLONIAS DEL ÁREA METROPOLITANA DE GUADALAJARA Horas antes y después del atropellamiento,laZMGregistró otros accidentes relevantes. En la autopistaGuadalajara–Zapotlanejo, a la altura del fraccionamientoLa Aurora, un tráiler volcó y quedó atravesado en sentido contrario, lo que obligó al cierre parcial de la circulación; el conductor presentó múltiples contusiones, sin requerir traslado. En otro punto dela ZMG, sobre la carretera aAgua Blanca, en el municipio deEl Salto, una camioneta volcó tras salir de la cinta asfáltica. Un adulto quedó prensado y fue rescatado por unidades especializadas; dos adultos y un menor resultaron lesionados y recibieron atención médica. Autoridades reiteraron el llamado a extremar precauciones al conducir por Guadalajara y la ZMG, especialmente durante la madrugada, donde el exceso de velocidad sigue siendo un factor constante en cada accidente.</v>
      </c>
      <c r="O275" s="15">
        <f>IFERROR(__xludf.DUMMYFUNCTION("""COMPUTED_VALUE"""),1.0)</f>
        <v>1</v>
      </c>
      <c r="P275" s="2"/>
      <c r="Q275" s="17">
        <f>IFERROR(__xludf.DUMMYFUNCTION("""COMPUTED_VALUE"""),5.0)</f>
        <v>5</v>
      </c>
      <c r="R275" s="2" t="str">
        <f>IFERROR(__xludf.DUMMYFUNCTION("""COMPUTED_VALUE"""),"High")</f>
        <v>High</v>
      </c>
      <c r="S275" s="17">
        <f>IFERROR(__xludf.DUMMYFUNCTION("""COMPUTED_VALUE"""),2.0)</f>
        <v>2</v>
      </c>
      <c r="T275" s="17">
        <f>IFERROR(__xludf.DUMMYFUNCTION("""COMPUTED_VALUE"""),0.0)</f>
        <v>0</v>
      </c>
      <c r="U275" s="14">
        <f>IFERROR(__xludf.DUMMYFUNCTION("""COMPUTED_VALUE"""),3.0)</f>
        <v>3</v>
      </c>
      <c r="V275" s="14">
        <v>2025.0</v>
      </c>
      <c r="W275" s="2" t="s">
        <v>1168</v>
      </c>
      <c r="X275" s="2" t="s">
        <v>1218</v>
      </c>
      <c r="Y275" s="13" t="s">
        <v>1064</v>
      </c>
      <c r="Z275" s="14">
        <v>0.0</v>
      </c>
      <c r="AA275" s="14">
        <v>0.0</v>
      </c>
      <c r="AB275" s="14">
        <v>0.0</v>
      </c>
      <c r="AC275" s="14">
        <v>0.0</v>
      </c>
      <c r="AD275" s="2">
        <v>0.0</v>
      </c>
      <c r="AE275" s="2">
        <v>0.0</v>
      </c>
      <c r="AF275" s="2">
        <v>12.0</v>
      </c>
      <c r="AG275" s="2" t="s">
        <v>1230</v>
      </c>
      <c r="AH275" s="2">
        <v>0.0</v>
      </c>
    </row>
    <row r="276" ht="15.75" customHeight="1">
      <c r="A276" s="2" t="str">
        <f>IFERROR(__xludf.DUMMYFUNCTION("""COMPUTED_VALUE"""),"TV Azteca")</f>
        <v>TV Azteca</v>
      </c>
      <c r="B276" s="12" t="str">
        <f>IFERROR(__xludf.DUMMYFUNCTION("""COMPUTED_VALUE"""),"Noche de terror en la ZMG de Jalisco por ataque armado: Encapuchados irrumpen en bar y acribillan a tres")</f>
        <v>Noche de terror en la ZMG de Jalisco por ataque armado: Encapuchados irrumpen en bar y acribillan a tres</v>
      </c>
      <c r="C276" s="13" t="str">
        <f>IFERROR(__xludf.DUMMYFUNCTION("""COMPUTED_VALUE"""),"2025-12-22 14:13:28")</f>
        <v>2025-12-22 14:13:28</v>
      </c>
      <c r="D276" s="14">
        <f>IFERROR(__xludf.DUMMYFUNCTION("""COMPUTED_VALUE"""),4.0)</f>
        <v>4</v>
      </c>
      <c r="E276" s="15">
        <f>IFERROR(__xludf.DUMMYFUNCTION("""COMPUTED_VALUE"""),-0.7547)</f>
        <v>-0.7547</v>
      </c>
      <c r="F276" s="2" t="str">
        <f>IFERROR(__xludf.DUMMYFUNCTION("""COMPUTED_VALUE"""),"Negativo")</f>
        <v>Negativo</v>
      </c>
      <c r="G276" s="15">
        <f>IFERROR(__xludf.DUMMYFUNCTION("""COMPUTED_VALUE"""),0.7547)</f>
        <v>0.7547</v>
      </c>
      <c r="H276" s="2" t="str">
        <f>IFERROR(__xludf.DUMMYFUNCTION("""COMPUTED_VALUE"""),"Accidente de tránsito o choque vial")</f>
        <v>Accidente de tránsito o choque vial</v>
      </c>
      <c r="I276" s="2" t="str">
        <f>IFERROR(__xludf.DUMMYFUNCTION("""COMPUTED_VALUE"""),"atropellado")</f>
        <v>atropellado</v>
      </c>
      <c r="J276" s="2" t="str">
        <f>IFERROR(__xludf.DUMMYFUNCTION("""COMPUTED_VALUE"""),"Soporte DRV: Seguros/Guía post-siniestro.")</f>
        <v>Soporte DRV: Seguros/Guía post-siniestro.</v>
      </c>
      <c r="K276" s="2" t="str">
        <f>IFERROR(__xludf.DUMMYFUNCTION("""COMPUTED_VALUE"""),"Jalisco")</f>
        <v>Jalisco</v>
      </c>
      <c r="L276" s="2" t="str">
        <f>IFERROR(__xludf.DUMMYFUNCTION("""COMPUTED_VALUE"""),"Jalisco")</f>
        <v>Jalisco</v>
      </c>
      <c r="M276" s="16" t="str">
        <f>IFERROR(__xludf.DUMMYFUNCTION("""COMPUTED_VALUE"""),"https://www.tvazteca.com/aztecanoticias/balacera-tonala-jalisco-hoy-ataque-armado-bar-colonia-francisco-villa-zmg/")</f>
        <v>https://www.tvazteca.com/aztecanoticias/balacera-tonala-jalisco-hoy-ataque-armado-bar-colonia-francisco-villa-zmg/</v>
      </c>
      <c r="N276" s="2" t="str">
        <f>IFERROR(__xludf.DUMMYFUNCTION("""COMPUTED_VALUE"""),"Unataque armadoen unbardesató unanoche de terroren laZona Metropolitana de Jalisco (ZMG), luego de que unabalaceradejara un saldo preliminar detres personas asesinadasy un sobreviviente herido por proyectil de arma de fuego. El hecho ocurrió al exterior d"&amp;"e un establecimiento ubicado sobre la calleDivisión del Norte, en la coloniaFrancisco Villa, en el municipio deTonalá, donde sujetos armados sorprendieron a las víctimas y abrieron fuego de manera directa, consumando elasesinatode dos hombres y una mujer."&amp;" De acuerdo con los primeros reportes, las detonaciones alertaron a vecinos y provocaron la movilización inmediata de policías municipales y paramédicos. A su arribo, confirmaron que tres de las víctimas ya no contaban con signos vitales debido a múltiple"&amp;"s impactos de bala. Un cuarto hombre logró sobrevivir alataque armadoy fue trasladado a un puesto de socorro con una herida de bala en una pierna; su estado de salud fue reportado como regular. Testigos señalaron que los agresores, presuntamente encapucha"&amp;"dos, huyeron tras labalacera. TAMBIÉN TE PUEDE INTERESAR:ROBO VIOLENTO Y MOVILIZACIÓN DE EMERGENCIA EN DOS COLONIAS DE GUADALAJARA Sin embargo, este hecho no fue el únicoepisodio violentoregistrado durante la jornada. Horas antes, agentes investigadores s"&amp;"e trasladaron a las instalaciones de laCruz RojadelParque Morelos, enGuadalajara, tras el ingreso de un hombre herido por arma blanca. La víctima, atacada en calles de la coloniaLa Mezquitera, enSan Pedro Tlaquepaque, fue atendida en el área de urgencias,"&amp;" pero falleció pese a las maniobras de reanimación. El caso fue catalogado como asesinato y el cuerpo trasladado a la morgue metropolitana para su identificación. En otro punto de la zona conurbada, unataque armadoduranteun asaltoa una empresa en la colon"&amp;"iaParques del Castillo, en El Salto, dejó a un hombre de 27 años en estado crítico. El sujeto recibió un disparo en el cráneo y fue estabilizado por paramédicos antes de ser llevado a un hospital de tercer nivel. Las autoridades informaron que al menos di"&amp;"ez hombres armados participaron en la agresión. Además, enZapopan, un menor de 13 años resultó gravemente herido tras ser atropellado por una camioneta que se impactó contra un puesto de comida. El conductor fue detenido. Las autoridades estatales mantien"&amp;"en abiertas diversas carpetas de investigación para esclarecer cada ataque armado, identificar a los responsables de estas balaceras y deslindar responsabilidades en los distintos hechos de violencia que marcaron una noche crítica en laZona Metropolitana "&amp;"de Jalisco.")</f>
        <v>Unataque armadoen unbardesató unanoche de terroren laZona Metropolitana de Jalisco (ZMG), luego de que unabalaceradejara un saldo preliminar detres personas asesinadasy un sobreviviente herido por proyectil de arma de fuego. El hecho ocurrió al exterior de un establecimiento ubicado sobre la calleDivisión del Norte, en la coloniaFrancisco Villa, en el municipio deTonalá, donde sujetos armados sorprendieron a las víctimas y abrieron fuego de manera directa, consumando elasesinatode dos hombres y una mujer. De acuerdo con los primeros reportes, las detonaciones alertaron a vecinos y provocaron la movilización inmediata de policías municipales y paramédicos. A su arribo, confirmaron que tres de las víctimas ya no contaban con signos vitales debido a múltiples impactos de bala. Un cuarto hombre logró sobrevivir alataque armadoy fue trasladado a un puesto de socorro con una herida de bala en una pierna; su estado de salud fue reportado como regular. Testigos señalaron que los agresores, presuntamente encapuchados, huyeron tras labalacera. TAMBIÉN TE PUEDE INTERESAR:ROBO VIOLENTO Y MOVILIZACIÓN DE EMERGENCIA EN DOS COLONIAS DE GUADALAJARA Sin embargo, este hecho no fue el únicoepisodio violentoregistrado durante la jornada. Horas antes, agentes investigadores se trasladaron a las instalaciones de laCruz RojadelParque Morelos, enGuadalajara, tras el ingreso de un hombre herido por arma blanca. La víctima, atacada en calles de la coloniaLa Mezquitera, enSan Pedro Tlaquepaque, fue atendida en el área de urgencias, pero falleció pese a las maniobras de reanimación. El caso fue catalogado como asesinato y el cuerpo trasladado a la morgue metropolitana para su identificación. En otro punto de la zona conurbada, unataque armadoduranteun asaltoa una empresa en la coloniaParques del Castillo, en El Salto, dejó a un hombre de 27 años en estado crítico. El sujeto recibió un disparo en el cráneo y fue estabilizado por paramédicos antes de ser llevado a un hospital de tercer nivel. Las autoridades informaron que al menos diez hombres armados participaron en la agresión. Además, enZapopan, un menor de 13 años resultó gravemente herido tras ser atropellado por una camioneta que se impactó contra un puesto de comida. El conductor fue detenido. Las autoridades estatales mantienen abiertas diversas carpetas de investigación para esclarecer cada ataque armado, identificar a los responsables de estas balaceras y deslindar responsabilidades en los distintos hechos de violencia que marcaron una noche crítica en laZona Metropolitana de Jalisco.</v>
      </c>
      <c r="O276" s="15">
        <f>IFERROR(__xludf.DUMMYFUNCTION("""COMPUTED_VALUE"""),1.0)</f>
        <v>1</v>
      </c>
      <c r="P276" s="2"/>
      <c r="Q276" s="17">
        <f>IFERROR(__xludf.DUMMYFUNCTION("""COMPUTED_VALUE"""),8.5)</f>
        <v>8.5</v>
      </c>
      <c r="R276" s="2" t="str">
        <f>IFERROR(__xludf.DUMMYFUNCTION("""COMPUTED_VALUE"""),"Low")</f>
        <v>Low</v>
      </c>
      <c r="S276" s="17">
        <f>IFERROR(__xludf.DUMMYFUNCTION("""COMPUTED_VALUE"""),0.5)</f>
        <v>0.5</v>
      </c>
      <c r="T276" s="17">
        <f>IFERROR(__xludf.DUMMYFUNCTION("""COMPUTED_VALUE"""),0.0)</f>
        <v>0</v>
      </c>
      <c r="U276" s="14">
        <f>IFERROR(__xludf.DUMMYFUNCTION("""COMPUTED_VALUE"""),3.0)</f>
        <v>3</v>
      </c>
      <c r="V276" s="14">
        <v>2025.0</v>
      </c>
      <c r="W276" s="2" t="s">
        <v>1168</v>
      </c>
      <c r="X276" s="2" t="s">
        <v>1169</v>
      </c>
      <c r="Y276" s="13" t="s">
        <v>1068</v>
      </c>
      <c r="Z276" s="14">
        <v>0.0</v>
      </c>
      <c r="AA276" s="14">
        <v>0.0</v>
      </c>
      <c r="AB276" s="14">
        <v>0.0</v>
      </c>
      <c r="AC276" s="14">
        <v>0.0</v>
      </c>
      <c r="AD276" s="2">
        <v>0.0</v>
      </c>
      <c r="AE276" s="2">
        <v>1.0</v>
      </c>
      <c r="AF276" s="2">
        <v>12.0</v>
      </c>
      <c r="AG276" s="2" t="s">
        <v>1226</v>
      </c>
      <c r="AH276" s="2">
        <v>0.0</v>
      </c>
    </row>
    <row r="277" ht="15.75" customHeight="1">
      <c r="A277" s="2" t="str">
        <f>IFERROR(__xludf.DUMMYFUNCTION("""COMPUTED_VALUE"""),"TV Azteca")</f>
        <v>TV Azteca</v>
      </c>
      <c r="B277" s="12" t="str">
        <f>IFERROR(__xludf.DUMMYFUNCTION("""COMPUTED_VALUE"""),"Explosión en Ecatepec ya no sería accidente por acumulación de gas: Investigan amenaza y estallido provocado")</f>
        <v>Explosión en Ecatepec ya no sería accidente por acumulación de gas: Investigan amenaza y estallido provocado</v>
      </c>
      <c r="C277" s="13" t="str">
        <f>IFERROR(__xludf.DUMMYFUNCTION("""COMPUTED_VALUE"""),"2025-12-21 23:42:38")</f>
        <v>2025-12-21 23:42:38</v>
      </c>
      <c r="D277" s="14">
        <f>IFERROR(__xludf.DUMMYFUNCTION("""COMPUTED_VALUE"""),1.0)</f>
        <v>1</v>
      </c>
      <c r="E277" s="15">
        <f>IFERROR(__xludf.DUMMYFUNCTION("""COMPUTED_VALUE"""),-0.7137)</f>
        <v>-0.7137</v>
      </c>
      <c r="F277" s="2" t="str">
        <f>IFERROR(__xludf.DUMMYFUNCTION("""COMPUTED_VALUE"""),"Negativo")</f>
        <v>Negativo</v>
      </c>
      <c r="G277" s="15">
        <f>IFERROR(__xludf.DUMMYFUNCTION("""COMPUTED_VALUE"""),0.7137)</f>
        <v>0.7137</v>
      </c>
      <c r="H277" s="2" t="str">
        <f>IFERROR(__xludf.DUMMYFUNCTION("""COMPUTED_VALUE"""),"Otros temas generales")</f>
        <v>Otros temas generales</v>
      </c>
      <c r="I277" s="2" t="str">
        <f>IFERROR(__xludf.DUMMYFUNCTION("""COMPUTED_VALUE"""),"N/A")</f>
        <v>N/A</v>
      </c>
      <c r="J277" s="2" t="str">
        <f>IFERROR(__xludf.DUMMYFUNCTION("""COMPUTED_VALUE"""),"Descartar / Baja prioridad.")</f>
        <v>Descartar / Baja prioridad.</v>
      </c>
      <c r="K277" s="2" t="str">
        <f>IFERROR(__xludf.DUMMYFUNCTION("""COMPUTED_VALUE"""),"Ecatepec")</f>
        <v>Ecatepec</v>
      </c>
      <c r="L277" s="2" t="str">
        <f>IFERROR(__xludf.DUMMYFUNCTION("""COMPUTED_VALUE"""),"Estado de México")</f>
        <v>Estado de México</v>
      </c>
      <c r="M277" s="16" t="str">
        <f>IFERROR(__xludf.DUMMYFUNCTION("""COMPUTED_VALUE"""),"https://www.tvazteca.com/aztecanoticias/explosion-acumulacion-gas-hoy-ecatepec-destrozos-herido-emergencia/")</f>
        <v>https://www.tvazteca.com/aztecanoticias/explosion-acumulacion-gas-hoy-ecatepec-destrozos-herido-emergencia/</v>
      </c>
      <c r="N277" s="2" t="str">
        <f>IFERROR(__xludf.DUMMYFUNCTION("""COMPUTED_VALUE"""),"Tensión y alarma regresaron aEcatepec, Estado de México,traslaexplosiónque sacudió una vivienda en la coloniaGranjas Valle de Guadalupe,luego de que autoridades revelaran que elestallido no habría sido accidental. El incidente, que ayer movilizó a cuerpos"&amp;" de emergencia por una supuesta acumulación de gas, ahora es investigado como un hecho posiblemente provocado. De acuerdo con autoridades y versiones vecinales,laexplosiónhabría sido causada por un hombre que habitaba el departamento, quien presuntamente "&amp;"amenazó a su esposa con detonar el inmueble si no regresaba a casa. Minutos después, se habría registrado el estallido tras la liberación deliberada de gas en el lugar. La onda expansiva provocó el colapso parcial de la losa, lanzó fragmentos de concreto "&amp;"a la vía pública y causó daños en al menos tres viviendas cercanas, así como en vehículos estacionados; afortunadamente, no había peatones en la calle al momento del estallido. El hombre, identificado comoVíctor Hugo, fue presentado ante laFiscalía del Es"&amp;"tado de México, donde se determinará su situación jurídica en las próximas horas. La explosión ocurrió durante la mañana del domingo en una casa habitación ubicada en la coloniaGranjas Valle de Guadalupe, enEcatepec, específicamente en la esquina de la ca"&amp;"llePascual Moralesy la avenidaGobernador Gustavo Baz. De acuerdo con los primeros reportes, se indicó que una acumulación de gas en el segundo nivel del inmueble generó la detonación que sacudió la zona y fue escuchada por vecinos a varias cuadras a la re"&amp;"donda. Tras el reporte alCentro de Mando, se desplegó un operativo inmediato con la participación deAtención Prehospitalaria, Rescate Urbano y Bomberos de Ecatepec,quienesconfirmaron que la explosiónfue consecuencia directa de la acumulación de gas al int"&amp;"erior de la vivienda. En el lugar fue localizado un hombre de 43 años con quemaduras en aproximadamente el 30 por ciento del cuerpo. TAMBIÉN TE PUEDE INTERESAR:VIDEO: ¡TRAGEDIA EN CDMX! CAPTURAN MOMENTO EXACTO DE LA EXPLOSIÓN DE GAS EN LINDAVISTA; HAY DOS"&amp;" LESIONADOS El lesionado recibió atención médica inmediata y, debido a la gravedad de las heridas provocadas por la explosión, fue trasladado de urgencia alHospital 1ro. de Octubre del ISSSTE; personal médico continúa su valoración, mientras se mantiene b"&amp;"ajo observación especializada. La onda expansiva generada por la explosión y la acumulación de gas causó daños estructurales importantes, por lo que personal deGestión Integral de Riesgosrealizó una inspección técnica del inmueble. Ante el riesgo de colap"&amp;"so, bomberos deEcatepecefectuaron trabajos de apuntalamiento provisional para reducir peligros adicionales. Además,Rescate Urbanoreportó afectaciones en al menos tres viviendas aledañas, daños en varios vehículos y la caída de un poste de telefonía. La zo"&amp;"na permaneció acordonada durante varias horas mientras continuaban las labores de evaluación y seguridad.")</f>
        <v>Tensión y alarma regresaron aEcatepec, Estado de México,traslaexplosiónque sacudió una vivienda en la coloniaGranjas Valle de Guadalupe,luego de que autoridades revelaran que elestallido no habría sido accidental. El incidente, que ayer movilizó a cuerpos de emergencia por una supuesta acumulación de gas, ahora es investigado como un hecho posiblemente provocado. De acuerdo con autoridades y versiones vecinales,laexplosiónhabría sido causada por un hombre que habitaba el departamento, quien presuntamente amenazó a su esposa con detonar el inmueble si no regresaba a casa. Minutos después, se habría registrado el estallido tras la liberación deliberada de gas en el lugar. La onda expansiva provocó el colapso parcial de la losa, lanzó fragmentos de concreto a la vía pública y causó daños en al menos tres viviendas cercanas, así como en vehículos estacionados; afortunadamente, no había peatones en la calle al momento del estallido. El hombre, identificado comoVíctor Hugo, fue presentado ante laFiscalía del Estado de México, donde se determinará su situación jurídica en las próximas horas. La explosión ocurrió durante la mañana del domingo en una casa habitación ubicada en la coloniaGranjas Valle de Guadalupe, enEcatepec, específicamente en la esquina de la callePascual Moralesy la avenidaGobernador Gustavo Baz. De acuerdo con los primeros reportes, se indicó que una acumulación de gas en el segundo nivel del inmueble generó la detonación que sacudió la zona y fue escuchada por vecinos a varias cuadras a la redonda. Tras el reporte alCentro de Mando, se desplegó un operativo inmediato con la participación deAtención Prehospitalaria, Rescate Urbano y Bomberos de Ecatepec,quienesconfirmaron que la explosiónfue consecuencia directa de la acumulación de gas al interior de la vivienda. En el lugar fue localizado un hombre de 43 años con quemaduras en aproximadamente el 30 por ciento del cuerpo. TAMBIÉN TE PUEDE INTERESAR:VIDEO: ¡TRAGEDIA EN CDMX! CAPTURAN MOMENTO EXACTO DE LA EXPLOSIÓN DE GAS EN LINDAVISTA; HAY DOS LESIONADOS El lesionado recibió atención médica inmediata y, debido a la gravedad de las heridas provocadas por la explosión, fue trasladado de urgencia alHospital 1ro. de Octubre del ISSSTE; personal médico continúa su valoración, mientras se mantiene bajo observación especializada. La onda expansiva generada por la explosión y la acumulación de gas causó daños estructurales importantes, por lo que personal deGestión Integral de Riesgosrealizó una inspección técnica del inmueble. Ante el riesgo de colapso, bomberos deEcatepecefectuaron trabajos de apuntalamiento provisional para reducir peligros adicionales. Además,Rescate Urbanoreportó afectaciones en al menos tres viviendas aledañas, daños en varios vehículos y la caída de un poste de telefonía. La zona permaneció acordonada durante varias horas mientras continuaban las labores de evaluación y seguridad.</v>
      </c>
      <c r="O277" s="15">
        <f>IFERROR(__xludf.DUMMYFUNCTION("""COMPUTED_VALUE"""),0.3848)</f>
        <v>0.3848</v>
      </c>
      <c r="P277" s="2"/>
      <c r="Q277" s="17">
        <f>IFERROR(__xludf.DUMMYFUNCTION("""COMPUTED_VALUE"""),8.5)</f>
        <v>8.5</v>
      </c>
      <c r="R277" s="2" t="str">
        <f>IFERROR(__xludf.DUMMYFUNCTION("""COMPUTED_VALUE"""),"High")</f>
        <v>High</v>
      </c>
      <c r="S277" s="17">
        <f>IFERROR(__xludf.DUMMYFUNCTION("""COMPUTED_VALUE"""),3.5)</f>
        <v>3.5</v>
      </c>
      <c r="T277" s="17">
        <f>IFERROR(__xludf.DUMMYFUNCTION("""COMPUTED_VALUE"""),0.0)</f>
        <v>0</v>
      </c>
      <c r="U277" s="14">
        <f>IFERROR(__xludf.DUMMYFUNCTION("""COMPUTED_VALUE"""),3.0)</f>
        <v>3</v>
      </c>
      <c r="V277" s="14">
        <v>2025.0</v>
      </c>
      <c r="W277" s="2" t="s">
        <v>1168</v>
      </c>
      <c r="X277" s="2" t="s">
        <v>1188</v>
      </c>
      <c r="Y277" s="13" t="s">
        <v>1072</v>
      </c>
      <c r="Z277" s="14">
        <v>0.0</v>
      </c>
      <c r="AA277" s="14">
        <v>0.0</v>
      </c>
      <c r="AB277" s="14">
        <v>0.0</v>
      </c>
      <c r="AC277" s="14">
        <v>0.0</v>
      </c>
      <c r="AD277" s="2">
        <v>0.0</v>
      </c>
      <c r="AE277" s="2">
        <v>0.0</v>
      </c>
      <c r="AF277" s="2">
        <v>12.0</v>
      </c>
      <c r="AG277" s="2" t="s">
        <v>1208</v>
      </c>
      <c r="AH277" s="2">
        <v>0.0</v>
      </c>
    </row>
    <row r="278" ht="15.75" customHeight="1">
      <c r="A278" s="2" t="str">
        <f>IFERROR(__xludf.DUMMYFUNCTION("""COMPUTED_VALUE"""),"TV Azteca")</f>
        <v>TV Azteca</v>
      </c>
      <c r="B278" s="12" t="str">
        <f>IFERROR(__xludf.DUMMYFUNCTION("""COMPUTED_VALUE"""),"Siniestro en Zacatecas: Volcadura de autobús de jornaleros deja 5 muertos y 16 heridos en carretera federal 45")</f>
        <v>Siniestro en Zacatecas: Volcadura de autobús de jornaleros deja 5 muertos y 16 heridos en carretera federal 45</v>
      </c>
      <c r="C278" s="13" t="str">
        <f>IFERROR(__xludf.DUMMYFUNCTION("""COMPUTED_VALUE"""),"2025-12-21 22:32:28")</f>
        <v>2025-12-21 22:32:28</v>
      </c>
      <c r="D278" s="14">
        <f>IFERROR(__xludf.DUMMYFUNCTION("""COMPUTED_VALUE"""),4.0)</f>
        <v>4</v>
      </c>
      <c r="E278" s="15">
        <f>IFERROR(__xludf.DUMMYFUNCTION("""COMPUTED_VALUE"""),-0.8875)</f>
        <v>-0.8875</v>
      </c>
      <c r="F278" s="2" t="str">
        <f>IFERROR(__xludf.DUMMYFUNCTION("""COMPUTED_VALUE"""),"Negativo")</f>
        <v>Negativo</v>
      </c>
      <c r="G278" s="15">
        <f>IFERROR(__xludf.DUMMYFUNCTION("""COMPUTED_VALUE"""),0.8875)</f>
        <v>0.8875</v>
      </c>
      <c r="H278" s="2" t="str">
        <f>IFERROR(__xludf.DUMMYFUNCTION("""COMPUTED_VALUE"""),"Accidente de tránsito o choque vial")</f>
        <v>Accidente de tránsito o choque vial</v>
      </c>
      <c r="I278" s="2" t="str">
        <f>IFERROR(__xludf.DUMMYFUNCTION("""COMPUTED_VALUE"""),"volcadura")</f>
        <v>volcadura</v>
      </c>
      <c r="J278" s="2" t="str">
        <f>IFERROR(__xludf.DUMMYFUNCTION("""COMPUTED_VALUE"""),"Soporte DRV: Seguros/Guía post-siniestro.")</f>
        <v>Soporte DRV: Seguros/Guía post-siniestro.</v>
      </c>
      <c r="K278" s="2" t="str">
        <f>IFERROR(__xludf.DUMMYFUNCTION("""COMPUTED_VALUE"""),"Zacatecas")</f>
        <v>Zacatecas</v>
      </c>
      <c r="L278" s="2" t="str">
        <f>IFERROR(__xludf.DUMMYFUNCTION("""COMPUTED_VALUE"""),"Zacatecas")</f>
        <v>Zacatecas</v>
      </c>
      <c r="M278" s="16" t="str">
        <f>IFERROR(__xludf.DUMMYFUNCTION("""COMPUTED_VALUE"""),"https://www.tvazteca.com/aztecanoticias/accidente-zacatecas-hoy-volcadura-autobus-jornaleros-carretera-45-muertos-heridos/")</f>
        <v>https://www.tvazteca.com/aztecanoticias/accidente-zacatecas-hoy-volcadura-autobus-jornaleros-carretera-45-muertos-heridos/</v>
      </c>
      <c r="N278" s="2" t="str">
        <f>IFERROR(__xludf.DUMMYFUNCTION("""COMPUTED_VALUE"""),"Caosy alerta enZacatecas. Unaccidentedeúltima horadesató unamovilización de emergenciay unintenso operativosobre lacarretera federal 45, luego de la volcadura de unautobús de pasajerosquetransportaba jornaleros. ElaccidenteenZacatecas, registradodurante l"&amp;"a madrugadade estedomingo, dejó un saldo preliminar decinco personas sin vidayal menos 16 lesionadas, algunos de gravedad, lo que obligó al cierre parcial de la vialidad mientras cuerpos de auxilio y fuerzas de seguridad atendían la emergencia. Elaparatos"&amp;"o accidenteenZacatecasocurrió en el tramoMorelos–Calera, a la altura delkilómetro 16, justo al descender el puente deMorelos. De acuerdo con reportes delC-5, el conductor del camión perdió el control de la unidad, lo que provocó una volcadura violenta. El"&amp;" autobús, tipo 'banana', terminó fuera del pavimento y con desprendimiento de la carrocería. La unidad transportaba a cerca de30 jornalerosprocedentes deGuadalajara, Jalisco, con destino a la comunidad deRío Florido, enFresnillo. Tras el accidente, automo"&amp;"vilistas que pasaban por la zona solicitaronauxilio inmediatoal observar lamagnitudde lavolcadura. Al sitio del accidente enZacatecasarribaron elementos deProtección Civil, paramédicosycorporaciones de seguridad, quienes iniciaron labores de rescate. En e"&amp;"l lugar de la volcadura, las autoridades confirmaron que cinco personas ya no contaban con signos vitales. TAMBIÉN TE PUEDE INTERESAR: FATAL INTENTO:CONDUCTOR MUERE ARROLLADO POR TREN EN CARRETERA ESTATAL DE HUICHAPAN AL INTENTAR GANARLE EL PASO Además,16"&amp;" lesionadosfueron atendidos, entre ellos cuatro adultos en estado grave y un menor de menos de cuatro años, quienes fueron trasladados alHospitalGeneral de Zacatecas. Debido a la volcadura, la circulación fue parcialmente cerrada mientras se realizaban lo"&amp;"s peritajes correspondientes. La zona del accidente quedó bajo resguardo deSeguridad Pública, Guardia Nacional y Policía de Investigación, en espera del arribo delServicio Médico Forense.")</f>
        <v>Caosy alerta enZacatecas. Unaccidentedeúltima horadesató unamovilización de emergenciay unintenso operativosobre lacarretera federal 45, luego de la volcadura de unautobús de pasajerosquetransportaba jornaleros. ElaccidenteenZacatecas, registradodurante la madrugadade estedomingo, dejó un saldo preliminar decinco personas sin vidayal menos 16 lesionadas, algunos de gravedad, lo que obligó al cierre parcial de la vialidad mientras cuerpos de auxilio y fuerzas de seguridad atendían la emergencia. Elaparatoso accidenteenZacatecasocurrió en el tramoMorelos–Calera, a la altura delkilómetro 16, justo al descender el puente deMorelos. De acuerdo con reportes delC-5, el conductor del camión perdió el control de la unidad, lo que provocó una volcadura violenta. El autobús, tipo 'banana', terminó fuera del pavimento y con desprendimiento de la carrocería. La unidad transportaba a cerca de30 jornalerosprocedentes deGuadalajara, Jalisco, con destino a la comunidad deRío Florido, enFresnillo. Tras el accidente, automovilistas que pasaban por la zona solicitaronauxilio inmediatoal observar lamagnitudde lavolcadura. Al sitio del accidente enZacatecasarribaron elementos deProtección Civil, paramédicosycorporaciones de seguridad, quienes iniciaron labores de rescate. En el lugar de la volcadura, las autoridades confirmaron que cinco personas ya no contaban con signos vitales. TAMBIÉN TE PUEDE INTERESAR: FATAL INTENTO:CONDUCTOR MUERE ARROLLADO POR TREN EN CARRETERA ESTATAL DE HUICHAPAN AL INTENTAR GANARLE EL PASO Además,16 lesionadosfueron atendidos, entre ellos cuatro adultos en estado grave y un menor de menos de cuatro años, quienes fueron trasladados alHospitalGeneral de Zacatecas. Debido a la volcadura, la circulación fue parcialmente cerrada mientras se realizaban los peritajes correspondientes. La zona del accidente quedó bajo resguardo deSeguridad Pública, Guardia Nacional y Policía de Investigación, en espera del arribo delServicio Médico Forense.</v>
      </c>
      <c r="O278" s="15">
        <f>IFERROR(__xludf.DUMMYFUNCTION("""COMPUTED_VALUE"""),1.0)</f>
        <v>1</v>
      </c>
      <c r="P278" s="2"/>
      <c r="Q278" s="17">
        <f>IFERROR(__xludf.DUMMYFUNCTION("""COMPUTED_VALUE"""),6.5)</f>
        <v>6.5</v>
      </c>
      <c r="R278" s="2" t="str">
        <f>IFERROR(__xludf.DUMMYFUNCTION("""COMPUTED_VALUE"""),"High")</f>
        <v>High</v>
      </c>
      <c r="S278" s="17">
        <f>IFERROR(__xludf.DUMMYFUNCTION("""COMPUTED_VALUE"""),4.5)</f>
        <v>4.5</v>
      </c>
      <c r="T278" s="17">
        <f>IFERROR(__xludf.DUMMYFUNCTION("""COMPUTED_VALUE"""),0.0)</f>
        <v>0</v>
      </c>
      <c r="U278" s="14">
        <f>IFERROR(__xludf.DUMMYFUNCTION("""COMPUTED_VALUE"""),3.0)</f>
        <v>3</v>
      </c>
      <c r="V278" s="14">
        <v>2025.0</v>
      </c>
      <c r="W278" s="2" t="s">
        <v>1168</v>
      </c>
      <c r="X278" s="2" t="s">
        <v>1188</v>
      </c>
      <c r="Y278" s="13" t="s">
        <v>1076</v>
      </c>
      <c r="Z278" s="14">
        <v>0.0</v>
      </c>
      <c r="AA278" s="14">
        <v>0.0</v>
      </c>
      <c r="AB278" s="14">
        <v>0.0</v>
      </c>
      <c r="AC278" s="14">
        <v>0.0</v>
      </c>
      <c r="AD278" s="2">
        <v>0.0</v>
      </c>
      <c r="AE278" s="2">
        <v>1.0</v>
      </c>
      <c r="AF278" s="2">
        <v>12.0</v>
      </c>
      <c r="AG278" s="2" t="s">
        <v>1231</v>
      </c>
      <c r="AH278" s="2">
        <v>0.0</v>
      </c>
    </row>
    <row r="279" ht="15.75" customHeight="1">
      <c r="A279" s="2" t="str">
        <f>IFERROR(__xludf.DUMMYFUNCTION("""COMPUTED_VALUE"""),"TV Azteca")</f>
        <v>TV Azteca</v>
      </c>
      <c r="B279" s="12" t="str">
        <f>IFERROR(__xludf.DUMMYFUNCTION("""COMPUTED_VALUE"""),"Tragedia en Jiutepec: auto cae a canal y 4 personas mueren atrapadas en Morelos")</f>
        <v>Tragedia en Jiutepec: auto cae a canal y 4 personas mueren atrapadas en Morelos</v>
      </c>
      <c r="C279" s="13" t="str">
        <f>IFERROR(__xludf.DUMMYFUNCTION("""COMPUTED_VALUE"""),"2025-12-21 22:07:40")</f>
        <v>2025-12-21 22:07:40</v>
      </c>
      <c r="D279" s="14">
        <f>IFERROR(__xludf.DUMMYFUNCTION("""COMPUTED_VALUE"""),2.0)</f>
        <v>2</v>
      </c>
      <c r="E279" s="15">
        <f>IFERROR(__xludf.DUMMYFUNCTION("""COMPUTED_VALUE"""),-0.8997)</f>
        <v>-0.8997</v>
      </c>
      <c r="F279" s="2" t="str">
        <f>IFERROR(__xludf.DUMMYFUNCTION("""COMPUTED_VALUE"""),"Negativo")</f>
        <v>Negativo</v>
      </c>
      <c r="G279" s="15">
        <f>IFERROR(__xludf.DUMMYFUNCTION("""COMPUTED_VALUE"""),0.8997)</f>
        <v>0.8997</v>
      </c>
      <c r="H279" s="2" t="str">
        <f>IFERROR(__xludf.DUMMYFUNCTION("""COMPUTED_VALUE"""),"Accidente de tránsito o choque vial")</f>
        <v>Accidente de tránsito o choque vial</v>
      </c>
      <c r="I279" s="2" t="str">
        <f>IFERROR(__xludf.DUMMYFUNCTION("""COMPUTED_VALUE"""),"N/A")</f>
        <v>N/A</v>
      </c>
      <c r="J279" s="2" t="str">
        <f>IFERROR(__xludf.DUMMYFUNCTION("""COMPUTED_VALUE"""),"Soporte DRV: Seguros/Guía post-siniestro.")</f>
        <v>Soporte DRV: Seguros/Guía post-siniestro.</v>
      </c>
      <c r="K279" s="2" t="str">
        <f>IFERROR(__xludf.DUMMYFUNCTION("""COMPUTED_VALUE"""),"Morelos")</f>
        <v>Morelos</v>
      </c>
      <c r="L279" s="2" t="str">
        <f>IFERROR(__xludf.DUMMYFUNCTION("""COMPUTED_VALUE"""),"Morelos")</f>
        <v>Morelos</v>
      </c>
      <c r="M279" s="16" t="str">
        <f>IFERROR(__xludf.DUMMYFUNCTION("""COMPUTED_VALUE"""),"https://www.tvazteca.com/aztecanoticias/cuatro-personas-murieron-caer-auto-a-canal-en-jiutepec-morelos/")</f>
        <v>https://www.tvazteca.com/aztecanoticias/cuatro-personas-murieron-caer-auto-a-canal-en-jiutepec-morelos/</v>
      </c>
      <c r="N279" s="2" t="str">
        <f>IFERROR(__xludf.DUMMYFUNCTION("""COMPUTED_VALUE"""),"La tragedia embargó a una familia que viajaba a bordo de su automóvil enJiutepec, Morelos, luego de que la unidad perdiera el control y cayera a uncanal conocido como “Los Pinos”. La corriente impidió que los pasajeros salieran a tiempo y quedaran atrapad"&amp;"os dentro del vehículo. Primeros reportes señalan que tres personas murieron ahogadas y una más fue arrastrada por el agua. Una camioneta blanca cayó desde un puente estrecho hacia un canal en lacolonia Atlacomulco, quedando volcada con las llantas hacia "&amp;"arriba, durante la mañana del domingo 21 de diciembre. Dentro viajaban cuatro personas, tres hombres y una mujer, que perdieron la vida tras quedar atrapadas y ser arrastradas por la fuerte corriente. Vecinos de la zona, al ver la camioneta hundirse, corr"&amp;"ieron para intentar ayudarlos, pero la fuerza del agua hizo que el vehículo quedara atrapado en un tramo angosto del caudal, complicando las tareas de ayuda. Minutos más tarde llegaron cuerpos de emergencia, entre ellos Protección Civil y Guardia Nacional"&amp;", quienes realizaron maniobras para recuperar a las víctimas, aunque el nivel de agua no ayudó mucho. En redes sociales comenzó a circular un video del rescate, pero para entonces los paramédicos ya habían confirmado que ninguna de las víctimas tenía sign"&amp;"os vitales. Primeros reportes indican que tres cuerpos quedaron en el sitio. Mientras que, un cuarto fue arrastrado por el canal, pero personal de rescate lo localizó metros adelante. Hasta el momento se desconoce la razón por la que el chofer perdió el c"&amp;"ontrol de la camioneta y cayó al canal. Testigos señalan que el conductor habría derrapado al tomar una curva, volcándose hasta el fondo del arroyo. Versiones extraoficiales apuntan a que las víctimas regresaban de un convivio y que el conductor manejaba "&amp;"en estado inconveniente, posible causa delaccidente. Las investigaciones continuarán para determinar responsabilidades y confirmar si falló el vehículo, el pavimento o si hubo exceso de confianza al intentar cruzar por el estrecho puente.")</f>
        <v>La tragedia embargó a una familia que viajaba a bordo de su automóvil enJiutepec, Morelos, luego de que la unidad perdiera el control y cayera a uncanal conocido como “Los Pinos”. La corriente impidió que los pasajeros salieran a tiempo y quedaran atrapados dentro del vehículo. Primeros reportes señalan que tres personas murieron ahogadas y una más fue arrastrada por el agua. Una camioneta blanca cayó desde un puente estrecho hacia un canal en lacolonia Atlacomulco, quedando volcada con las llantas hacia arriba, durante la mañana del domingo 21 de diciembre. Dentro viajaban cuatro personas, tres hombres y una mujer, que perdieron la vida tras quedar atrapadas y ser arrastradas por la fuerte corriente. Vecinos de la zona, al ver la camioneta hundirse, corrieron para intentar ayudarlos, pero la fuerza del agua hizo que el vehículo quedara atrapado en un tramo angosto del caudal, complicando las tareas de ayuda. Minutos más tarde llegaron cuerpos de emergencia, entre ellos Protección Civil y Guardia Nacional, quienes realizaron maniobras para recuperar a las víctimas, aunque el nivel de agua no ayudó mucho. En redes sociales comenzó a circular un video del rescate, pero para entonces los paramédicos ya habían confirmado que ninguna de las víctimas tenía signos vitales. Primeros reportes indican que tres cuerpos quedaron en el sitio. Mientras que, un cuarto fue arrastrado por el canal, pero personal de rescate lo localizó metros adelante. Hasta el momento se desconoce la razón por la que el chofer perdió el control de la camioneta y cayó al canal. Testigos señalan que el conductor habría derrapado al tomar una curva, volcándose hasta el fondo del arroyo. Versiones extraoficiales apuntan a que las víctimas regresaban de un convivio y que el conductor manejaba en estado inconveniente, posible causa delaccidente. Las investigaciones continuarán para determinar responsabilidades y confirmar si falló el vehículo, el pavimento o si hubo exceso de confianza al intentar cruzar por el estrecho puente.</v>
      </c>
      <c r="O279" s="15">
        <f>IFERROR(__xludf.DUMMYFUNCTION("""COMPUTED_VALUE"""),0.4754)</f>
        <v>0.4754</v>
      </c>
      <c r="P279" s="2"/>
      <c r="Q279" s="17">
        <f>IFERROR(__xludf.DUMMYFUNCTION("""COMPUTED_VALUE"""),8.5)</f>
        <v>8.5</v>
      </c>
      <c r="R279" s="2" t="str">
        <f>IFERROR(__xludf.DUMMYFUNCTION("""COMPUTED_VALUE"""),"High")</f>
        <v>High</v>
      </c>
      <c r="S279" s="17">
        <f>IFERROR(__xludf.DUMMYFUNCTION("""COMPUTED_VALUE"""),2.5)</f>
        <v>2.5</v>
      </c>
      <c r="T279" s="17">
        <f>IFERROR(__xludf.DUMMYFUNCTION("""COMPUTED_VALUE"""),0.0)</f>
        <v>0</v>
      </c>
      <c r="U279" s="14">
        <f>IFERROR(__xludf.DUMMYFUNCTION("""COMPUTED_VALUE"""),3.0)</f>
        <v>3</v>
      </c>
      <c r="V279" s="14">
        <v>2025.0</v>
      </c>
      <c r="W279" s="2" t="s">
        <v>1168</v>
      </c>
      <c r="X279" s="2" t="s">
        <v>1188</v>
      </c>
      <c r="Y279" s="13" t="s">
        <v>1081</v>
      </c>
      <c r="Z279" s="14">
        <v>0.0</v>
      </c>
      <c r="AA279" s="14">
        <v>0.0</v>
      </c>
      <c r="AB279" s="14">
        <v>0.0</v>
      </c>
      <c r="AC279" s="14">
        <v>0.0</v>
      </c>
      <c r="AD279" s="2">
        <v>0.0</v>
      </c>
      <c r="AE279" s="2">
        <v>0.0</v>
      </c>
      <c r="AF279" s="2">
        <v>12.0</v>
      </c>
      <c r="AG279" s="2" t="s">
        <v>1207</v>
      </c>
      <c r="AH279" s="2">
        <v>0.0</v>
      </c>
    </row>
    <row r="280" ht="15.75" customHeight="1">
      <c r="A280" s="2" t="str">
        <f>IFERROR(__xludf.DUMMYFUNCTION("""COMPUTED_VALUE"""),"TV Azteca")</f>
        <v>TV Azteca</v>
      </c>
      <c r="B280" s="12" t="str">
        <f>IFERROR(__xludf.DUMMYFUNCTION("""COMPUTED_VALUE"""),"VIDEO: ¡Caos por explosión en el Pedregal! Estalla puesto de pirotecnia en pleno tianguis de Morelia")</f>
        <v>VIDEO: ¡Caos por explosión en el Pedregal! Estalla puesto de pirotecnia en pleno tianguis de Morelia</v>
      </c>
      <c r="C280" s="13" t="str">
        <f>IFERROR(__xludf.DUMMYFUNCTION("""COMPUTED_VALUE"""),"2025-12-21 20:18:11")</f>
        <v>2025-12-21 20:18:11</v>
      </c>
      <c r="D280" s="14">
        <f>IFERROR(__xludf.DUMMYFUNCTION("""COMPUTED_VALUE"""),3.0)</f>
        <v>3</v>
      </c>
      <c r="E280" s="15">
        <f>IFERROR(__xludf.DUMMYFUNCTION("""COMPUTED_VALUE"""),-0.6579)</f>
        <v>-0.6579</v>
      </c>
      <c r="F280" s="2" t="str">
        <f>IFERROR(__xludf.DUMMYFUNCTION("""COMPUTED_VALUE"""),"Negativo")</f>
        <v>Negativo</v>
      </c>
      <c r="G280" s="15">
        <f>IFERROR(__xludf.DUMMYFUNCTION("""COMPUTED_VALUE"""),0.6579)</f>
        <v>0.6579</v>
      </c>
      <c r="H280" s="2" t="str">
        <f>IFERROR(__xludf.DUMMYFUNCTION("""COMPUTED_VALUE"""),"Protestas o bloqueos viales")</f>
        <v>Protestas o bloqueos viales</v>
      </c>
      <c r="I280" s="2" t="str">
        <f>IFERROR(__xludf.DUMMYFUNCTION("""COMPUTED_VALUE"""),"N/A")</f>
        <v>N/A</v>
      </c>
      <c r="J280" s="2" t="str">
        <f>IFERROR(__xludf.DUMMYFUNCTION("""COMPUTED_VALUE"""),"Operaciones: Notificar zonas a evitar (Waze/Maps).")</f>
        <v>Operaciones: Notificar zonas a evitar (Waze/Maps).</v>
      </c>
      <c r="K280" s="2" t="str">
        <f>IFERROR(__xludf.DUMMYFUNCTION("""COMPUTED_VALUE"""),"Morelia")</f>
        <v>Morelia</v>
      </c>
      <c r="L280" s="2" t="str">
        <f>IFERROR(__xludf.DUMMYFUNCTION("""COMPUTED_VALUE"""),"Michoacán")</f>
        <v>Michoacán</v>
      </c>
      <c r="M280" s="16" t="str">
        <f>IFERROR(__xludf.DUMMYFUNCTION("""COMPUTED_VALUE"""),"https://www.tvazteca.com/aztecanoticias/explosion-tianguis-morelia-hoy-captan-video-estallido-incendio-pedregal/")</f>
        <v>https://www.tvazteca.com/aztecanoticias/explosion-tianguis-morelia-hoy-captan-video-estallido-incendio-pedregal/</v>
      </c>
      <c r="N280" s="2" t="str">
        <f>IFERROR(__xludf.DUMMYFUNCTION("""COMPUTED_VALUE"""),"La mañana de estedomingo21 de diciembre, se vivieron momentos decaosyalarmatras registrarseunaexplosióndentro de untianguis instaladosobre laavenida Pedregal, al poniente deMorelia, luego de que un puesto de pirotecnia estallara de forma repentina, provoc"&amp;"ando pánico entre comerciantes y visitantes; el incidente activó una movilización deemergencia, aunque autoridades confirmaron que no hubo personas lesionadas. De acuerdo con los primeros reportes oficiales, la explosión ocurrió en eltianguisque se coloca"&amp;" cada domingo a la altura de la coloniaEduardo Ruiz, cuando el material pirotécnico comenzó a detonar mientras era acomodado para su venta; el estruendo se escuchó a varios metros y generó temor entre quienes se encontraban realizando compras en eltiangui"&amp;"sdeMorelia, lo que obligó a desalojos preventivos en la zona. Testigos señalaron que, tras laexplosión, algunos locatarios actuaron de inmediato utilizando cubetas con agua para contener las llamas iniciales, mientras otros solicitaron apoyo al número de "&amp;"emergencia '911'; minutos después arribaron elementos delCuerpo de Bomberos y personal de Protección Civil,quienes lograron controlar por completo el incidente en el tianguis de Morelia, evitando que el fuego se propagara a otros puestos. TAMBIÉN TE PUEDE"&amp;" INTERESAR:11 LESIONADOS TRAS EXPLOSIÓN EN BAZAR NAVIDEÑO EN TEOLOYUCAN, EDOMEX Las autoridades detallaron que, al momento de la revisión, únicamente se localizaron restos de la pirotecnia sin detonar y las mesas utilizadas para su comercialización; el pr"&amp;"esunto responsable del puesto involucrado en la explosión no fue localizado en el lugar, por lo que se dará seguimiento administrativo al caso, ya que la venta de estos productos representa un riesgo dentro de espacios públicos como un tianguis. Protecció"&amp;"n Civilreiteró el llamado a la ciudadanía para evitar la compra y almacenamiento de pirotecnia, especialmente en mercados y zonas de alta afluencia en Morelia, al advertir que una explosión de este tipo puede derivar en consecuencias graves; también se pi"&amp;"dió reportar de inmediato cualquier situación de riesgo para prevenir nuevos incidentes en tianguis de la ciudad.")</f>
        <v>La mañana de estedomingo21 de diciembre, se vivieron momentos decaosyalarmatras registrarseunaexplosióndentro de untianguis instaladosobre laavenida Pedregal, al poniente deMorelia, luego de que un puesto de pirotecnia estallara de forma repentina, provocando pánico entre comerciantes y visitantes; el incidente activó una movilización deemergencia, aunque autoridades confirmaron que no hubo personas lesionadas. De acuerdo con los primeros reportes oficiales, la explosión ocurrió en eltianguisque se coloca cada domingo a la altura de la coloniaEduardo Ruiz, cuando el material pirotécnico comenzó a detonar mientras era acomodado para su venta; el estruendo se escuchó a varios metros y generó temor entre quienes se encontraban realizando compras en eltianguisdeMorelia, lo que obligó a desalojos preventivos en la zona. Testigos señalaron que, tras laexplosión, algunos locatarios actuaron de inmediato utilizando cubetas con agua para contener las llamas iniciales, mientras otros solicitaron apoyo al número de emergencia '911'; minutos después arribaron elementos delCuerpo de Bomberos y personal de Protección Civil,quienes lograron controlar por completo el incidente en el tianguis de Morelia, evitando que el fuego se propagara a otros puestos. TAMBIÉN TE PUEDE INTERESAR:11 LESIONADOS TRAS EXPLOSIÓN EN BAZAR NAVIDEÑO EN TEOLOYUCAN, EDOMEX Las autoridades detallaron que, al momento de la revisión, únicamente se localizaron restos de la pirotecnia sin detonar y las mesas utilizadas para su comercialización; el presunto responsable del puesto involucrado en la explosión no fue localizado en el lugar, por lo que se dará seguimiento administrativo al caso, ya que la venta de estos productos representa un riesgo dentro de espacios públicos como un tianguis. Protección Civilreiteró el llamado a la ciudadanía para evitar la compra y almacenamiento de pirotecnia, especialmente en mercados y zonas de alta afluencia en Morelia, al advertir que una explosión de este tipo puede derivar en consecuencias graves; también se pidió reportar de inmediato cualquier situación de riesgo para prevenir nuevos incidentes en tianguis de la ciudad.</v>
      </c>
      <c r="O280" s="15">
        <f>IFERROR(__xludf.DUMMYFUNCTION("""COMPUTED_VALUE"""),0.6282)</f>
        <v>0.6282</v>
      </c>
      <c r="P280" s="2"/>
      <c r="Q280" s="17">
        <f>IFERROR(__xludf.DUMMYFUNCTION("""COMPUTED_VALUE"""),6.5)</f>
        <v>6.5</v>
      </c>
      <c r="R280" s="2" t="str">
        <f>IFERROR(__xludf.DUMMYFUNCTION("""COMPUTED_VALUE"""),"High")</f>
        <v>High</v>
      </c>
      <c r="S280" s="17">
        <f>IFERROR(__xludf.DUMMYFUNCTION("""COMPUTED_VALUE"""),6.5)</f>
        <v>6.5</v>
      </c>
      <c r="T280" s="17">
        <f>IFERROR(__xludf.DUMMYFUNCTION("""COMPUTED_VALUE"""),0.0)</f>
        <v>0</v>
      </c>
      <c r="U280" s="14">
        <f>IFERROR(__xludf.DUMMYFUNCTION("""COMPUTED_VALUE"""),3.0)</f>
        <v>3</v>
      </c>
      <c r="V280" s="14">
        <v>2025.0</v>
      </c>
      <c r="W280" s="2" t="s">
        <v>1168</v>
      </c>
      <c r="X280" s="2" t="s">
        <v>1188</v>
      </c>
      <c r="Y280" s="13" t="s">
        <v>1085</v>
      </c>
      <c r="Z280" s="14">
        <v>0.0</v>
      </c>
      <c r="AA280" s="14">
        <v>0.0</v>
      </c>
      <c r="AB280" s="14">
        <v>0.0</v>
      </c>
      <c r="AC280" s="14">
        <v>0.0</v>
      </c>
      <c r="AD280" s="2">
        <v>0.0</v>
      </c>
      <c r="AE280" s="2">
        <v>0.0</v>
      </c>
      <c r="AF280" s="2">
        <v>12.0</v>
      </c>
      <c r="AG280" s="2" t="s">
        <v>1196</v>
      </c>
      <c r="AH280" s="2">
        <v>0.0</v>
      </c>
    </row>
    <row r="281" ht="15.75" customHeight="1">
      <c r="A281" s="2" t="str">
        <f>IFERROR(__xludf.DUMMYFUNCTION("""COMPUTED_VALUE"""),"TV Azteca")</f>
        <v>TV Azteca</v>
      </c>
      <c r="B281" s="12" t="str">
        <f>IFERROR(__xludf.DUMMYFUNCTION("""COMPUTED_VALUE"""),"Vuelca y se incendia pipa con chapopote en Chiapas; reportan una persona sin vida")</f>
        <v>Vuelca y se incendia pipa con chapopote en Chiapas; reportan una persona sin vida</v>
      </c>
      <c r="C281" s="13" t="str">
        <f>IFERROR(__xludf.DUMMYFUNCTION("""COMPUTED_VALUE"""),"2025-12-21 03:55:42")</f>
        <v>2025-12-21 03:55:42</v>
      </c>
      <c r="D281" s="14">
        <f>IFERROR(__xludf.DUMMYFUNCTION("""COMPUTED_VALUE"""),2.0)</f>
        <v>2</v>
      </c>
      <c r="E281" s="15">
        <f>IFERROR(__xludf.DUMMYFUNCTION("""COMPUTED_VALUE"""),-0.5758)</f>
        <v>-0.5758</v>
      </c>
      <c r="F281" s="2" t="str">
        <f>IFERROR(__xludf.DUMMYFUNCTION("""COMPUTED_VALUE"""),"Negativo")</f>
        <v>Negativo</v>
      </c>
      <c r="G281" s="15">
        <f>IFERROR(__xludf.DUMMYFUNCTION("""COMPUTED_VALUE"""),0.5758)</f>
        <v>0.5758</v>
      </c>
      <c r="H281" s="2" t="str">
        <f>IFERROR(__xludf.DUMMYFUNCTION("""COMPUTED_VALUE"""),"Accidente de tránsito o choque vial")</f>
        <v>Accidente de tránsito o choque vial</v>
      </c>
      <c r="I281" s="2" t="str">
        <f>IFERROR(__xludf.DUMMYFUNCTION("""COMPUTED_VALUE"""),"volcadura")</f>
        <v>volcadura</v>
      </c>
      <c r="J281" s="2" t="str">
        <f>IFERROR(__xludf.DUMMYFUNCTION("""COMPUTED_VALUE"""),"Soporte DRV: Seguros/Guía post-siniestro.")</f>
        <v>Soporte DRV: Seguros/Guía post-siniestro.</v>
      </c>
      <c r="K281" s="2" t="str">
        <f>IFERROR(__xludf.DUMMYFUNCTION("""COMPUTED_VALUE"""),"Chiapas")</f>
        <v>Chiapas</v>
      </c>
      <c r="L281" s="2" t="str">
        <f>IFERROR(__xludf.DUMMYFUNCTION("""COMPUTED_VALUE"""),"Chiapas")</f>
        <v>Chiapas</v>
      </c>
      <c r="M281" s="16" t="str">
        <f>IFERROR(__xludf.DUMMYFUNCTION("""COMPUTED_VALUE"""),"https://www.tvazteca.com/aztecanoticias/vuelca-y-explota-pipa-chapopote-en-chiapas-hay-una-persona-sin-vida/")</f>
        <v>https://www.tvazteca.com/aztecanoticias/vuelca-y-explota-pipa-chapopote-en-chiapas-hay-una-persona-sin-vida/</v>
      </c>
      <c r="N281" s="2" t="str">
        <f>IFERROR(__xludf.DUMMYFUNCTION("""COMPUTED_VALUE"""),"¡Vuelca pipa con chapopote! Autoridades informaron de manera preliminar sobre un accidente registrado la tarde de este sábado en elmunicipio de Chamula, Chiapas, luego de que unapipa que transportaba material peligroso,específicamente chapopote, volcara e"&amp;"n Tojtic.Reportan una persona sin vida. El percance generó la movilización decuerpos de emergencia,quienes acudieron al sitio para evaluar los riesgos, controlar la situación y evitar posibles afectaciones a la población y al entorno, mientras se determin"&amp;"an las causas del accidente. ElSistema Estatal de Protección Civilinformó de manera preliminar sobre un accidente de alto riesgo ocurrido la tarde de este día en el municipio deChamula, específicamenteen la localidad de Tojtic, donde se registró lavolcadu"&amp;"ra y la explosión de una pipa. De acuerdo con el reporte inicial de las autoridades,el saldo preliminar del accidente es de una persona sin signos vitales,quien hasta el momento permanece encalidad de desconocido,así comoun masculino lesionado en código r"&amp;"ojo,lo que indica que su estado desalud es crítico. Ambos casos fueron atendidos en el lugar por personal especializado, mientras se llevaban a cabo las labores de auxilio y control de riesgos. Ante la volcadura de la unidad, las autoridades implementaron"&amp;" medidas preventivas para asegurar la zona y evitar mayores afectaciones, considerando que elchapopote es un material peligroso que puede representar riesgos tanto para la población como para el entorno. El área fue intervenida por la fuerza de tarea desp"&amp;"legada, integrada por elementos deProtección Civil Municipal y Policía Municipal,quienes realizan trabajos de atención, coordinación y apoyo en el sitio. Las autoridades municipales y estatales continúan recabando información para esclarecer las circunsta"&amp;"ncias en las que ocurrió el accidente, así como para determinar responsabilidades y evaluar posibles daños adicionales. ElSistema Estatal de Protección Civil del estadoseñaló que la información es de carácter preliminar y que conforme avancen las investig"&amp;"aciones se dará a conocer cualquier actualización oficial sobre este hecho registrado enChamula.")</f>
        <v>¡Vuelca pipa con chapopote! Autoridades informaron de manera preliminar sobre un accidente registrado la tarde de este sábado en elmunicipio de Chamula, Chiapas, luego de que unapipa que transportaba material peligroso,específicamente chapopote, volcara en Tojtic.Reportan una persona sin vida. El percance generó la movilización decuerpos de emergencia,quienes acudieron al sitio para evaluar los riesgos, controlar la situación y evitar posibles afectaciones a la población y al entorno, mientras se determinan las causas del accidente. ElSistema Estatal de Protección Civilinformó de manera preliminar sobre un accidente de alto riesgo ocurrido la tarde de este día en el municipio deChamula, específicamenteen la localidad de Tojtic, donde se registró lavolcadura y la explosión de una pipa. De acuerdo con el reporte inicial de las autoridades,el saldo preliminar del accidente es de una persona sin signos vitales,quien hasta el momento permanece encalidad de desconocido,así comoun masculino lesionado en código rojo,lo que indica que su estado desalud es crítico. Ambos casos fueron atendidos en el lugar por personal especializado, mientras se llevaban a cabo las labores de auxilio y control de riesgos. Ante la volcadura de la unidad, las autoridades implementaron medidas preventivas para asegurar la zona y evitar mayores afectaciones, considerando que elchapopote es un material peligroso que puede representar riesgos tanto para la población como para el entorno. El área fue intervenida por la fuerza de tarea desplegada, integrada por elementos deProtección Civil Municipal y Policía Municipal,quienes realizan trabajos de atención, coordinación y apoyo en el sitio. Las autoridades municipales y estatales continúan recabando información para esclarecer las circunstancias en las que ocurrió el accidente, así como para determinar responsabilidades y evaluar posibles daños adicionales. ElSistema Estatal de Protección Civil del estadoseñaló que la información es de carácter preliminar y que conforme avancen las investigaciones se dará a conocer cualquier actualización oficial sobre este hecho registrado enChamula.</v>
      </c>
      <c r="O281" s="15">
        <f>IFERROR(__xludf.DUMMYFUNCTION("""COMPUTED_VALUE"""),1.0)</f>
        <v>1</v>
      </c>
      <c r="P281" s="2"/>
      <c r="Q281" s="17">
        <f>IFERROR(__xludf.DUMMYFUNCTION("""COMPUTED_VALUE"""),8.5)</f>
        <v>8.5</v>
      </c>
      <c r="R281" s="2" t="str">
        <f>IFERROR(__xludf.DUMMYFUNCTION("""COMPUTED_VALUE"""),"Medium")</f>
        <v>Medium</v>
      </c>
      <c r="S281" s="17">
        <f>IFERROR(__xludf.DUMMYFUNCTION("""COMPUTED_VALUE"""),1.5)</f>
        <v>1.5</v>
      </c>
      <c r="T281" s="17">
        <f>IFERROR(__xludf.DUMMYFUNCTION("""COMPUTED_VALUE"""),0.0)</f>
        <v>0</v>
      </c>
      <c r="U281" s="14">
        <f>IFERROR(__xludf.DUMMYFUNCTION("""COMPUTED_VALUE"""),3.0)</f>
        <v>3</v>
      </c>
      <c r="V281" s="14">
        <v>2025.0</v>
      </c>
      <c r="W281" s="2" t="s">
        <v>1168</v>
      </c>
      <c r="X281" s="2" t="s">
        <v>1188</v>
      </c>
      <c r="Y281" s="13" t="s">
        <v>1089</v>
      </c>
      <c r="Z281" s="14">
        <v>0.0</v>
      </c>
      <c r="AA281" s="14">
        <v>0.0</v>
      </c>
      <c r="AB281" s="14">
        <v>0.0</v>
      </c>
      <c r="AC281" s="14">
        <v>0.0</v>
      </c>
      <c r="AD281" s="2">
        <v>0.0</v>
      </c>
      <c r="AE281" s="2">
        <v>0.0</v>
      </c>
      <c r="AF281" s="2">
        <v>12.0</v>
      </c>
      <c r="AG281" s="2" t="s">
        <v>1190</v>
      </c>
      <c r="AH281" s="2">
        <v>0.0</v>
      </c>
    </row>
    <row r="282" ht="15.75" customHeight="1">
      <c r="A282" s="2" t="str">
        <f>IFERROR(__xludf.DUMMYFUNCTION("""COMPUTED_VALUE"""),"TV Azteca")</f>
        <v>TV Azteca</v>
      </c>
      <c r="B282" s="12" t="str">
        <f>IFERROR(__xludf.DUMMYFUNCTION("""COMPUTED_VALUE"""),"Fallece la influencer ""Mayits"": esto se sabe sobre la muerte de María José Calderón")</f>
        <v>Fallece la influencer "Mayits": esto se sabe sobre la muerte de María José Calderón</v>
      </c>
      <c r="C282" s="13" t="str">
        <f>IFERROR(__xludf.DUMMYFUNCTION("""COMPUTED_VALUE"""),"2025-12-21 00:38:11")</f>
        <v>2025-12-21 00:38:11</v>
      </c>
      <c r="D282" s="14">
        <f>IFERROR(__xludf.DUMMYFUNCTION("""COMPUTED_VALUE"""),4.0)</f>
        <v>4</v>
      </c>
      <c r="E282" s="15">
        <f>IFERROR(__xludf.DUMMYFUNCTION("""COMPUTED_VALUE"""),-0.9244)</f>
        <v>-0.9244</v>
      </c>
      <c r="F282" s="2" t="str">
        <f>IFERROR(__xludf.DUMMYFUNCTION("""COMPUTED_VALUE"""),"Negativo")</f>
        <v>Negativo</v>
      </c>
      <c r="G282" s="15">
        <f>IFERROR(__xludf.DUMMYFUNCTION("""COMPUTED_VALUE"""),0.9244)</f>
        <v>0.9244</v>
      </c>
      <c r="H282" s="2" t="str">
        <f>IFERROR(__xludf.DUMMYFUNCTION("""COMPUTED_VALUE"""),"Accidente de tránsito o choque vial")</f>
        <v>Accidente de tránsito o choque vial</v>
      </c>
      <c r="I282" s="2" t="str">
        <f>IFERROR(__xludf.DUMMYFUNCTION("""COMPUTED_VALUE"""),"choque")</f>
        <v>choque</v>
      </c>
      <c r="J282" s="2" t="str">
        <f>IFERROR(__xludf.DUMMYFUNCTION("""COMPUTED_VALUE"""),"Soporte DRV: Seguros/Guía post-siniestro.")</f>
        <v>Soporte DRV: Seguros/Guía post-siniestro.</v>
      </c>
      <c r="K282" s="2" t="str">
        <f>IFERROR(__xludf.DUMMYFUNCTION("""COMPUTED_VALUE"""),"Monterrey")</f>
        <v>Monterrey</v>
      </c>
      <c r="L282" s="2" t="str">
        <f>IFERROR(__xludf.DUMMYFUNCTION("""COMPUTED_VALUE"""),"Nuevo León")</f>
        <v>Nuevo León</v>
      </c>
      <c r="M282" s="16" t="str">
        <f>IFERROR(__xludf.DUMMYFUNCTION("""COMPUTED_VALUE"""),"https://www.tvazteca.com/aztecanoticias/que-murio-mayits-esto-se-sabe-la-muerte-la-influencer-maria-jose-calderon/")</f>
        <v>https://www.tvazteca.com/aztecanoticias/que-murio-mayits-esto-se-sabe-la-muerte-la-influencer-maria-jose-calderon/</v>
      </c>
      <c r="N282" s="2" t="str">
        <f>IFERROR(__xludf.DUMMYFUNCTION("""COMPUTED_VALUE"""),"El mundo digital amaneciódevastado. Lasredes socialesse llenaron de mensajes de dolor y despedida tras confirmarse eltrágico fallecimiento de la influencer, modelo y creadora de contenido María José Calderón, conocida como “Mayits”, quien perdió la vida a"&amp;" los 23 años de edad en unaccidente vial. De acuerdo con la información con medios locales,“Mayits” falleció de manera instantánea luego de verse involucrada en un choque contra un camión, ocurrido minutos antes del mediodía del jueves 18 de diciembre, so"&amp;"bre la avenida Regional, a la altura del sector deIndustriales y la plaza comercial Monterrey. La joven, originaria deMedellín, Antioquia, Colombia,sedesplazaba en su motocicleta en sentido norte–sur, en medio de una alta congestión vehicular. Según los r"&amp;"eportes, transitaba detrás de un camión de carga cuando este frenó de manera repentina en un carril de incorporación, lo que le impidió maniobrar o frenar a tiempo, impactando directamente contra la parte trasera del vehículo pesado. El choque provocó que"&amp;"María José sufriera un fuerte golpe en la cabeza.Aunque portaba casco,la gravedad del impacto le causó la muerte en el lugar de los hechos. Minutos después arribó una ambulancia; sin embargo, los cuerpos de emergencia confirmaron que la joven ya no presen"&amp;"taba signos vitales. La influencer filipina Gina Lima fallecióa los 23 años de edad el 16 de noviembre de 2025, y su pareja, el también creador de contenido Ivan Cezar Ronquillo, murió tres días después a los 24 años. Un informe elaborado por la unidad fo"&amp;"rense de la Policía deQuezon Cityindica queLimapresentaba lesiones externas no fatales, además de líquido en los pulmones y congestión en el corazón. La causa exacta de su muerte sigue sin ser determinada a la espera de los resultados depruebas toxicológi"&amp;"cas. Durante una conferencia de prensa, la vocera de la policía de Quezon City,Jennifer Gannaban, informó que en la habitación dondeLimafue hallada inconsciente se encontraron marihuana y otros medicamentos.")</f>
        <v>El mundo digital amaneciódevastado. Lasredes socialesse llenaron de mensajes de dolor y despedida tras confirmarse eltrágico fallecimiento de la influencer, modelo y creadora de contenido María José Calderón, conocida como “Mayits”, quien perdió la vida a los 23 años de edad en unaccidente vial. De acuerdo con la información con medios locales,“Mayits” falleció de manera instantánea luego de verse involucrada en un choque contra un camión, ocurrido minutos antes del mediodía del jueves 18 de diciembre, sobre la avenida Regional, a la altura del sector deIndustriales y la plaza comercial Monterrey. La joven, originaria deMedellín, Antioquia, Colombia,sedesplazaba en su motocicleta en sentido norte–sur, en medio de una alta congestión vehicular. Según los reportes, transitaba detrás de un camión de carga cuando este frenó de manera repentina en un carril de incorporación, lo que le impidió maniobrar o frenar a tiempo, impactando directamente contra la parte trasera del vehículo pesado. El choque provocó queMaría José sufriera un fuerte golpe en la cabeza.Aunque portaba casco,la gravedad del impacto le causó la muerte en el lugar de los hechos. Minutos después arribó una ambulancia; sin embargo, los cuerpos de emergencia confirmaron que la joven ya no presentaba signos vitales. La influencer filipina Gina Lima fallecióa los 23 años de edad el 16 de noviembre de 2025, y su pareja, el también creador de contenido Ivan Cezar Ronquillo, murió tres días después a los 24 años. Un informe elaborado por la unidad forense de la Policía deQuezon Cityindica queLimapresentaba lesiones externas no fatales, además de líquido en los pulmones y congestión en el corazón. La causa exacta de su muerte sigue sin ser determinada a la espera de los resultados depruebas toxicológicas. Durante una conferencia de prensa, la vocera de la policía de Quezon City,Jennifer Gannaban, informó que en la habitación dondeLimafue hallada inconsciente se encontraron marihuana y otros medicamentos.</v>
      </c>
      <c r="O282" s="15">
        <f>IFERROR(__xludf.DUMMYFUNCTION("""COMPUTED_VALUE"""),1.0)</f>
        <v>1</v>
      </c>
      <c r="P282" s="2"/>
      <c r="Q282" s="17">
        <f>IFERROR(__xludf.DUMMYFUNCTION("""COMPUTED_VALUE"""),1.0)</f>
        <v>1</v>
      </c>
      <c r="R282" s="2" t="str">
        <f>IFERROR(__xludf.DUMMYFUNCTION("""COMPUTED_VALUE"""),"Low")</f>
        <v>Low</v>
      </c>
      <c r="S282" s="17">
        <f>IFERROR(__xludf.DUMMYFUNCTION("""COMPUTED_VALUE"""),0.0)</f>
        <v>0</v>
      </c>
      <c r="T282" s="17">
        <f>IFERROR(__xludf.DUMMYFUNCTION("""COMPUTED_VALUE"""),0.0)</f>
        <v>0</v>
      </c>
      <c r="U282" s="14">
        <f>IFERROR(__xludf.DUMMYFUNCTION("""COMPUTED_VALUE"""),3.0)</f>
        <v>3</v>
      </c>
      <c r="V282" s="14">
        <v>2025.0</v>
      </c>
      <c r="W282" s="2" t="s">
        <v>1168</v>
      </c>
      <c r="X282" s="2" t="s">
        <v>1188</v>
      </c>
      <c r="Y282" s="13" t="s">
        <v>1093</v>
      </c>
      <c r="Z282" s="14">
        <v>0.0</v>
      </c>
      <c r="AA282" s="14">
        <v>0.0</v>
      </c>
      <c r="AB282" s="14">
        <v>0.0</v>
      </c>
      <c r="AC282" s="14">
        <v>0.0</v>
      </c>
      <c r="AD282" s="2">
        <v>0.0</v>
      </c>
      <c r="AE282" s="2">
        <v>1.0</v>
      </c>
      <c r="AF282" s="2">
        <v>12.0</v>
      </c>
      <c r="AG282" s="2" t="s">
        <v>1228</v>
      </c>
      <c r="AH282" s="2">
        <v>0.0</v>
      </c>
    </row>
    <row r="283" ht="15.75" customHeight="1">
      <c r="A283" s="2" t="str">
        <f>IFERROR(__xludf.DUMMYFUNCTION("""COMPUTED_VALUE"""),"TV Azteca")</f>
        <v>TV Azteca</v>
      </c>
      <c r="B283" s="12" t="str">
        <f>IFERROR(__xludf.DUMMYFUNCTION("""COMPUTED_VALUE"""),"Fatal intento: conductor muere arrollado por tren en carretera estatal de Huichapan al intentar ganarle el paso")</f>
        <v>Fatal intento: conductor muere arrollado por tren en carretera estatal de Huichapan al intentar ganarle el paso</v>
      </c>
      <c r="C283" s="13" t="str">
        <f>IFERROR(__xludf.DUMMYFUNCTION("""COMPUTED_VALUE"""),"2025-12-20 22:56:12")</f>
        <v>2025-12-20 22:56:12</v>
      </c>
      <c r="D283" s="14">
        <f>IFERROR(__xludf.DUMMYFUNCTION("""COMPUTED_VALUE"""),4.0)</f>
        <v>4</v>
      </c>
      <c r="E283" s="15">
        <f>IFERROR(__xludf.DUMMYFUNCTION("""COMPUTED_VALUE"""),-0.8852)</f>
        <v>-0.8852</v>
      </c>
      <c r="F283" s="2" t="str">
        <f>IFERROR(__xludf.DUMMYFUNCTION("""COMPUTED_VALUE"""),"Negativo")</f>
        <v>Negativo</v>
      </c>
      <c r="G283" s="15">
        <f>IFERROR(__xludf.DUMMYFUNCTION("""COMPUTED_VALUE"""),0.8852)</f>
        <v>0.8852</v>
      </c>
      <c r="H283" s="2" t="str">
        <f>IFERROR(__xludf.DUMMYFUNCTION("""COMPUTED_VALUE"""),"Accidente de tránsito o choque vial")</f>
        <v>Accidente de tránsito o choque vial</v>
      </c>
      <c r="I283" s="2" t="str">
        <f>IFERROR(__xludf.DUMMYFUNCTION("""COMPUTED_VALUE"""),"N/A")</f>
        <v>N/A</v>
      </c>
      <c r="J283" s="2" t="str">
        <f>IFERROR(__xludf.DUMMYFUNCTION("""COMPUTED_VALUE"""),"Soporte DRV: Seguros/Guía post-siniestro.")</f>
        <v>Soporte DRV: Seguros/Guía post-siniestro.</v>
      </c>
      <c r="K283" s="2" t="str">
        <f>IFERROR(__xludf.DUMMYFUNCTION("""COMPUTED_VALUE"""),"Monterrey")</f>
        <v>Monterrey</v>
      </c>
      <c r="L283" s="2" t="str">
        <f>IFERROR(__xludf.DUMMYFUNCTION("""COMPUTED_VALUE"""),"Nuevo León")</f>
        <v>Nuevo León</v>
      </c>
      <c r="M283" s="16" t="str">
        <f>IFERROR(__xludf.DUMMYFUNCTION("""COMPUTED_VALUE"""),"https://www.tvazteca.com/aztecanoticias/conductor-muere-al-intentar-ganarle-el-paso-al-tren-en-la-carretera-huichapan-san-jose/")</f>
        <v>https://www.tvazteca.com/aztecanoticias/conductor-muere-al-intentar-ganarle-el-paso-al-tren-en-la-carretera-huichapan-san-jose/</v>
      </c>
      <c r="N283" s="2" t="str">
        <f>IFERROR(__xludf.DUMMYFUNCTION("""COMPUTED_VALUE"""),"Un conductor muere enHuichapantras un trágico intento por ganarle el paso a una locomotora la mañana del viernes 20 de diciembre, cuandoun vehículo particular fue impactado por un trende Ferromex sobre lacarretera estatal Huichapan–San José,a la altura de"&amp;" la estación del tren. De acuerdo con los reportes de laSecretaría de Seguridad Pública del Municipio de Huichapan,el accidente ocurrió cuando el conductor del automóvil no respetó el derecho de vía del tren, lo que provocó el impacto directo con la locom"&amp;"otora. Tras el reporte de emergencia, elementos deSeguridad Pública Municipal y de Protección Civilacudieron de inmediato al lugar. Al arribar, los cuerpos de auxilio confirmaron que el conductor del vehículo ya no contaba con signos vitales, por lo que s"&amp;"e acordonó la zona para preservar el lugar de los hechos y facilitar las labores correspondientes. La unidad particular quedó sobre lasvías férreas,lo que generó afectaciones temporales a la circulación del tren en ese tramo. Las autoridades municipales i"&amp;"nformaron que se dio aviso alMinisterio Público, quedando el sitio bajo resguardo en espera del arribo de los servicios periciales de laProcuraduría del Estado, quienes se encargarán de realizar las diligencias necesarias y el levantamiento del cuerpo. Ha"&amp;"sta el momento, las autoridades no se han dado a conocer más detalles sobre la identidad del conductor fallecido. El pasado domingo 14 de diciembre, se registró un fuerte sobre lacarretera Miguel Alemán, en laZona Metropolitana de Monterrey. Donde unautob"&amp;"úsperdió el control por causas que aún se encuentran bajo investigación, por lo que la unidad terminó volcada a un costado de la carretera. El accidente ocurrido en laruta 611 Apodaca-Pesquería, y se confirmó de manera oficial que al menos ocho personas m"&amp;"urieron en el lugar, mientras que otras más resultaron lesionadas, algunas de ellas de gravedad.")</f>
        <v>Un conductor muere enHuichapantras un trágico intento por ganarle el paso a una locomotora la mañana del viernes 20 de diciembre, cuandoun vehículo particular fue impactado por un trende Ferromex sobre lacarretera estatal Huichapan–San José,a la altura de la estación del tren. De acuerdo con los reportes de laSecretaría de Seguridad Pública del Municipio de Huichapan,el accidente ocurrió cuando el conductor del automóvil no respetó el derecho de vía del tren, lo que provocó el impacto directo con la locomotora. Tras el reporte de emergencia, elementos deSeguridad Pública Municipal y de Protección Civilacudieron de inmediato al lugar. Al arribar, los cuerpos de auxilio confirmaron que el conductor del vehículo ya no contaba con signos vitales, por lo que se acordonó la zona para preservar el lugar de los hechos y facilitar las labores correspondientes. La unidad particular quedó sobre lasvías férreas,lo que generó afectaciones temporales a la circulación del tren en ese tramo. Las autoridades municipales informaron que se dio aviso alMinisterio Público, quedando el sitio bajo resguardo en espera del arribo de los servicios periciales de laProcuraduría del Estado, quienes se encargarán de realizar las diligencias necesarias y el levantamiento del cuerpo. Hasta el momento, las autoridades no se han dado a conocer más detalles sobre la identidad del conductor fallecido. El pasado domingo 14 de diciembre, se registró un fuerte sobre lacarretera Miguel Alemán, en laZona Metropolitana de Monterrey. Donde unautobúsperdió el control por causas que aún se encuentran bajo investigación, por lo que la unidad terminó volcada a un costado de la carretera. El accidente ocurrido en laruta 611 Apodaca-Pesquería, y se confirmó de manera oficial que al menos ocho personas murieron en el lugar, mientras que otras más resultaron lesionadas, algunas de ellas de gravedad.</v>
      </c>
      <c r="O283" s="15">
        <f>IFERROR(__xludf.DUMMYFUNCTION("""COMPUTED_VALUE"""),0.7408)</f>
        <v>0.7408</v>
      </c>
      <c r="P283" s="2"/>
      <c r="Q283" s="17">
        <f>IFERROR(__xludf.DUMMYFUNCTION("""COMPUTED_VALUE"""),1.0)</f>
        <v>1</v>
      </c>
      <c r="R283" s="2" t="str">
        <f>IFERROR(__xludf.DUMMYFUNCTION("""COMPUTED_VALUE"""),"Low")</f>
        <v>Low</v>
      </c>
      <c r="S283" s="17">
        <f>IFERROR(__xludf.DUMMYFUNCTION("""COMPUTED_VALUE"""),0.0)</f>
        <v>0</v>
      </c>
      <c r="T283" s="17">
        <f>IFERROR(__xludf.DUMMYFUNCTION("""COMPUTED_VALUE"""),0.0)</f>
        <v>0</v>
      </c>
      <c r="U283" s="14">
        <f>IFERROR(__xludf.DUMMYFUNCTION("""COMPUTED_VALUE"""),3.0)</f>
        <v>3</v>
      </c>
      <c r="V283" s="14">
        <v>2025.0</v>
      </c>
      <c r="W283" s="2" t="s">
        <v>1168</v>
      </c>
      <c r="X283" s="2" t="s">
        <v>1194</v>
      </c>
      <c r="Y283" s="13" t="s">
        <v>1097</v>
      </c>
      <c r="Z283" s="14">
        <v>0.0</v>
      </c>
      <c r="AA283" s="14">
        <v>0.0</v>
      </c>
      <c r="AB283" s="14">
        <v>0.0</v>
      </c>
      <c r="AC283" s="14">
        <v>0.0</v>
      </c>
      <c r="AD283" s="2">
        <v>0.0</v>
      </c>
      <c r="AE283" s="2">
        <v>1.0</v>
      </c>
      <c r="AF283" s="2">
        <v>12.0</v>
      </c>
      <c r="AG283" s="2" t="s">
        <v>1228</v>
      </c>
      <c r="AH283" s="2">
        <v>0.0</v>
      </c>
    </row>
    <row r="284" ht="15.75" customHeight="1">
      <c r="A284" s="2" t="str">
        <f>IFERROR(__xludf.DUMMYFUNCTION("""COMPUTED_VALUE"""),"TV Azteca")</f>
        <v>TV Azteca</v>
      </c>
      <c r="B284" s="12" t="str">
        <f>IFERROR(__xludf.DUMMYFUNCTION("""COMPUTED_VALUE"""),"Noche de caótica: volcadura en Viaducto Río Piedad e incendio en bar de la Zona Rosa")</f>
        <v>Noche de caótica: volcadura en Viaducto Río Piedad e incendio en bar de la Zona Rosa</v>
      </c>
      <c r="C284" s="13" t="str">
        <f>IFERROR(__xludf.DUMMYFUNCTION("""COMPUTED_VALUE"""),"2025-12-19 13:06:07")</f>
        <v>2025-12-19 13:06:07</v>
      </c>
      <c r="D284" s="14">
        <f>IFERROR(__xludf.DUMMYFUNCTION("""COMPUTED_VALUE"""),4.0)</f>
        <v>4</v>
      </c>
      <c r="E284" s="15">
        <f>IFERROR(__xludf.DUMMYFUNCTION("""COMPUTED_VALUE"""),-0.7869)</f>
        <v>-0.7869</v>
      </c>
      <c r="F284" s="2" t="str">
        <f>IFERROR(__xludf.DUMMYFUNCTION("""COMPUTED_VALUE"""),"Negativo")</f>
        <v>Negativo</v>
      </c>
      <c r="G284" s="15">
        <f>IFERROR(__xludf.DUMMYFUNCTION("""COMPUTED_VALUE"""),0.7869)</f>
        <v>0.7869</v>
      </c>
      <c r="H284" s="2" t="str">
        <f>IFERROR(__xludf.DUMMYFUNCTION("""COMPUTED_VALUE"""),"Accidente de tránsito o choque vial")</f>
        <v>Accidente de tránsito o choque vial</v>
      </c>
      <c r="I284" s="2" t="str">
        <f>IFERROR(__xludf.DUMMYFUNCTION("""COMPUTED_VALUE"""),"volcadura")</f>
        <v>volcadura</v>
      </c>
      <c r="J284" s="2" t="str">
        <f>IFERROR(__xludf.DUMMYFUNCTION("""COMPUTED_VALUE"""),"Soporte DRV: Seguros/Guía post-siniestro.")</f>
        <v>Soporte DRV: Seguros/Guía post-siniestro.</v>
      </c>
      <c r="K284" s="2" t="str">
        <f>IFERROR(__xludf.DUMMYFUNCTION("""COMPUTED_VALUE"""),"Benito Juárez")</f>
        <v>Benito Juárez</v>
      </c>
      <c r="L284" s="2" t="str">
        <f>IFERROR(__xludf.DUMMYFUNCTION("""COMPUTED_VALUE"""),"Ciudad de México")</f>
        <v>Ciudad de México</v>
      </c>
      <c r="M284" s="16" t="str">
        <f>IFERROR(__xludf.DUMMYFUNCTION("""COMPUTED_VALUE"""),"https://www.tvazteca.com/aztecanoticias/volcadura-viaducto-rio-piedad-incendio-bar-zona-rosa/")</f>
        <v>https://www.tvazteca.com/aztecanoticias/volcadura-viaducto-rio-piedad-incendio-bar-zona-rosa/</v>
      </c>
      <c r="N284" s="2" t="str">
        <f>IFERROR(__xludf.DUMMYFUNCTION("""COMPUTED_VALUE"""),"La madrugada de este viernes, laCiudad de Méxicofue escenario de dos emergencias que movilizaron a los cuerpos de seguridad y rescate, primero se registró unincendioen unbar de la Zona Rosay después lavolcadurade un auto en elViaducto Río de la Piedad, am"&amp;"bos incidentes sin víctimas mortales, pero con importantes afectaciones, además de llamados de alerta a la ciudadanía. ¿Qué pasó en el Viaducto?Un aparatoso accidente vial se registró sobre elViaducto Río de la Piedad, justo a la altura de lacolonia San P"&amp;"edro de los Pinos, en la alcaldía Benito Juárez. De acuerdo con los primeros reportes, el exceso de velocidad, presuntamente combinado con estado de ebriedad, provocó que el conductor perdiera el control de su automóvil. El vehículo se impactó contra el m"&amp;"uro de contención y terminó volcado sobre la cinta asfáltica, generando afectaciones momentáneas a la circulación. Testigos alertaron a los servicios de emergencia a través del 911. Al lugar del siniestro arribaron elementos delHeroico Cuerpo de Bomberos,"&amp;" quienes realizaron maniobras para retirar la unidad y prevenir riesgos adicionales. Paramédicos valoraron al conductor, un hombre de 28 años, quien presentó diversas contusiones. Después de recibir la atenciónprehospitalaria, el automovilista fue asegura"&amp;"do y trasladado ante el Ministerio Público, donde se determinará su situación jurídica. Horas antes, unincendio en el bar Baby, ubicado sobre la calle Londres, en lacolonia Juárez, generó alarma entre clientes y vecinos de la Zona Rosa. El fuego se origin"&amp;"ó en el tercer nivel del inmueble, mientras decenas de jóvenes se encontraban en el lugar. ¿Qué pasó en el bar Baby?Gracias a la rápida reacción del personal, se activaron los protocolos de evacuación, por lo que se logró desalojar a todos los asistentes "&amp;"de forma ordenada.Bomberos de la Ciudad de Méxicoarribaron minutos después y trabajaron para sofocar las llamas, además de evitar la propagación del fuego. Autoridades confirmaron que no se registraron personas lesionadas ni intoxicadas por humo. Las caus"&amp;"as del incendio serán investigadas por las instancias correspondientes. Ante estos siniestros se hace un llamado para evitar el consumo de alcohol al conducir, respetar los límites de velocidad y atender las medidas de seguridad en establecimientos noctur"&amp;"nos. La prevención sigue siendo clave para salvar vidas.")</f>
        <v>La madrugada de este viernes, laCiudad de Méxicofue escenario de dos emergencias que movilizaron a los cuerpos de seguridad y rescate, primero se registró unincendioen unbar de la Zona Rosay después lavolcadurade un auto en elViaducto Río de la Piedad, ambos incidentes sin víctimas mortales, pero con importantes afectaciones, además de llamados de alerta a la ciudadanía. ¿Qué pasó en el Viaducto?Un aparatoso accidente vial se registró sobre elViaducto Río de la Piedad, justo a la altura de lacolonia San Pedro de los Pinos, en la alcaldía Benito Juárez. De acuerdo con los primeros reportes, el exceso de velocidad, presuntamente combinado con estado de ebriedad, provocó que el conductor perdiera el control de su automóvil. El vehículo se impactó contra el muro de contención y terminó volcado sobre la cinta asfáltica, generando afectaciones momentáneas a la circulación. Testigos alertaron a los servicios de emergencia a través del 911. Al lugar del siniestro arribaron elementos delHeroico Cuerpo de Bomberos, quienes realizaron maniobras para retirar la unidad y prevenir riesgos adicionales. Paramédicos valoraron al conductor, un hombre de 28 años, quien presentó diversas contusiones. Después de recibir la atenciónprehospitalaria, el automovilista fue asegurado y trasladado ante el Ministerio Público, donde se determinará su situación jurídica. Horas antes, unincendio en el bar Baby, ubicado sobre la calle Londres, en lacolonia Juárez, generó alarma entre clientes y vecinos de la Zona Rosa. El fuego se originó en el tercer nivel del inmueble, mientras decenas de jóvenes se encontraban en el lugar. ¿Qué pasó en el bar Baby?Gracias a la rápida reacción del personal, se activaron los protocolos de evacuación, por lo que se logró desalojar a todos los asistentes de forma ordenada.Bomberos de la Ciudad de Méxicoarribaron minutos después y trabajaron para sofocar las llamas, además de evitar la propagación del fuego. Autoridades confirmaron que no se registraron personas lesionadas ni intoxicadas por humo. Las causas del incendio serán investigadas por las instancias correspondientes. Ante estos siniestros se hace un llamado para evitar el consumo de alcohol al conducir, respetar los límites de velocidad y atender las medidas de seguridad en establecimientos nocturnos. La prevención sigue siendo clave para salvar vidas.</v>
      </c>
      <c r="O284" s="15">
        <f>IFERROR(__xludf.DUMMYFUNCTION("""COMPUTED_VALUE"""),1.0)</f>
        <v>1</v>
      </c>
      <c r="P284" s="2"/>
      <c r="Q284" s="17">
        <f>IFERROR(__xludf.DUMMYFUNCTION("""COMPUTED_VALUE"""),2.0)</f>
        <v>2</v>
      </c>
      <c r="R284" s="2" t="str">
        <f>IFERROR(__xludf.DUMMYFUNCTION("""COMPUTED_VALUE"""),"Low")</f>
        <v>Low</v>
      </c>
      <c r="S284" s="17">
        <f>IFERROR(__xludf.DUMMYFUNCTION("""COMPUTED_VALUE"""),0.0)</f>
        <v>0</v>
      </c>
      <c r="T284" s="17">
        <f>IFERROR(__xludf.DUMMYFUNCTION("""COMPUTED_VALUE"""),0.0)</f>
        <v>0</v>
      </c>
      <c r="U284" s="14">
        <f>IFERROR(__xludf.DUMMYFUNCTION("""COMPUTED_VALUE"""),3.0)</f>
        <v>3</v>
      </c>
      <c r="V284" s="14">
        <v>2025.0</v>
      </c>
      <c r="W284" s="2" t="s">
        <v>1168</v>
      </c>
      <c r="X284" s="2" t="s">
        <v>1199</v>
      </c>
      <c r="Y284" s="13" t="s">
        <v>1101</v>
      </c>
      <c r="Z284" s="14">
        <v>0.0</v>
      </c>
      <c r="AA284" s="14">
        <v>0.0</v>
      </c>
      <c r="AB284" s="14">
        <v>0.0</v>
      </c>
      <c r="AC284" s="14">
        <v>0.0</v>
      </c>
      <c r="AD284" s="2">
        <v>0.0</v>
      </c>
      <c r="AE284" s="2">
        <v>1.0</v>
      </c>
      <c r="AF284" s="2">
        <v>12.0</v>
      </c>
      <c r="AG284" s="2" t="s">
        <v>1232</v>
      </c>
      <c r="AH284" s="2">
        <v>0.0</v>
      </c>
    </row>
    <row r="285" ht="15.75" customHeight="1">
      <c r="A285" s="2" t="str">
        <f>IFERROR(__xludf.DUMMYFUNCTION("""COMPUTED_VALUE"""),"TV Azteca")</f>
        <v>TV Azteca</v>
      </c>
      <c r="B285" s="12" t="str">
        <f>IFERROR(__xludf.DUMMYFUNCTION("""COMPUTED_VALUE"""),"Desalojo masivo en centro de Toluca por fuga de gas; evacúan a más de mil personas")</f>
        <v>Desalojo masivo en centro de Toluca por fuga de gas; evacúan a más de mil personas</v>
      </c>
      <c r="C285" s="13" t="str">
        <f>IFERROR(__xludf.DUMMYFUNCTION("""COMPUTED_VALUE"""),"2025-12-18 20:52:03")</f>
        <v>2025-12-18 20:52:03</v>
      </c>
      <c r="D285" s="14">
        <f>IFERROR(__xludf.DUMMYFUNCTION("""COMPUTED_VALUE"""),3.0)</f>
        <v>3</v>
      </c>
      <c r="E285" s="15">
        <f>IFERROR(__xludf.DUMMYFUNCTION("""COMPUTED_VALUE"""),-0.823)</f>
        <v>-0.823</v>
      </c>
      <c r="F285" s="2" t="str">
        <f>IFERROR(__xludf.DUMMYFUNCTION("""COMPUTED_VALUE"""),"Negativo")</f>
        <v>Negativo</v>
      </c>
      <c r="G285" s="15">
        <f>IFERROR(__xludf.DUMMYFUNCTION("""COMPUTED_VALUE"""),0.823)</f>
        <v>0.823</v>
      </c>
      <c r="H285" s="2" t="str">
        <f>IFERROR(__xludf.DUMMYFUNCTION("""COMPUTED_VALUE"""),"Protestas o bloqueos viales")</f>
        <v>Protestas o bloqueos viales</v>
      </c>
      <c r="I285" s="2" t="str">
        <f>IFERROR(__xludf.DUMMYFUNCTION("""COMPUTED_VALUE"""),"N/A")</f>
        <v>N/A</v>
      </c>
      <c r="J285" s="2" t="str">
        <f>IFERROR(__xludf.DUMMYFUNCTION("""COMPUTED_VALUE"""),"Operaciones: Notificar zonas a evitar (Waze/Maps).")</f>
        <v>Operaciones: Notificar zonas a evitar (Waze/Maps).</v>
      </c>
      <c r="K285" s="2" t="str">
        <f>IFERROR(__xludf.DUMMYFUNCTION("""COMPUTED_VALUE"""),"Toluca")</f>
        <v>Toluca</v>
      </c>
      <c r="L285" s="2" t="str">
        <f>IFERROR(__xludf.DUMMYFUNCTION("""COMPUTED_VALUE"""),"Estado de México")</f>
        <v>Estado de México</v>
      </c>
      <c r="M285" s="16" t="str">
        <f>IFERROR(__xludf.DUMMYFUNCTION("""COMPUTED_VALUE"""),"https://www.tvazteca.com/aztecanoticias/edomex-fuga-gas-en-el-centro-toluca-provoca-evacuacion-masiva-y-cierres-viales-hoy/")</f>
        <v>https://www.tvazteca.com/aztecanoticias/edomex-fuga-gas-en-el-centro-toluca-provoca-evacuacion-masiva-y-cierres-viales-hoy/</v>
      </c>
      <c r="N285" s="2" t="str">
        <f>IFERROR(__xludf.DUMMYFUNCTION("""COMPUTED_VALUE"""),"Unafuga gasen plenocentrodeTolucaencendió lasalertasla mañana deeste 18 de diciembrey provocó undesalojo masivoen una de las zonas más transitadas de la capital delEdomex. La emergencia se registró en el barrio deLa Merced,donde trabajos de encarpentamien"&amp;"to habríandañadounducto de gas natural, generando unamovilizacióninmediata decuerpos de auxilio. De acuerdo con los primeros reportes oficiales, la fuga de gas en el centro deTolucaocurrió cuando personal que realizaba obras golpeó accidentalmente una lín"&amp;"ea subterránea, lo que ocasionó una liberación de gas y un riesgo latente para habitantes, comerciantes y peatones. En cuestión de minutos, el olor se expandió por varias calles, obligando a activar protocolos de seguridad. Elementos de Protección CivilyB"&amp;"omberos de Tolucaacudieron de inmediato al sitio de la fuga gas en el centro deTolucapara acordonar el área y evitar un incidente mayor. Paralelamente, personal especializado de la empresa proveedora comenzó las maniobras para controlar y reparar el ducto"&amp;" afectado, mientras se mantenía el monitoreo constante de la zona. TAMBIÉN TE PUEDE INTERESAR:TENSIÓN CERCA DEL ESTADIO AZTECA: VUELCA PIPA CON 31 MIL LITROS DE GASOLINA Como medida preventiva ante lafuga de gasen el centro deToluca, se ordenó la evacuaci"&amp;"ón temporal de viviendas, negocios y planteles educativos cercanos. Autoridades estatales confirmaron que se desalojó un perímetro de al menos 100 metros a la redonda, incluyendo una escuela primaria, con un saldo aproximado de mil 500 personas evacuadas."&amp;" ElAyuntamiento de Tolucainformó que, derivado de lafuga gasen el centro deToluca, se realizaron cierres viales estratégicos, entre ellos la avenida Morelos, desde la calle Felipe Villanueva, para facilitar el trabajo de los cuerpos de emergencia y reduci"&amp;"r riesgos para automovilistas y peatones. Hasta el momento, las autoridades reportan que lafuga de gasen centro elTolucano ha dejado personas lesionadas ni intoxicadas, aunque sí se atendieron casos de crisis nerviosa entre algunos evacuados. Los cuerpos "&amp;"de auxilio reiteraron el llamado a la población a no acercarse al sitio y a seguir únicamente información oficial.")</f>
        <v>Unafuga gasen plenocentrodeTolucaencendió lasalertasla mañana deeste 18 de diciembrey provocó undesalojo masivoen una de las zonas más transitadas de la capital delEdomex. La emergencia se registró en el barrio deLa Merced,donde trabajos de encarpentamiento habríandañadounducto de gas natural, generando unamovilizacióninmediata decuerpos de auxilio. De acuerdo con los primeros reportes oficiales, la fuga de gas en el centro deTolucaocurrió cuando personal que realizaba obras golpeó accidentalmente una línea subterránea, lo que ocasionó una liberación de gas y un riesgo latente para habitantes, comerciantes y peatones. En cuestión de minutos, el olor se expandió por varias calles, obligando a activar protocolos de seguridad. Elementos de Protección CivilyBomberos de Tolucaacudieron de inmediato al sitio de la fuga gas en el centro deTolucapara acordonar el área y evitar un incidente mayor. Paralelamente, personal especializado de la empresa proveedora comenzó las maniobras para controlar y reparar el ducto afectado, mientras se mantenía el monitoreo constante de la zona. TAMBIÉN TE PUEDE INTERESAR:TENSIÓN CERCA DEL ESTADIO AZTECA: VUELCA PIPA CON 31 MIL LITROS DE GASOLINA Como medida preventiva ante lafuga de gasen el centro deToluca, se ordenó la evacuación temporal de viviendas, negocios y planteles educativos cercanos. Autoridades estatales confirmaron que se desalojó un perímetro de al menos 100 metros a la redonda, incluyendo una escuela primaria, con un saldo aproximado de mil 500 personas evacuadas. ElAyuntamiento de Tolucainformó que, derivado de lafuga gasen el centro deToluca, se realizaron cierres viales estratégicos, entre ellos la avenida Morelos, desde la calle Felipe Villanueva, para facilitar el trabajo de los cuerpos de emergencia y reducir riesgos para automovilistas y peatones. Hasta el momento, las autoridades reportan que lafuga de gasen centro elTolucano ha dejado personas lesionadas ni intoxicadas, aunque sí se atendieron casos de crisis nerviosa entre algunos evacuados. Los cuerpos de auxilio reiteraron el llamado a la población a no acercarse al sitio y a seguir únicamente información oficial.</v>
      </c>
      <c r="O285" s="15">
        <f>IFERROR(__xludf.DUMMYFUNCTION("""COMPUTED_VALUE"""),0.9153)</f>
        <v>0.9153</v>
      </c>
      <c r="P285" s="2"/>
      <c r="Q285" s="17">
        <f>IFERROR(__xludf.DUMMYFUNCTION("""COMPUTED_VALUE"""),4.5)</f>
        <v>4.5</v>
      </c>
      <c r="R285" s="2" t="str">
        <f>IFERROR(__xludf.DUMMYFUNCTION("""COMPUTED_VALUE"""),"Medium")</f>
        <v>Medium</v>
      </c>
      <c r="S285" s="17">
        <f>IFERROR(__xludf.DUMMYFUNCTION("""COMPUTED_VALUE"""),2.5)</f>
        <v>2.5</v>
      </c>
      <c r="T285" s="17">
        <f>IFERROR(__xludf.DUMMYFUNCTION("""COMPUTED_VALUE"""),0.0)</f>
        <v>0</v>
      </c>
      <c r="U285" s="14">
        <f>IFERROR(__xludf.DUMMYFUNCTION("""COMPUTED_VALUE"""),3.0)</f>
        <v>3</v>
      </c>
      <c r="V285" s="14">
        <v>2025.0</v>
      </c>
      <c r="W285" s="2" t="s">
        <v>1168</v>
      </c>
      <c r="X285" s="2" t="s">
        <v>1201</v>
      </c>
      <c r="Y285" s="13" t="s">
        <v>1106</v>
      </c>
      <c r="Z285" s="14">
        <v>0.0</v>
      </c>
      <c r="AA285" s="14">
        <v>0.0</v>
      </c>
      <c r="AB285" s="14">
        <v>0.0</v>
      </c>
      <c r="AC285" s="14">
        <v>0.0</v>
      </c>
      <c r="AD285" s="2">
        <v>0.0</v>
      </c>
      <c r="AE285" s="2">
        <v>0.0</v>
      </c>
      <c r="AF285" s="2">
        <v>12.0</v>
      </c>
      <c r="AG285" s="2" t="s">
        <v>1216</v>
      </c>
      <c r="AH285" s="2">
        <v>0.0</v>
      </c>
    </row>
    <row r="286" ht="15.75" customHeight="1">
      <c r="A286" s="2" t="str">
        <f>IFERROR(__xludf.DUMMYFUNCTION("""COMPUTED_VALUE"""),"TV Azteca")</f>
        <v>TV Azteca</v>
      </c>
      <c r="B286" s="12" t="str">
        <f>IFERROR(__xludf.DUMMYFUNCTION("""COMPUTED_VALUE"""),"Familia fallecida en avionazo de Toluca acababa de ganar campeonato de béisbol")</f>
        <v>Familia fallecida en avionazo de Toluca acababa de ganar campeonato de béisbol</v>
      </c>
      <c r="C286" s="13" t="str">
        <f>IFERROR(__xludf.DUMMYFUNCTION("""COMPUTED_VALUE"""),"2025-12-18 18:32:42")</f>
        <v>2025-12-18 18:32:42</v>
      </c>
      <c r="D286" s="14">
        <f>IFERROR(__xludf.DUMMYFUNCTION("""COMPUTED_VALUE"""),4.0)</f>
        <v>4</v>
      </c>
      <c r="E286" s="15">
        <f>IFERROR(__xludf.DUMMYFUNCTION("""COMPUTED_VALUE"""),-0.9683)</f>
        <v>-0.9683</v>
      </c>
      <c r="F286" s="2" t="str">
        <f>IFERROR(__xludf.DUMMYFUNCTION("""COMPUTED_VALUE"""),"Negativo")</f>
        <v>Negativo</v>
      </c>
      <c r="G286" s="15">
        <f>IFERROR(__xludf.DUMMYFUNCTION("""COMPUTED_VALUE"""),0.9683)</f>
        <v>0.9683</v>
      </c>
      <c r="H286" s="2" t="str">
        <f>IFERROR(__xludf.DUMMYFUNCTION("""COMPUTED_VALUE"""),"Accidente de tránsito o choque vial")</f>
        <v>Accidente de tránsito o choque vial</v>
      </c>
      <c r="I286" s="2" t="str">
        <f>IFERROR(__xludf.DUMMYFUNCTION("""COMPUTED_VALUE"""),"N/A")</f>
        <v>N/A</v>
      </c>
      <c r="J286" s="2" t="str">
        <f>IFERROR(__xludf.DUMMYFUNCTION("""COMPUTED_VALUE"""),"Soporte DRV: Seguros/Guía post-siniestro.")</f>
        <v>Soporte DRV: Seguros/Guía post-siniestro.</v>
      </c>
      <c r="K286" s="2" t="str">
        <f>IFERROR(__xludf.DUMMYFUNCTION("""COMPUTED_VALUE"""),"Toluca")</f>
        <v>Toluca</v>
      </c>
      <c r="L286" s="2" t="str">
        <f>IFERROR(__xludf.DUMMYFUNCTION("""COMPUTED_VALUE"""),"Estado de México")</f>
        <v>Estado de México</v>
      </c>
      <c r="M286" s="16" t="str">
        <f>IFERROR(__xludf.DUMMYFUNCTION("""COMPUTED_VALUE"""),"https://www.tvazteca.com/aztecanoticias/avionazo-en-toluca-viajaban-equipo-beisbol-campeon-un-dia-antes/")</f>
        <v>https://www.tvazteca.com/aztecanoticias/avionazo-en-toluca-viajaban-equipo-beisbol-campeon-un-dia-antes/</v>
      </c>
      <c r="N286" s="2" t="str">
        <f>IFERROR(__xludf.DUMMYFUNCTION("""COMPUTED_VALUE"""),"Lo que debía ser una semana de celebración absoluta se transformó en una de las tragedias más dolorosas del año. Apenas 24 horas después de levantar el trofeo de ""Campeón de Campeones"", algunos integrantes del equipoSultanesy su familia perdieron la vid"&amp;"a en eldesplome de una aeronavecerca delAeropuerto Internacional de Toluca. El destino fue cruelmente puntual. El domingo 14 de diciembre, la familiaGómez Buenfilcelebraba su victoria contra los Rangers en el Deportivo Reynosa. El lunes 15, el jet en el q"&amp;"ue viajaban desde Acapulco se estrelló, dejando un saldo de10 personas fallecidas, sin ningún sobreviviente. La tragedia golpeó a tres generaciones de una familia dedicada al deporte y a dos tripulantes experimentados. La lista de fallecidos, confirmada t"&amp;"ras las investigaciones y mencionada por la presidenta Claudia Sheinbaum, incluye a: La noticia ha sacudido a la comunidad deportiva de la capital. LaLiga Única de Beisbol Azcapotzalco A.C.confirmó que las víctimas eran el corazón de los Sultanes. ""Se no"&amp;"s fueron los campeones"", lamentaron en redes sociales equipos hermanos como Piratas, Rieleros y la Liga Petrolera. Raúl Gómez Ruiz y su hijo no solo jugaban; invertían tiempo, dinero y pasión para mantener viva la tradición del ""Rey de los Deportes"" en"&amp;" el norte de la Ciudad de México. Su último recuerdo será el de la victoria del domingo, un triunfo que ahora se convierte en un homenaje póstumo. El accidente ocurrió alrededor de las 12:30 horas del lunes. La aeronave, unCessna Citation IIIcon matrícula"&amp;"XA-PROoperado por la empresa Jet Pro, cubría la rutaAcapulco-Toluca. Audios recuperados de la comunicación con la torre de control revelan el dramatismo de los instantes finales. El piloto, identificado con el código""Papa Romeo Óscar"",reportó fallas crí"&amp;"ticas antes de lanzar su última transmisión:""Nos estamos desplomando"". Videos del impacto sugieren que logró maniobrar la aeronave hacia una zona industrial despejada enSan Pedro Totoltepec, impactando contra un taller de tráileres vacío y evitando así "&amp;"caer sobre zonas habitadas, lo que hubiera aumentado la magnitud de la catástrofe. La Fiscalía General de la República (FGR) y la Agencia Federal de Aviación Civil (AFAC) han tomado control de la escena.Lacaja negraya fue localizaday será clave para deter"&amp;"minar si el siniestro se debió a una falla mecánica, como sugiere la hipótesis preliminar del gobierno federal. Mientras las autoridades buscan respuestas técnicas, en Azcapotzalco queda el silencio de un estadio vacío y el recuerdo de una familia que se "&amp;"fue siendo campeona.")</f>
        <v>Lo que debía ser una semana de celebración absoluta se transformó en una de las tragedias más dolorosas del año. Apenas 24 horas después de levantar el trofeo de "Campeón de Campeones", algunos integrantes del equipoSultanesy su familia perdieron la vida en eldesplome de una aeronavecerca delAeropuerto Internacional de Toluca. El destino fue cruelmente puntual. El domingo 14 de diciembre, la familiaGómez Buenfilcelebraba su victoria contra los Rangers en el Deportivo Reynosa. El lunes 15, el jet en el que viajaban desde Acapulco se estrelló, dejando un saldo de10 personas fallecidas, sin ningún sobreviviente. La tragedia golpeó a tres generaciones de una familia dedicada al deporte y a dos tripulantes experimentados. La lista de fallecidos, confirmada tras las investigaciones y mencionada por la presidenta Claudia Sheinbaum, incluye a: La noticia ha sacudido a la comunidad deportiva de la capital. LaLiga Única de Beisbol Azcapotzalco A.C.confirmó que las víctimas eran el corazón de los Sultanes. "Se nos fueron los campeones", lamentaron en redes sociales equipos hermanos como Piratas, Rieleros y la Liga Petrolera. Raúl Gómez Ruiz y su hijo no solo jugaban; invertían tiempo, dinero y pasión para mantener viva la tradición del "Rey de los Deportes" en el norte de la Ciudad de México. Su último recuerdo será el de la victoria del domingo, un triunfo que ahora se convierte en un homenaje póstumo. El accidente ocurrió alrededor de las 12:30 horas del lunes. La aeronave, unCessna Citation IIIcon matrículaXA-PROoperado por la empresa Jet Pro, cubría la rutaAcapulco-Toluca. Audios recuperados de la comunicación con la torre de control revelan el dramatismo de los instantes finales. El piloto, identificado con el código"Papa Romeo Óscar",reportó fallas críticas antes de lanzar su última transmisión:"Nos estamos desplomando". Videos del impacto sugieren que logró maniobrar la aeronave hacia una zona industrial despejada enSan Pedro Totoltepec, impactando contra un taller de tráileres vacío y evitando así caer sobre zonas habitadas, lo que hubiera aumentado la magnitud de la catástrofe. La Fiscalía General de la República (FGR) y la Agencia Federal de Aviación Civil (AFAC) han tomado control de la escena.Lacaja negraya fue localizaday será clave para determinar si el siniestro se debió a una falla mecánica, como sugiere la hipótesis preliminar del gobierno federal. Mientras las autoridades buscan respuestas técnicas, en Azcapotzalco queda el silencio de un estadio vacío y el recuerdo de una familia que se fue siendo campeona.</v>
      </c>
      <c r="O286" s="15">
        <f>IFERROR(__xludf.DUMMYFUNCTION("""COMPUTED_VALUE"""),0.2984)</f>
        <v>0.2984</v>
      </c>
      <c r="P286" s="2"/>
      <c r="Q286" s="17">
        <f>IFERROR(__xludf.DUMMYFUNCTION("""COMPUTED_VALUE"""),6.5)</f>
        <v>6.5</v>
      </c>
      <c r="R286" s="2" t="str">
        <f>IFERROR(__xludf.DUMMYFUNCTION("""COMPUTED_VALUE"""),"High")</f>
        <v>High</v>
      </c>
      <c r="S286" s="17">
        <f>IFERROR(__xludf.DUMMYFUNCTION("""COMPUTED_VALUE"""),3.5)</f>
        <v>3.5</v>
      </c>
      <c r="T286" s="17">
        <f>IFERROR(__xludf.DUMMYFUNCTION("""COMPUTED_VALUE"""),0.0)</f>
        <v>0</v>
      </c>
      <c r="U286" s="14">
        <f>IFERROR(__xludf.DUMMYFUNCTION("""COMPUTED_VALUE"""),3.0)</f>
        <v>3</v>
      </c>
      <c r="V286" s="14">
        <v>2025.0</v>
      </c>
      <c r="W286" s="2" t="s">
        <v>1168</v>
      </c>
      <c r="X286" s="2" t="s">
        <v>1201</v>
      </c>
      <c r="Y286" s="13" t="s">
        <v>1110</v>
      </c>
      <c r="Z286" s="14">
        <v>0.0</v>
      </c>
      <c r="AA286" s="14">
        <v>0.0</v>
      </c>
      <c r="AB286" s="14">
        <v>0.0</v>
      </c>
      <c r="AC286" s="14">
        <v>0.0</v>
      </c>
      <c r="AD286" s="2">
        <v>0.0</v>
      </c>
      <c r="AE286" s="2">
        <v>1.0</v>
      </c>
      <c r="AF286" s="2">
        <v>12.0</v>
      </c>
      <c r="AG286" s="2" t="s">
        <v>1216</v>
      </c>
      <c r="AH286" s="2">
        <v>0.0</v>
      </c>
    </row>
    <row r="287" ht="15.75" customHeight="1">
      <c r="A287" s="2" t="str">
        <f>IFERROR(__xludf.DUMMYFUNCTION("""COMPUTED_VALUE"""),"TV Azteca")</f>
        <v>TV Azteca</v>
      </c>
      <c r="B287" s="12" t="str">
        <f>IFERROR(__xludf.DUMMYFUNCTION("""COMPUTED_VALUE"""),"Noche violenta en CDMX: Fatal accidente en Iztacalco y un homicidio en Azcapotzalco")</f>
        <v>Noche violenta en CDMX: Fatal accidente en Iztacalco y un homicidio en Azcapotzalco</v>
      </c>
      <c r="C287" s="13" t="str">
        <f>IFERROR(__xludf.DUMMYFUNCTION("""COMPUTED_VALUE"""),"2025-12-18 13:12:34")</f>
        <v>2025-12-18 13:12:34</v>
      </c>
      <c r="D287" s="14">
        <f>IFERROR(__xludf.DUMMYFUNCTION("""COMPUTED_VALUE"""),4.0)</f>
        <v>4</v>
      </c>
      <c r="E287" s="15">
        <f>IFERROR(__xludf.DUMMYFUNCTION("""COMPUTED_VALUE"""),-0.9297)</f>
        <v>-0.9297</v>
      </c>
      <c r="F287" s="2" t="str">
        <f>IFERROR(__xludf.DUMMYFUNCTION("""COMPUTED_VALUE"""),"Negativo")</f>
        <v>Negativo</v>
      </c>
      <c r="G287" s="15">
        <f>IFERROR(__xludf.DUMMYFUNCTION("""COMPUTED_VALUE"""),0.9297)</f>
        <v>0.9297</v>
      </c>
      <c r="H287" s="2" t="str">
        <f>IFERROR(__xludf.DUMMYFUNCTION("""COMPUTED_VALUE"""),"Delito violento, robo o asalto")</f>
        <v>Delito violento, robo o asalto</v>
      </c>
      <c r="I287" s="2" t="str">
        <f>IFERROR(__xludf.DUMMYFUNCTION("""COMPUTED_VALUE"""),"homicidio")</f>
        <v>homicidio</v>
      </c>
      <c r="J287" s="2" t="str">
        <f>IFERROR(__xludf.DUMMYFUNCTION("""COMPUTED_VALUE"""),"Prevención Nocturna: Alerta de zona de riesgo.")</f>
        <v>Prevención Nocturna: Alerta de zona de riesgo.</v>
      </c>
      <c r="K287" s="2" t="str">
        <f>IFERROR(__xludf.DUMMYFUNCTION("""COMPUTED_VALUE"""),"Iztacalco")</f>
        <v>Iztacalco</v>
      </c>
      <c r="L287" s="2" t="str">
        <f>IFERROR(__xludf.DUMMYFUNCTION("""COMPUTED_VALUE"""),"Ciudad de México")</f>
        <v>Ciudad de México</v>
      </c>
      <c r="M287" s="16" t="str">
        <f>IFERROR(__xludf.DUMMYFUNCTION("""COMPUTED_VALUE"""),"https://www.tvazteca.com/aztecanoticias/fatal-accidente-iztacalco-homicidio-azcapotzalco-y-ambulancia-impactada/")</f>
        <v>https://www.tvazteca.com/aztecanoticias/fatal-accidente-iztacalco-homicidio-azcapotzalco-y-ambulancia-impactada/</v>
      </c>
      <c r="N287" s="2" t="str">
        <f>IFERROR(__xludf.DUMMYFUNCTION("""COMPUTED_VALUE"""),"La madrugada en laCiudad de Méxicoestuvo marcada por hechos de alto impacto que movilizaron a cuerpos de emergencia y seguridad en distintas alcaldías. Unaccidente vehicularmortal enIztacalco, unhomicidio en Azcapotzalcoy el choque de unaambulanciacon fug"&amp;"a del responsable dejaron un saldo de personas fallecidas y lesionadas. ¿Qué pasó en La Viga?Un trágicoaccidente vehicularcobró la vida de dos hombres, además de que dejó a un tercero gravemente herido en laalcaldía Iztacalco. De acuerdo con los primeros "&amp;"reportes, tres personas viajaban a bordo de una motocicleta, cuando circulaban aexceso de velocidadsobre lacalzada La Viga, al cruce con Eje 4 Sur Plutarco Elías Calles, en la colonia Santa Anita. Por causas que aún son investigadas, el conductor perdió e"&amp;"l control de la unidad. Los tripulantes salieron proyectados contra el pavimento, mientras que la motocicleta avanzó sin control y quedó a más de 20 metros de distancia, evidenciando la fuerza del impacto. Solo uno de los ocupantes portaba casco de seguri"&amp;"dad, quien sobrevivió con lesiones de consideración y fue trasladado de urgencia a un hospital. Horas más tarde, se registró unhomicidio por arma de fuegoen la colonia Santa María Maninalco,alcaldía Azcapotzalco. Un hombre de aproximadamente 30 años fue a"&amp;"tacado con al menos tres disparos. Según reportes preliminares, la víctima habría sido seguida por su agresor hasta un callejón de la calle Cuatotonque, donde el atacante se acercó y abrió fuego, para posteriormente huir. Vecinos escucharon varias detonac"&amp;"iones y solicitaron ayuda, pero el hombre murió en el lugar de la agresión. Autoridades acordonaron la zona e iniciaron las investigaciones correspondientes. En otro punto deIztacalco, uncamión tipo “Torton”impactó a una ambulancia en el cruce de calzada "&amp;"La Viga y Eje 5 Sur,colonia El Triunfo, y se dio a la fuga. Dos paramédicos resultaron lesionados, por lo que recibieron atención prehospitalaria. La paciente que era trasladada fue llevada a otro hospital en una unidad distinta para descartar complicacio"&amp;"nes. Unapareja tuvo una violenta riñaal interior de unhotel ubicado en la colonia Peralvillo, en la alcaldía Cuauhtémoc. De acuerdo con los primeros reportes, la discusión escaló hasta los golpes, lo que provocó heridas visibles en ambos involucrados, gen"&amp;"erando alarma entre empleados y huéspedes del lugar. Elementos de la policía preventiva acudieron al sitio para tomar conocimiento de los hechos, mientras paramédicos valoraron a la pareja; ninguno requirió traslado hospitalario. Las autoridades iniciaron"&amp;" las investigaciones correspondientes para deslindar responsabilidades y determinar si existe algún delito que perseguir. Delincuentes robarontubería de cobre de gas natural de un restaurante, lo que provocó una fuga en la colonia 20 de noviembre. Los hec"&amp;"hos ocurrieron en la esquina de las calles Sericultura y Electricistas, en la alcaldía Venustiano Carranza. El incidente fue detectado por vecinos de la zona, quienes solicitaron apoyo de los servicios de emergencia tras percibir olor a gas. Elementos del"&amp;" Heroico Cuerpo de Bomberos acudieron al sitio y lograron controlar la fuga. No se reportaron personas intoxicadas ni lesionadas. Las autoridades ya investigan el robo para dar con los responsables.")</f>
        <v>La madrugada en laCiudad de Méxicoestuvo marcada por hechos de alto impacto que movilizaron a cuerpos de emergencia y seguridad en distintas alcaldías. Unaccidente vehicularmortal enIztacalco, unhomicidio en Azcapotzalcoy el choque de unaambulanciacon fuga del responsable dejaron un saldo de personas fallecidas y lesionadas. ¿Qué pasó en La Viga?Un trágicoaccidente vehicularcobró la vida de dos hombres, además de que dejó a un tercero gravemente herido en laalcaldía Iztacalco. De acuerdo con los primeros reportes, tres personas viajaban a bordo de una motocicleta, cuando circulaban aexceso de velocidadsobre lacalzada La Viga, al cruce con Eje 4 Sur Plutarco Elías Calles, en la colonia Santa Anita. Por causas que aún son investigadas, el conductor perdió el control de la unidad. Los tripulantes salieron proyectados contra el pavimento, mientras que la motocicleta avanzó sin control y quedó a más de 20 metros de distancia, evidenciando la fuerza del impacto. Solo uno de los ocupantes portaba casco de seguridad, quien sobrevivió con lesiones de consideración y fue trasladado de urgencia a un hospital. Horas más tarde, se registró unhomicidio por arma de fuegoen la colonia Santa María Maninalco,alcaldía Azcapotzalco. Un hombre de aproximadamente 30 años fue atacado con al menos tres disparos. Según reportes preliminares, la víctima habría sido seguida por su agresor hasta un callejón de la calle Cuatotonque, donde el atacante se acercó y abrió fuego, para posteriormente huir. Vecinos escucharon varias detonaciones y solicitaron ayuda, pero el hombre murió en el lugar de la agresión. Autoridades acordonaron la zona e iniciaron las investigaciones correspondientes. En otro punto deIztacalco, uncamión tipo “Torton”impactó a una ambulancia en el cruce de calzada La Viga y Eje 5 Sur,colonia El Triunfo, y se dio a la fuga. Dos paramédicos resultaron lesionados, por lo que recibieron atención prehospitalaria. La paciente que era trasladada fue llevada a otro hospital en una unidad distinta para descartar complicaciones. Unapareja tuvo una violenta riñaal interior de unhotel ubicado en la colonia Peralvillo, en la alcaldía Cuauhtémoc. De acuerdo con los primeros reportes, la discusión escaló hasta los golpes, lo que provocó heridas visibles en ambos involucrados, generando alarma entre empleados y huéspedes del lugar. Elementos de la policía preventiva acudieron al sitio para tomar conocimiento de los hechos, mientras paramédicos valoraron a la pareja; ninguno requirió traslado hospitalario. Las autoridades iniciaron las investigaciones correspondientes para deslindar responsabilidades y determinar si existe algún delito que perseguir. Delincuentes robarontubería de cobre de gas natural de un restaurante, lo que provocó una fuga en la colonia 20 de noviembre. Los hechos ocurrieron en la esquina de las calles Sericultura y Electricistas, en la alcaldía Venustiano Carranza. El incidente fue detectado por vecinos de la zona, quienes solicitaron apoyo de los servicios de emergencia tras percibir olor a gas. Elementos del Heroico Cuerpo de Bomberos acudieron al sitio y lograron controlar la fuga. No se reportaron personas intoxicadas ni lesionadas. Las autoridades ya investigan el robo para dar con los responsables.</v>
      </c>
      <c r="O287" s="15">
        <f>IFERROR(__xludf.DUMMYFUNCTION("""COMPUTED_VALUE"""),1.0)</f>
        <v>1</v>
      </c>
      <c r="P287" s="2"/>
      <c r="Q287" s="17">
        <f>IFERROR(__xludf.DUMMYFUNCTION("""COMPUTED_VALUE"""),6.5)</f>
        <v>6.5</v>
      </c>
      <c r="R287" s="2" t="str">
        <f>IFERROR(__xludf.DUMMYFUNCTION("""COMPUTED_VALUE"""),"Low")</f>
        <v>Low</v>
      </c>
      <c r="S287" s="17">
        <f>IFERROR(__xludf.DUMMYFUNCTION("""COMPUTED_VALUE"""),0.0)</f>
        <v>0</v>
      </c>
      <c r="T287" s="17">
        <f>IFERROR(__xludf.DUMMYFUNCTION("""COMPUTED_VALUE"""),0.0)</f>
        <v>0</v>
      </c>
      <c r="U287" s="14">
        <f>IFERROR(__xludf.DUMMYFUNCTION("""COMPUTED_VALUE"""),3.0)</f>
        <v>3</v>
      </c>
      <c r="V287" s="14">
        <v>2025.0</v>
      </c>
      <c r="W287" s="2" t="s">
        <v>1168</v>
      </c>
      <c r="X287" s="2" t="s">
        <v>1201</v>
      </c>
      <c r="Y287" s="13" t="s">
        <v>1114</v>
      </c>
      <c r="Z287" s="14">
        <v>0.0</v>
      </c>
      <c r="AA287" s="14">
        <v>0.0</v>
      </c>
      <c r="AB287" s="14">
        <v>0.0</v>
      </c>
      <c r="AC287" s="14">
        <v>0.0</v>
      </c>
      <c r="AD287" s="2">
        <v>0.0</v>
      </c>
      <c r="AE287" s="2">
        <v>1.0</v>
      </c>
      <c r="AF287" s="2">
        <v>12.0</v>
      </c>
      <c r="AG287" s="2" t="s">
        <v>1223</v>
      </c>
      <c r="AH287" s="2">
        <v>0.0</v>
      </c>
    </row>
    <row r="288" ht="15.75" customHeight="1">
      <c r="A288" s="2" t="str">
        <f>IFERROR(__xludf.DUMMYFUNCTION("""COMPUTED_VALUE"""),"TV Azteca")</f>
        <v>TV Azteca</v>
      </c>
      <c r="B288" s="12" t="str">
        <f>IFERROR(__xludf.DUMMYFUNCTION("""COMPUTED_VALUE"""),"Tragedia en Puebla: Conductor huye tras choque, atropella a mujer y cae en zanja; ¿era trabajador del gobierno?")</f>
        <v>Tragedia en Puebla: Conductor huye tras choque, atropella a mujer y cae en zanja; ¿era trabajador del gobierno?</v>
      </c>
      <c r="C288" s="13" t="str">
        <f>IFERROR(__xludf.DUMMYFUNCTION("""COMPUTED_VALUE"""),"2025-12-17 20:55:35")</f>
        <v>2025-12-17 20:55:35</v>
      </c>
      <c r="D288" s="14">
        <f>IFERROR(__xludf.DUMMYFUNCTION("""COMPUTED_VALUE"""),2.0)</f>
        <v>2</v>
      </c>
      <c r="E288" s="15">
        <f>IFERROR(__xludf.DUMMYFUNCTION("""COMPUTED_VALUE"""),-0.817)</f>
        <v>-0.817</v>
      </c>
      <c r="F288" s="2" t="str">
        <f>IFERROR(__xludf.DUMMYFUNCTION("""COMPUTED_VALUE"""),"Negativo")</f>
        <v>Negativo</v>
      </c>
      <c r="G288" s="15">
        <f>IFERROR(__xludf.DUMMYFUNCTION("""COMPUTED_VALUE"""),0.817)</f>
        <v>0.817</v>
      </c>
      <c r="H288" s="2" t="str">
        <f>IFERROR(__xludf.DUMMYFUNCTION("""COMPUTED_VALUE"""),"Accidente de tránsito o choque vial")</f>
        <v>Accidente de tránsito o choque vial</v>
      </c>
      <c r="I288" s="2" t="str">
        <f>IFERROR(__xludf.DUMMYFUNCTION("""COMPUTED_VALUE"""),"choque")</f>
        <v>choque</v>
      </c>
      <c r="J288" s="2" t="str">
        <f>IFERROR(__xludf.DUMMYFUNCTION("""COMPUTED_VALUE"""),"Soporte DRV: Seguros/Guía post-siniestro.")</f>
        <v>Soporte DRV: Seguros/Guía post-siniestro.</v>
      </c>
      <c r="K288" s="2" t="str">
        <f>IFERROR(__xludf.DUMMYFUNCTION("""COMPUTED_VALUE"""),"Puebla")</f>
        <v>Puebla</v>
      </c>
      <c r="L288" s="2" t="str">
        <f>IFERROR(__xludf.DUMMYFUNCTION("""COMPUTED_VALUE"""),"Puebla")</f>
        <v>Puebla</v>
      </c>
      <c r="M288" s="16" t="str">
        <f>IFERROR(__xludf.DUMMYFUNCTION("""COMPUTED_VALUE"""),"https://www.tvazteca.com/aztecanoticias/conductor-huye-choque-puebla-atropella-mujer-cae-en-zanja-cuautlancingo-hoy")</f>
        <v>https://www.tvazteca.com/aztecanoticias/conductor-huye-choque-puebla-atropella-mujer-cae-en-zanja-cuautlancingo-hoy</v>
      </c>
      <c r="N288" s="2" t="str">
        <f>IFERROR(__xludf.DUMMYFUNCTION("""COMPUTED_VALUE"""),"Unchoqueregistrado la mañana de estemiércolesencendió las alertas de seguridadenPuebla,luego de que un conductor intentara huir tras unaccidente vial, atropellara a una mujer y terminara dentro de una zanja en la junta auxiliar deLa Trinidad Chautenco, en"&amp;" elmunicipio deCuautlancingo. El choque provocó una rápida movilización policial de emergencia y generó confusión entre vecinos, quienes exigían claridad sobre la identidad del responsable y su posible vínculo con el gobierno dePuebla. De acuerdo con los "&amp;"primeros reportes, el choque ocurrió sobre la calle 18 de Marzo, a un costado de una escuela primaria, cuando el conductor de un auto particular perdió el control tras impactar otros vehículos. En su intento por escapar delchoque, el automovilista avanzó "&amp;"varios metros hasta atropellar a una mujer que se encontraba en la zona; la unidad terminó cayendo en una zanja, lo que agravó el saldo del accidente ocurridoenPuebla. Testigos señalaron que el conductor descendió del vehículo con dificultad, por lo que s"&amp;"olicitaron apoyo de cuerpos de emergencia. Tras el choque, elementos de bomberos, policías y paramédicos arribaron al sitio para auxiliar tanto al responsable como a la mujer lesionada, quien fue trasladada a un hospital de la región dePueblapara su valor"&amp;"ación médica. TAMBIÉN TE PUEDE INTERESAR:PUEBLA VA POR VEHÍCULOS FORÁNEOS: ASÍ APLICARÁN LAS FOTOMULTAS Y ESTO ES LO QUE PODRÍAS PAGAR Mientras se realizaban las maniobras de rescate, el choque generó tensión entre vecinos y automovilistas afectados, quie"&amp;"nes intentaron retener al conductor al que señalaron de manejar en presunto estado de ebriedad. Minutos después, autoridades municipales aseguraron al presunto responsable y lo pusieron a disposición del Ministerio Público para deslindar responsabilidades"&amp;" por el choque registrado en Puebla. Ante los rumores que circularon tras el choque,elAyuntamiento de Cuautlancingoaclaró mediante un comunicado oficial que el conductor involucrado no es trabajador del gobierno municipal de Puebla. La autoridad confirmó "&amp;"que la mujer lesionada recibió atención inmediata y que el caso seguirá su curso legal conforme a lo establecido, mientras se determina la situación jurídica derivada de este choque que volvió a sacudir a Puebla.")</f>
        <v>Unchoqueregistrado la mañana de estemiércolesencendió las alertas de seguridadenPuebla,luego de que un conductor intentara huir tras unaccidente vial, atropellara a una mujer y terminara dentro de una zanja en la junta auxiliar deLa Trinidad Chautenco, en elmunicipio deCuautlancingo. El choque provocó una rápida movilización policial de emergencia y generó confusión entre vecinos, quienes exigían claridad sobre la identidad del responsable y su posible vínculo con el gobierno dePuebla. De acuerdo con los primeros reportes, el choque ocurrió sobre la calle 18 de Marzo, a un costado de una escuela primaria, cuando el conductor de un auto particular perdió el control tras impactar otros vehículos. En su intento por escapar delchoque, el automovilista avanzó varios metros hasta atropellar a una mujer que se encontraba en la zona; la unidad terminó cayendo en una zanja, lo que agravó el saldo del accidente ocurridoenPuebla. Testigos señalaron que el conductor descendió del vehículo con dificultad, por lo que solicitaron apoyo de cuerpos de emergencia. Tras el choque, elementos de bomberos, policías y paramédicos arribaron al sitio para auxiliar tanto al responsable como a la mujer lesionada, quien fue trasladada a un hospital de la región dePueblapara su valoración médica. TAMBIÉN TE PUEDE INTERESAR:PUEBLA VA POR VEHÍCULOS FORÁNEOS: ASÍ APLICARÁN LAS FOTOMULTAS Y ESTO ES LO QUE PODRÍAS PAGAR Mientras se realizaban las maniobras de rescate, el choque generó tensión entre vecinos y automovilistas afectados, quienes intentaron retener al conductor al que señalaron de manejar en presunto estado de ebriedad. Minutos después, autoridades municipales aseguraron al presunto responsable y lo pusieron a disposición del Ministerio Público para deslindar responsabilidades por el choque registrado en Puebla. Ante los rumores que circularon tras el choque,elAyuntamiento de Cuautlancingoaclaró mediante un comunicado oficial que el conductor involucrado no es trabajador del gobierno municipal de Puebla. La autoridad confirmó que la mujer lesionada recibió atención inmediata y que el caso seguirá su curso legal conforme a lo establecido, mientras se determina la situación jurídica derivada de este choque que volvió a sacudir a Puebla.</v>
      </c>
      <c r="O288" s="15">
        <f>IFERROR(__xludf.DUMMYFUNCTION("""COMPUTED_VALUE"""),1.0)</f>
        <v>1</v>
      </c>
      <c r="P288" s="2"/>
      <c r="Q288" s="17">
        <f>IFERROR(__xludf.DUMMYFUNCTION("""COMPUTED_VALUE"""),6.5)</f>
        <v>6.5</v>
      </c>
      <c r="R288" s="2" t="str">
        <f>IFERROR(__xludf.DUMMYFUNCTION("""COMPUTED_VALUE"""),"Low")</f>
        <v>Low</v>
      </c>
      <c r="S288" s="17">
        <f>IFERROR(__xludf.DUMMYFUNCTION("""COMPUTED_VALUE"""),0.0)</f>
        <v>0</v>
      </c>
      <c r="T288" s="17">
        <f>IFERROR(__xludf.DUMMYFUNCTION("""COMPUTED_VALUE"""),0.0)</f>
        <v>0</v>
      </c>
      <c r="U288" s="14">
        <f>IFERROR(__xludf.DUMMYFUNCTION("""COMPUTED_VALUE"""),3.0)</f>
        <v>3</v>
      </c>
      <c r="V288" s="14">
        <v>2025.0</v>
      </c>
      <c r="W288" s="2" t="s">
        <v>1168</v>
      </c>
      <c r="X288" s="2" t="s">
        <v>1203</v>
      </c>
      <c r="Y288" s="13" t="s">
        <v>1118</v>
      </c>
      <c r="Z288" s="14">
        <v>0.0</v>
      </c>
      <c r="AA288" s="14">
        <v>0.0</v>
      </c>
      <c r="AB288" s="14">
        <v>0.0</v>
      </c>
      <c r="AC288" s="14">
        <v>0.0</v>
      </c>
      <c r="AD288" s="2">
        <v>0.0</v>
      </c>
      <c r="AE288" s="2">
        <v>0.0</v>
      </c>
      <c r="AF288" s="2">
        <v>12.0</v>
      </c>
      <c r="AG288" s="2" t="s">
        <v>1229</v>
      </c>
      <c r="AH288" s="2">
        <v>0.0</v>
      </c>
    </row>
    <row r="289" ht="15.75" customHeight="1">
      <c r="A289" s="2" t="str">
        <f>IFERROR(__xludf.DUMMYFUNCTION("""COMPUTED_VALUE"""),"TV Azteca")</f>
        <v>TV Azteca</v>
      </c>
      <c r="B289" s="12" t="str">
        <f>IFERROR(__xludf.DUMMYFUNCTION("""COMPUTED_VALUE"""),"Múltiple choque en Aguascalientes termina en tragedia: Chofer de tráiler muere tras incendio por carambola")</f>
        <v>Múltiple choque en Aguascalientes termina en tragedia: Chofer de tráiler muere tras incendio por carambola</v>
      </c>
      <c r="C289" s="13" t="str">
        <f>IFERROR(__xludf.DUMMYFUNCTION("""COMPUTED_VALUE"""),"2025-12-17 17:57:07")</f>
        <v>2025-12-17 17:57:07</v>
      </c>
      <c r="D289" s="14">
        <f>IFERROR(__xludf.DUMMYFUNCTION("""COMPUTED_VALUE"""),4.0)</f>
        <v>4</v>
      </c>
      <c r="E289" s="15">
        <f>IFERROR(__xludf.DUMMYFUNCTION("""COMPUTED_VALUE"""),-0.8968)</f>
        <v>-0.8968</v>
      </c>
      <c r="F289" s="2" t="str">
        <f>IFERROR(__xludf.DUMMYFUNCTION("""COMPUTED_VALUE"""),"Negativo")</f>
        <v>Negativo</v>
      </c>
      <c r="G289" s="15">
        <f>IFERROR(__xludf.DUMMYFUNCTION("""COMPUTED_VALUE"""),0.8968)</f>
        <v>0.8968</v>
      </c>
      <c r="H289" s="2" t="str">
        <f>IFERROR(__xludf.DUMMYFUNCTION("""COMPUTED_VALUE"""),"Accidente de tránsito o choque vial")</f>
        <v>Accidente de tránsito o choque vial</v>
      </c>
      <c r="I289" s="2" t="str">
        <f>IFERROR(__xludf.DUMMYFUNCTION("""COMPUTED_VALUE"""),"choque")</f>
        <v>choque</v>
      </c>
      <c r="J289" s="2" t="str">
        <f>IFERROR(__xludf.DUMMYFUNCTION("""COMPUTED_VALUE"""),"Soporte DRV: Seguros/Guía post-siniestro.")</f>
        <v>Soporte DRV: Seguros/Guía post-siniestro.</v>
      </c>
      <c r="K289" s="2" t="str">
        <f>IFERROR(__xludf.DUMMYFUNCTION("""COMPUTED_VALUE"""),"Aguascalientes")</f>
        <v>Aguascalientes</v>
      </c>
      <c r="L289" s="2" t="str">
        <f>IFERROR(__xludf.DUMMYFUNCTION("""COMPUTED_VALUE"""),"Aguascalientes")</f>
        <v>Aguascalientes</v>
      </c>
      <c r="M289" s="16" t="str">
        <f>IFERROR(__xludf.DUMMYFUNCTION("""COMPUTED_VALUE"""),"https://www.tvazteca.com/aztecanoticias/choque-aguascalientes-tragedia-caos-vial-bloqueos-carreteras-hoy-muere-chofer-trailer")</f>
        <v>https://www.tvazteca.com/aztecanoticias/choque-aguascalientes-tragedia-caos-vial-bloqueos-carreteras-hoy-muere-chofer-trailer</v>
      </c>
      <c r="N289" s="2" t="str">
        <f>IFERROR(__xludf.DUMMYFUNCTION("""COMPUTED_VALUE"""),"Unfatalchoque múltipleenAguascalientesdesatócaos vial, bloqueosy elcierre total de carreterasclaves desde las primeras horas dehoy miércoles 17 de diciembre. El accidente ocurrió en elLibramiento Sur, donde trestráileresse vieron involucrados en una caram"&amp;"bola que terminó en incendio, dejando como saldo lamuerte de un chofer de tráiler,quien quedó atrapado dentro de la unidad envuelta en llamas. La magnitud del siniestro obligó a una movilización de emergencia y paralizó por completo la circulación en ambo"&amp;"s sentidos. De acuerdo con los primeros reportes oficiales,el choquese registró antes de las 06:00 horas, en el tramo que conecta la carretera 42 con la carretera 45 Sur, una de lascarreterasmás transitadas deAguascalientes. Tras el impacto inicial entre "&amp;"los tráileres, al menos una de las unidades se incendió de forma inmediata, generando una densa columna de humo visible a varios kilómetros y provocando bloqueos totales en la zona. Elchoque en Aguascalientesinvolucró directamente a tres tráileres, dos de"&amp;" los cuales resultaron con daños severos tras el impacto. El fuego consumió por completo uno de los vehículos de carga pesada, impidiendo que el conductor pudiera salir a tiempo. Minutos después, cuerpos de bomberos confirmaron el fallecimiento del operad"&amp;"or del tráiler, quien fue localizado calcinado en el interior de la cabina. Además del fallecido, servicios de emergencia atendieron a personas lesionadas en el sitio, quienes fueron trasladadas a hospitales cercanos bajo resguardo médico. Elementos de se"&amp;"guridad estatal y federal acordonaron el área para permitir las labores de auxilio, control del incendio y evaluación de riesgos adicionales derivados delchoqueentre los tráileres. Como consecuencia directa del accidente, las autoridades ordenaron el cier"&amp;"re total del Libramiento Sur, así como restricciones en la carretera 45 Sur y en la salida hacia Calvillo. Estos bloqueos provocaron largas filas de vehículos de carga y automóviles particulares, extendiéndose por varios kilómetros y generando afectacione"&amp;"s severas en la movilidad regional. TAMBIÉN TE PUEDE INTERESAR:CAOS VIAL Y HERIDOS TRAS CHOQUE MÚLTIPLE DE VAN DE PASAJEROS EN CARRETERA LA BARCA – ATOTONILCO, JALISCO El choquey el incendio del tráiler mantuvieron colapsadas varias carreteras estratégica"&amp;"s de Aguascalientes, especialmente durante las horas pico de la mañana. Conductores que intentaban ingresar o salir de la ciudad quedaron varados, mientras personal de tránsito implementó desvíos de emergencia para reducir el impacto vial. Las labores par"&amp;"a retirar los tráiler siniestrados continúan y podrían prolongarse durante varias horas, debido al nivel de daño estructural y al riesgo que representa la carga transportada. Autoridades confirmaron que la circulación no será reabierta hasta que se garant"&amp;"ice la seguridad total de la zona. Ante este escenario, se recomienda evitar el Libramiento Sur y las carreteras afectadas, además de utilizar rutas alternas mientras persistan los bloqueos derivados del choque en Aguascalientes.")</f>
        <v>Unfatalchoque múltipleenAguascalientesdesatócaos vial, bloqueosy elcierre total de carreterasclaves desde las primeras horas dehoy miércoles 17 de diciembre. El accidente ocurrió en elLibramiento Sur, donde trestráileresse vieron involucrados en una carambola que terminó en incendio, dejando como saldo lamuerte de un chofer de tráiler,quien quedó atrapado dentro de la unidad envuelta en llamas. La magnitud del siniestro obligó a una movilización de emergencia y paralizó por completo la circulación en ambos sentidos. De acuerdo con los primeros reportes oficiales,el choquese registró antes de las 06:00 horas, en el tramo que conecta la carretera 42 con la carretera 45 Sur, una de lascarreterasmás transitadas deAguascalientes. Tras el impacto inicial entre los tráileres, al menos una de las unidades se incendió de forma inmediata, generando una densa columna de humo visible a varios kilómetros y provocando bloqueos totales en la zona. Elchoque en Aguascalientesinvolucró directamente a tres tráileres, dos de los cuales resultaron con daños severos tras el impacto. El fuego consumió por completo uno de los vehículos de carga pesada, impidiendo que el conductor pudiera salir a tiempo. Minutos después, cuerpos de bomberos confirmaron el fallecimiento del operador del tráiler, quien fue localizado calcinado en el interior de la cabina. Además del fallecido, servicios de emergencia atendieron a personas lesionadas en el sitio, quienes fueron trasladadas a hospitales cercanos bajo resguardo médico. Elementos de seguridad estatal y federal acordonaron el área para permitir las labores de auxilio, control del incendio y evaluación de riesgos adicionales derivados delchoqueentre los tráileres. Como consecuencia directa del accidente, las autoridades ordenaron el cierre total del Libramiento Sur, así como restricciones en la carretera 45 Sur y en la salida hacia Calvillo. Estos bloqueos provocaron largas filas de vehículos de carga y automóviles particulares, extendiéndose por varios kilómetros y generando afectaciones severas en la movilidad regional. TAMBIÉN TE PUEDE INTERESAR:CAOS VIAL Y HERIDOS TRAS CHOQUE MÚLTIPLE DE VAN DE PASAJEROS EN CARRETERA LA BARCA – ATOTONILCO, JALISCO El choquey el incendio del tráiler mantuvieron colapsadas varias carreteras estratégicas de Aguascalientes, especialmente durante las horas pico de la mañana. Conductores que intentaban ingresar o salir de la ciudad quedaron varados, mientras personal de tránsito implementó desvíos de emergencia para reducir el impacto vial. Las labores para retirar los tráiler siniestrados continúan y podrían prolongarse durante varias horas, debido al nivel de daño estructural y al riesgo que representa la carga transportada. Autoridades confirmaron que la circulación no será reabierta hasta que se garantice la seguridad total de la zona. Ante este escenario, se recomienda evitar el Libramiento Sur y las carreteras afectadas, además de utilizar rutas alternas mientras persistan los bloqueos derivados del choque en Aguascalientes.</v>
      </c>
      <c r="O289" s="15">
        <f>IFERROR(__xludf.DUMMYFUNCTION("""COMPUTED_VALUE"""),1.0)</f>
        <v>1</v>
      </c>
      <c r="P289" s="2"/>
      <c r="Q289" s="17">
        <f>IFERROR(__xludf.DUMMYFUNCTION("""COMPUTED_VALUE"""),6.5)</f>
        <v>6.5</v>
      </c>
      <c r="R289" s="2" t="str">
        <f>IFERROR(__xludf.DUMMYFUNCTION("""COMPUTED_VALUE"""),"High")</f>
        <v>High</v>
      </c>
      <c r="S289" s="17">
        <f>IFERROR(__xludf.DUMMYFUNCTION("""COMPUTED_VALUE"""),4.5)</f>
        <v>4.5</v>
      </c>
      <c r="T289" s="17">
        <f>IFERROR(__xludf.DUMMYFUNCTION("""COMPUTED_VALUE"""),0.0)</f>
        <v>0</v>
      </c>
      <c r="U289" s="14">
        <f>IFERROR(__xludf.DUMMYFUNCTION("""COMPUTED_VALUE"""),3.0)</f>
        <v>3</v>
      </c>
      <c r="V289" s="14">
        <v>2025.0</v>
      </c>
      <c r="W289" s="2" t="s">
        <v>1168</v>
      </c>
      <c r="X289" s="2" t="s">
        <v>1203</v>
      </c>
      <c r="Y289" s="13" t="s">
        <v>1122</v>
      </c>
      <c r="Z289" s="14">
        <v>0.0</v>
      </c>
      <c r="AA289" s="14">
        <v>0.0</v>
      </c>
      <c r="AB289" s="14">
        <v>0.0</v>
      </c>
      <c r="AC289" s="14">
        <v>0.0</v>
      </c>
      <c r="AD289" s="2">
        <v>0.0</v>
      </c>
      <c r="AE289" s="2">
        <v>1.0</v>
      </c>
      <c r="AF289" s="2">
        <v>12.0</v>
      </c>
      <c r="AG289" s="2" t="s">
        <v>1191</v>
      </c>
      <c r="AH289" s="2">
        <v>0.0</v>
      </c>
    </row>
    <row r="290" ht="15.75" customHeight="1">
      <c r="A290" s="2" t="str">
        <f>IFERROR(__xludf.DUMMYFUNCTION("""COMPUTED_VALUE"""),"TV Azteca")</f>
        <v>TV Azteca</v>
      </c>
      <c r="B290" s="12" t="str">
        <f>IFERROR(__xludf.DUMMYFUNCTION("""COMPUTED_VALUE"""),"Impresionante choque de auto en Iztapalapa deja 3 heridos")</f>
        <v>Impresionante choque de auto en Iztapalapa deja 3 heridos</v>
      </c>
      <c r="C290" s="13" t="str">
        <f>IFERROR(__xludf.DUMMYFUNCTION("""COMPUTED_VALUE"""),"2025-12-17 13:18:14")</f>
        <v>2025-12-17 13:18:14</v>
      </c>
      <c r="D290" s="14">
        <f>IFERROR(__xludf.DUMMYFUNCTION("""COMPUTED_VALUE"""),2.0)</f>
        <v>2</v>
      </c>
      <c r="E290" s="15">
        <f>IFERROR(__xludf.DUMMYFUNCTION("""COMPUTED_VALUE"""),-0.7905)</f>
        <v>-0.7905</v>
      </c>
      <c r="F290" s="2" t="str">
        <f>IFERROR(__xludf.DUMMYFUNCTION("""COMPUTED_VALUE"""),"Negativo")</f>
        <v>Negativo</v>
      </c>
      <c r="G290" s="15">
        <f>IFERROR(__xludf.DUMMYFUNCTION("""COMPUTED_VALUE"""),0.7905)</f>
        <v>0.7905</v>
      </c>
      <c r="H290" s="2" t="str">
        <f>IFERROR(__xludf.DUMMYFUNCTION("""COMPUTED_VALUE"""),"Accidente de tránsito o choque vial")</f>
        <v>Accidente de tránsito o choque vial</v>
      </c>
      <c r="I290" s="2" t="str">
        <f>IFERROR(__xludf.DUMMYFUNCTION("""COMPUTED_VALUE"""),"choque")</f>
        <v>choque</v>
      </c>
      <c r="J290" s="2" t="str">
        <f>IFERROR(__xludf.DUMMYFUNCTION("""COMPUTED_VALUE"""),"Soporte DRV: Seguros/Guía post-siniestro.")</f>
        <v>Soporte DRV: Seguros/Guía post-siniestro.</v>
      </c>
      <c r="K290" s="2" t="str">
        <f>IFERROR(__xludf.DUMMYFUNCTION("""COMPUTED_VALUE"""),"Iztapalapa")</f>
        <v>Iztapalapa</v>
      </c>
      <c r="L290" s="2" t="str">
        <f>IFERROR(__xludf.DUMMYFUNCTION("""COMPUTED_VALUE"""),"Ciudad de México")</f>
        <v>Ciudad de México</v>
      </c>
      <c r="M290" s="16" t="str">
        <f>IFERROR(__xludf.DUMMYFUNCTION("""COMPUTED_VALUE"""),"https://www.tvazteca.com/aztecanoticias/mientras-dormia-choque-auto-iztapalapa-danos-personas-heridas")</f>
        <v>https://www.tvazteca.com/aztecanoticias/mientras-dormia-choque-auto-iztapalapa-danos-personas-heridas</v>
      </c>
      <c r="N290" s="2" t="str">
        <f>IFERROR(__xludf.DUMMYFUNCTION("""COMPUTED_VALUE"""),"Elementos del Heroico Cuerpo de Bomberos y equipos de rescate se movilizaron al oriente de laCiudad de México (CDMX)tras un aparatoso choque en la calzada Ermita Iztapalapa en la colonia Lomas de Zaragoza, de la alcaldíaIztapalapa. Tres personas, dos homb"&amp;"res y una mujer, circulaban a exceso de velocidad cuando el conductor perdió el control de la unidad. El automóvil se estrelló primero contra un muro de concreto y luego volcó, con lo que quedó con las llantas hacia arriba. La unidad quedó destruida. “Ya "&amp;"han pasado muchos choques aquí, justo con el muro de contención. (...) A cada rato se andan volteando aquí”, compartió Eduardo Villa, un vecino de la zona, a cámaras y micrófonos deFuerza Informativa Azteca (FIA). Otras personas que viven cerca escucharon"&amp;" el estruendo del choque. Los ocupantes lograron salir del vehículo por sus propios medios antes de que llegaran los cuerpos de emergencia. Varias ambulancias acudieron al lugar; paramédicos valoraron a los tripulantes y confirmaron que ninguno presentó h"&amp;"eridas de gravedad. Solo uno resultó con una lesión en una pierna, sin necesidad de traslado hospitalario. Autoridades señalaron que fragmentos de concreto dispersos en la vialidad, restos de un percance previo en el mismo punto, contribuyeron como posibl"&amp;"e factor del accidente. Bomberos de laCiudad de Méxicoacudieron de inmediato a la colonia San Juan de Aragón, Tercera Sección, en la alcaldíaGustavo A. Madero, tras el alerta de un vecino sobre un poste que amenazaba con colapsar. La estructura se inclina"&amp;"ba visiblemente y solo el cableado eléctrico la sostenía, lo que generaba riesgo para habitantes y transeúntes en el cruce de las calles 609 y 606. Al llegar, los elementos realizaron una valoración para descartar peligros mayores. Verificaron que no exis"&amp;"tía riesgo inmediato, movieron el poste para evitar molestias al propietario de la vivienda afectada y resguardaron la zona. Autoridades informaron que no se reportaron personas lesionadas ni daños mayores. Recomendaron avisar a las instancias correspondi"&amp;"entes para el retiro definitivo delposte. Un accidente ocurrió sobreCircuito Interior, luego de que unautomóvilse estrellara contra el muro de contención a la altura de avenida Jardín, lo que derivó en el cierre total de la vialidad para quienes se despla"&amp;"zaban delAeropuerto de la Ciudad de MéxicohaciaLa Raza. El choque ocasionó intenso congestionamiento vehicular; ante la falta de circulación, algunos conductores intentaron dar vuelta en sentido contrario, provocando un bloqueo a la altura delhospital de "&amp;"La Raza. Al sitio acudieron elementos de Tránsito de la Secretaría de Seguridad Ciudadana, quienes implementaron cortes a la circulación y coordinaron las maniobras para retirar el vehículo accidentado. Una grúa de tránsito remolcó el auto, que quedó seve"&amp;"ramente dañado, para trasladarlo al depósito vehicular. Tras estos trabajos, la circulación se normalizó.")</f>
        <v>Elementos del Heroico Cuerpo de Bomberos y equipos de rescate se movilizaron al oriente de laCiudad de México (CDMX)tras un aparatoso choque en la calzada Ermita Iztapalapa en la colonia Lomas de Zaragoza, de la alcaldíaIztapalapa. Tres personas, dos hombres y una mujer, circulaban a exceso de velocidad cuando el conductor perdió el control de la unidad. El automóvil se estrelló primero contra un muro de concreto y luego volcó, con lo que quedó con las llantas hacia arriba. La unidad quedó destruida. “Ya han pasado muchos choques aquí, justo con el muro de contención. (...) A cada rato se andan volteando aquí”, compartió Eduardo Villa, un vecino de la zona, a cámaras y micrófonos deFuerza Informativa Azteca (FIA). Otras personas que viven cerca escucharon el estruendo del choque. Los ocupantes lograron salir del vehículo por sus propios medios antes de que llegaran los cuerpos de emergencia. Varias ambulancias acudieron al lugar; paramédicos valoraron a los tripulantes y confirmaron que ninguno presentó heridas de gravedad. Solo uno resultó con una lesión en una pierna, sin necesidad de traslado hospitalario. Autoridades señalaron que fragmentos de concreto dispersos en la vialidad, restos de un percance previo en el mismo punto, contribuyeron como posible factor del accidente. Bomberos de laCiudad de Méxicoacudieron de inmediato a la colonia San Juan de Aragón, Tercera Sección, en la alcaldíaGustavo A. Madero, tras el alerta de un vecino sobre un poste que amenazaba con colapsar. La estructura se inclinaba visiblemente y solo el cableado eléctrico la sostenía, lo que generaba riesgo para habitantes y transeúntes en el cruce de las calles 609 y 606. Al llegar, los elementos realizaron una valoración para descartar peligros mayores. Verificaron que no existía riesgo inmediato, movieron el poste para evitar molestias al propietario de la vivienda afectada y resguardaron la zona. Autoridades informaron que no se reportaron personas lesionadas ni daños mayores. Recomendaron avisar a las instancias correspondientes para el retiro definitivo delposte. Un accidente ocurrió sobreCircuito Interior, luego de que unautomóvilse estrellara contra el muro de contención a la altura de avenida Jardín, lo que derivó en el cierre total de la vialidad para quienes se desplazaban delAeropuerto de la Ciudad de MéxicohaciaLa Raza. El choque ocasionó intenso congestionamiento vehicular; ante la falta de circulación, algunos conductores intentaron dar vuelta en sentido contrario, provocando un bloqueo a la altura delhospital de La Raza. Al sitio acudieron elementos de Tránsito de la Secretaría de Seguridad Ciudadana, quienes implementaron cortes a la circulación y coordinaron las maniobras para retirar el vehículo accidentado. Una grúa de tránsito remolcó el auto, que quedó severamente dañado, para trasladarlo al depósito vehicular. Tras estos trabajos, la circulación se normalizó.</v>
      </c>
      <c r="O290" s="15">
        <f>IFERROR(__xludf.DUMMYFUNCTION("""COMPUTED_VALUE"""),1.0)</f>
        <v>1</v>
      </c>
      <c r="P290" s="2"/>
      <c r="Q290" s="17">
        <f>IFERROR(__xludf.DUMMYFUNCTION("""COMPUTED_VALUE"""),8.5)</f>
        <v>8.5</v>
      </c>
      <c r="R290" s="2" t="str">
        <f>IFERROR(__xludf.DUMMYFUNCTION("""COMPUTED_VALUE"""),"High")</f>
        <v>High</v>
      </c>
      <c r="S290" s="17">
        <f>IFERROR(__xludf.DUMMYFUNCTION("""COMPUTED_VALUE"""),6.5)</f>
        <v>6.5</v>
      </c>
      <c r="T290" s="17">
        <f>IFERROR(__xludf.DUMMYFUNCTION("""COMPUTED_VALUE"""),0.0)</f>
        <v>0</v>
      </c>
      <c r="U290" s="14">
        <f>IFERROR(__xludf.DUMMYFUNCTION("""COMPUTED_VALUE"""),3.0)</f>
        <v>3</v>
      </c>
      <c r="V290" s="14">
        <v>2025.0</v>
      </c>
      <c r="W290" s="2" t="s">
        <v>1168</v>
      </c>
      <c r="X290" s="2" t="s">
        <v>1203</v>
      </c>
      <c r="Y290" s="13" t="s">
        <v>1126</v>
      </c>
      <c r="Z290" s="14">
        <v>0.0</v>
      </c>
      <c r="AA290" s="14">
        <v>0.0</v>
      </c>
      <c r="AB290" s="14">
        <v>0.0</v>
      </c>
      <c r="AC290" s="14">
        <v>0.0</v>
      </c>
      <c r="AD290" s="2">
        <v>0.0</v>
      </c>
      <c r="AE290" s="2">
        <v>0.0</v>
      </c>
      <c r="AF290" s="2">
        <v>12.0</v>
      </c>
      <c r="AG290" s="2" t="s">
        <v>1222</v>
      </c>
      <c r="AH290" s="2">
        <v>0.0</v>
      </c>
    </row>
    <row r="291" ht="15.75" customHeight="1">
      <c r="A291" s="2" t="str">
        <f>IFERROR(__xludf.DUMMYFUNCTION("""COMPUTED_VALUE"""),"TV Azteca")</f>
        <v>TV Azteca</v>
      </c>
      <c r="B291" s="12" t="str">
        <f>IFERROR(__xludf.DUMMYFUNCTION("""COMPUTED_VALUE"""),"Atropellan a niña mientras jugaba en el Mercado del Norte en Chiapas; conductor fue detenido")</f>
        <v>Atropellan a niña mientras jugaba en el Mercado del Norte en Chiapas; conductor fue detenido</v>
      </c>
      <c r="C291" s="13" t="str">
        <f>IFERROR(__xludf.DUMMYFUNCTION("""COMPUTED_VALUE"""),"2025-12-17 00:12:59")</f>
        <v>2025-12-17 00:12:59</v>
      </c>
      <c r="D291" s="14">
        <f>IFERROR(__xludf.DUMMYFUNCTION("""COMPUTED_VALUE"""),2.0)</f>
        <v>2</v>
      </c>
      <c r="E291" s="15">
        <f>IFERROR(__xludf.DUMMYFUNCTION("""COMPUTED_VALUE"""),-0.6581)</f>
        <v>-0.6581</v>
      </c>
      <c r="F291" s="2" t="str">
        <f>IFERROR(__xludf.DUMMYFUNCTION("""COMPUTED_VALUE"""),"Negativo")</f>
        <v>Negativo</v>
      </c>
      <c r="G291" s="15">
        <f>IFERROR(__xludf.DUMMYFUNCTION("""COMPUTED_VALUE"""),0.6581)</f>
        <v>0.6581</v>
      </c>
      <c r="H291" s="2" t="str">
        <f>IFERROR(__xludf.DUMMYFUNCTION("""COMPUTED_VALUE"""),"Accidente de tránsito o choque vial")</f>
        <v>Accidente de tránsito o choque vial</v>
      </c>
      <c r="I291" s="2" t="str">
        <f>IFERROR(__xludf.DUMMYFUNCTION("""COMPUTED_VALUE"""),"N/A")</f>
        <v>N/A</v>
      </c>
      <c r="J291" s="2" t="str">
        <f>IFERROR(__xludf.DUMMYFUNCTION("""COMPUTED_VALUE"""),"Soporte DRV: Seguros/Guía post-siniestro.")</f>
        <v>Soporte DRV: Seguros/Guía post-siniestro.</v>
      </c>
      <c r="K291" s="2" t="str">
        <f>IFERROR(__xludf.DUMMYFUNCTION("""COMPUTED_VALUE"""),"Chiapas")</f>
        <v>Chiapas</v>
      </c>
      <c r="L291" s="2" t="str">
        <f>IFERROR(__xludf.DUMMYFUNCTION("""COMPUTED_VALUE"""),"Chiapas")</f>
        <v>Chiapas</v>
      </c>
      <c r="M291" s="16" t="str">
        <f>IFERROR(__xludf.DUMMYFUNCTION("""COMPUTED_VALUE"""),"https://www.tvazteca.com/aztecanoticias/video-atropellan-a-nina-mientras-jugaba-en-el-estacionamiento-del-mercado-del-norte")</f>
        <v>https://www.tvazteca.com/aztecanoticias/video-atropellan-a-nina-mientras-jugaba-en-el-estacionamiento-del-mercado-del-norte</v>
      </c>
      <c r="N291" s="2" t="str">
        <f>IFERROR(__xludf.DUMMYFUNCTION("""COMPUTED_VALUE"""),"Una niña de aproximadamente 3 años estuvo a punto de morir, luego de que unauto la atropellaramientras jugaba en el estacionamiento delMercado Popular del Norte,enSan Cristóbal de las Casas, Chiapas. Una cámara de seguridad captó el momento en que las lla"&amp;"ntas del coche pasaron por el cuerpo de la pequeña, quien fue trasladada a una clínica de inmediato. De acuerdo con los primeros reportes, el conductor aseguró que no vio a la pequeña antes de avanzar, ya que se encontraba jugando justo frente a su coche."&amp;" Las imágenes captadas muestran primero a a dos menores jugando en el piso del estacionamiento. En el video se observa que uno de ellos se aleja y sale del cuadro, mientras laniña se queda parada frente a un automóvil gris. Solo pasan unos segundos cuando"&amp;" el conductor arranca. Pasa con las llantas sobre su cuerpo, sin siquiera detenerse. Es hasta que otro niño corre hacia el vehículo para alertar al chofer de lo que estaba pasando. En ese momento, la copiloto baja del auto y un hombre que vestía camisa a "&amp;"cuadros se acerca rápidamente para sacar a la niña debajo del coche. Laniñafue atendida de manera inmediata tras elaccidentey trasladada a un hospital para su valoración médica. Autoridades confirmaron que ya se encuentra fuera de peligro, a pesar de que "&amp;"sus bracitos fueron aplastados. Uno de los reportes señala que una de las llantas sí pasó sobre su espalda, lo que pudo haber provocado lesiones de consideración, pero se desconoce el grado de las heridas. Luego delaccidente, el conductor fue puesto a dis"&amp;"posición de las autoridades, quienes realizarán las diligencias para deslindar responsabilidades. El sujeto afirmó no haberse percatado de la presencia de la menor al poner en marcha el vehículo. Sin embargo, el caso será analizado conforme a la ley para "&amp;"determinar si existió unaimprudencia al volante. Ahora bien, en el Código Penal deChiapas, este tipo de incidentes pueden clasificarse comolesiones culposas, pero si se trata de una falta de precaución, las sanciones pueden incluir multas, reparación inte"&amp;"gral del daño y el pago de gastos médicos. Autoridades y especialistas recuerdan que lasvialidades y estacionamientos son zonas de alto riesgopara menores. Por ello, recomiendan: Más allá de buscar culpables, este caso nos recuerda la importancia de vigil"&amp;"ar en todo momento a los niños, porque un descuido de segundos puede cambiarlo todo.")</f>
        <v>Una niña de aproximadamente 3 años estuvo a punto de morir, luego de que unauto la atropellaramientras jugaba en el estacionamiento delMercado Popular del Norte,enSan Cristóbal de las Casas, Chiapas. Una cámara de seguridad captó el momento en que las llantas del coche pasaron por el cuerpo de la pequeña, quien fue trasladada a una clínica de inmediato. De acuerdo con los primeros reportes, el conductor aseguró que no vio a la pequeña antes de avanzar, ya que se encontraba jugando justo frente a su coche. Las imágenes captadas muestran primero a a dos menores jugando en el piso del estacionamiento. En el video se observa que uno de ellos se aleja y sale del cuadro, mientras laniña se queda parada frente a un automóvil gris. Solo pasan unos segundos cuando el conductor arranca. Pasa con las llantas sobre su cuerpo, sin siquiera detenerse. Es hasta que otro niño corre hacia el vehículo para alertar al chofer de lo que estaba pasando. En ese momento, la copiloto baja del auto y un hombre que vestía camisa a cuadros se acerca rápidamente para sacar a la niña debajo del coche. Laniñafue atendida de manera inmediata tras elaccidentey trasladada a un hospital para su valoración médica. Autoridades confirmaron que ya se encuentra fuera de peligro, a pesar de que sus bracitos fueron aplastados. Uno de los reportes señala que una de las llantas sí pasó sobre su espalda, lo que pudo haber provocado lesiones de consideración, pero se desconoce el grado de las heridas. Luego delaccidente, el conductor fue puesto a disposición de las autoridades, quienes realizarán las diligencias para deslindar responsabilidades. El sujeto afirmó no haberse percatado de la presencia de la menor al poner en marcha el vehículo. Sin embargo, el caso será analizado conforme a la ley para determinar si existió unaimprudencia al volante. Ahora bien, en el Código Penal deChiapas, este tipo de incidentes pueden clasificarse comolesiones culposas, pero si se trata de una falta de precaución, las sanciones pueden incluir multas, reparación integral del daño y el pago de gastos médicos. Autoridades y especialistas recuerdan que lasvialidades y estacionamientos son zonas de alto riesgopara menores. Por ello, recomiendan: Más allá de buscar culpables, este caso nos recuerda la importancia de vigilar en todo momento a los niños, porque un descuido de segundos puede cambiarlo todo.</v>
      </c>
      <c r="O291" s="15">
        <f>IFERROR(__xludf.DUMMYFUNCTION("""COMPUTED_VALUE"""),0.3542)</f>
        <v>0.3542</v>
      </c>
      <c r="P291" s="2"/>
      <c r="Q291" s="17">
        <f>IFERROR(__xludf.DUMMYFUNCTION("""COMPUTED_VALUE"""),8.0)</f>
        <v>8</v>
      </c>
      <c r="R291" s="2" t="str">
        <f>IFERROR(__xludf.DUMMYFUNCTION("""COMPUTED_VALUE"""),"High")</f>
        <v>High</v>
      </c>
      <c r="S291" s="17">
        <f>IFERROR(__xludf.DUMMYFUNCTION("""COMPUTED_VALUE"""),2.0)</f>
        <v>2</v>
      </c>
      <c r="T291" s="17">
        <f>IFERROR(__xludf.DUMMYFUNCTION("""COMPUTED_VALUE"""),0.0)</f>
        <v>0</v>
      </c>
      <c r="U291" s="14">
        <f>IFERROR(__xludf.DUMMYFUNCTION("""COMPUTED_VALUE"""),3.0)</f>
        <v>3</v>
      </c>
      <c r="V291" s="14">
        <v>2025.0</v>
      </c>
      <c r="W291" s="2" t="s">
        <v>1168</v>
      </c>
      <c r="X291" s="2" t="s">
        <v>1203</v>
      </c>
      <c r="Y291" s="13" t="s">
        <v>1130</v>
      </c>
      <c r="Z291" s="14">
        <v>0.0</v>
      </c>
      <c r="AA291" s="14">
        <v>0.0</v>
      </c>
      <c r="AB291" s="14">
        <v>0.0</v>
      </c>
      <c r="AC291" s="14">
        <v>0.0</v>
      </c>
      <c r="AD291" s="2">
        <v>0.0</v>
      </c>
      <c r="AE291" s="2">
        <v>0.0</v>
      </c>
      <c r="AF291" s="2">
        <v>12.0</v>
      </c>
      <c r="AG291" s="2" t="s">
        <v>1190</v>
      </c>
      <c r="AH291" s="2">
        <v>0.0</v>
      </c>
    </row>
    <row r="292" ht="15.75" customHeight="1">
      <c r="A292" s="2" t="str">
        <f>IFERROR(__xludf.DUMMYFUNCTION("""COMPUTED_VALUE"""),"TV Azteca")</f>
        <v>TV Azteca</v>
      </c>
      <c r="B292" s="12" t="str">
        <f>IFERROR(__xludf.DUMMYFUNCTION("""COMPUTED_VALUE"""),"VIDEO: Momento exacto en que colapsa el monumento “El Colotero” en Álamo, Veracruz")</f>
        <v>VIDEO: Momento exacto en que colapsa el monumento “El Colotero” en Álamo, Veracruz</v>
      </c>
      <c r="C292" s="13" t="str">
        <f>IFERROR(__xludf.DUMMYFUNCTION("""COMPUTED_VALUE"""),"2025-12-16 23:21:04")</f>
        <v>2025-12-16 23:21:04</v>
      </c>
      <c r="D292" s="14">
        <f>IFERROR(__xludf.DUMMYFUNCTION("""COMPUTED_VALUE"""),1.0)</f>
        <v>1</v>
      </c>
      <c r="E292" s="15">
        <f>IFERROR(__xludf.DUMMYFUNCTION("""COMPUTED_VALUE"""),0.0)</f>
        <v>0</v>
      </c>
      <c r="F292" s="2" t="str">
        <f>IFERROR(__xludf.DUMMYFUNCTION("""COMPUTED_VALUE"""),"Neutral")</f>
        <v>Neutral</v>
      </c>
      <c r="G292" s="15">
        <f>IFERROR(__xludf.DUMMYFUNCTION("""COMPUTED_VALUE"""),0.5508)</f>
        <v>0.5508</v>
      </c>
      <c r="H292" s="2" t="str">
        <f>IFERROR(__xludf.DUMMYFUNCTION("""COMPUTED_VALUE"""),"Otros temas generales")</f>
        <v>Otros temas generales</v>
      </c>
      <c r="I292" s="2" t="str">
        <f>IFERROR(__xludf.DUMMYFUNCTION("""COMPUTED_VALUE"""),"N/A")</f>
        <v>N/A</v>
      </c>
      <c r="J292" s="2" t="str">
        <f>IFERROR(__xludf.DUMMYFUNCTION("""COMPUTED_VALUE"""),"Descartar / Baja prioridad.")</f>
        <v>Descartar / Baja prioridad.</v>
      </c>
      <c r="K292" s="2" t="str">
        <f>IFERROR(__xludf.DUMMYFUNCTION("""COMPUTED_VALUE"""),"Veracruz")</f>
        <v>Veracruz</v>
      </c>
      <c r="L292" s="2" t="str">
        <f>IFERROR(__xludf.DUMMYFUNCTION("""COMPUTED_VALUE"""),"Veracruz")</f>
        <v>Veracruz</v>
      </c>
      <c r="M292" s="16" t="str">
        <f>IFERROR(__xludf.DUMMYFUNCTION("""COMPUTED_VALUE"""),"https://www.tvazteca.com/aztecanoticias/video-fue-como-colapso-el-monumento-el-colotero-en-alamo-veracruz")</f>
        <v>https://www.tvazteca.com/aztecanoticias/video-fue-como-colapso-el-monumento-el-colotero-en-alamo-veracruz</v>
      </c>
      <c r="N292" s="2" t="str">
        <f>IFERROR(__xludf.DUMMYFUNCTION("""COMPUTED_VALUE"""),"La estatua de acero""El Colotero""le daba la bienvenida a decenas de turistas y pobladores deÁlamo Temapache, Veracruz,como recordatorio de su identidad como la capital de la naranja; sin embargo, tras las fuertes lluvias, elmonumentofinalmente cedió este"&amp;" 16 de diciembre. El momento exacto delcolapsoquedó registrado por cámaras de seguridad, sorprendiendo a automovilistas que circulaban por la zona. Cámaras de vigilancia captaron el instante exacto en que la imponente figura se desploma, generando una nub"&amp;"e de polvo; aunque sin afectar la circulación. Vecinos deÁlamohabían advertido desde hace tiempo sobre el estado en el que se encontraba la figura y el riesgo que representaba, especialmente tras las afectaciones provocadas por lasinundacionesen octubre d"&amp;"e 2025. De acuerdo con autoridades estatales, no se reportaron personas lesionadas ni daños a viviendas o vehículos cercanos, aunque el momento rápidamente se viralizó en redes sociales. La Secretaría de Protección Civil deVeracruzinformó que el monumento"&amp;" ya presentaba fracturas visibles desde hace varios meses, derivadas de las intensas lluvias e inundaciones registradas por el paso de latormenta tropical ""Priscilla"". Debido a estos daños estructurales, la zona se mantenía acordonada como medida preven"&amp;"tiva. Además, las autoridades señalaron que elcolapsotambién se vio agravado por la vibración constante de los vehículos que circulan por la carretera federal 127 Pánuco–Tihuatlán,donde se ubicaba laescultura. El gobierno municipal adelantó que se buscará"&amp;" levantar la réplica del monumento con el mismo diseño original, como parte del rescate simbólico de uno de los íconos más importantes deÁlamo. ""El Colotero"" medía 15 metros de altura y fue inaugurado en 2004 como un homenaje a los trabajadores del camp"&amp;"o dedicados a la cosecha denaranja, actividad que representa la economía local. La figura mostraba a un campesino descalzo, con el pantalón arremangado, el torso desnudo y vaciando un colote, el canasto tradicional hecho de carrizo y cuero, lleno de naran"&amp;"jas. De ahí el nombre “colotero”, que es como se le conoce a los cortadores de cítricos en la región. Elmonumentofue diseñado por el artista originario de Poza Rica, Miguel Vargas Martínez, y se convirtió en un punto de referencia para quienes visitaban e"&amp;"l municipio. El colapso de la estatua no resulta extraño luego de las severasinundacionesque sufrióÁlamo Temapache, tras el desbordamiento de los ríosPantepec y Cazones, provocado por latormenta tropical ""Priscilla"". El río Cazones alcanzó niveles de ha"&amp;"sta 8.5 metros, afectando comunidades enteras. Más de 16 mil viviendas resultaron con daños, muchas de ellas con pérdida total a causa del lodo. Pero la situación se agravó conforme pasaban los días y bajaba el nivel del agua, debido a la contaminación y "&amp;"a la falta de atención sanitaria. A dos meses de la emergencia, el municipio intenta dejar atrás la peor inundación  sufrida desde 1999.")</f>
        <v>La estatua de acero"El Colotero"le daba la bienvenida a decenas de turistas y pobladores deÁlamo Temapache, Veracruz,como recordatorio de su identidad como la capital de la naranja; sin embargo, tras las fuertes lluvias, elmonumentofinalmente cedió este 16 de diciembre. El momento exacto delcolapsoquedó registrado por cámaras de seguridad, sorprendiendo a automovilistas que circulaban por la zona. Cámaras de vigilancia captaron el instante exacto en que la imponente figura se desploma, generando una nube de polvo; aunque sin afectar la circulación. Vecinos deÁlamohabían advertido desde hace tiempo sobre el estado en el que se encontraba la figura y el riesgo que representaba, especialmente tras las afectaciones provocadas por lasinundacionesen octubre de 2025. De acuerdo con autoridades estatales, no se reportaron personas lesionadas ni daños a viviendas o vehículos cercanos, aunque el momento rápidamente se viralizó en redes sociales. La Secretaría de Protección Civil deVeracruzinformó que el monumento ya presentaba fracturas visibles desde hace varios meses, derivadas de las intensas lluvias e inundaciones registradas por el paso de latormenta tropical "Priscilla". Debido a estos daños estructurales, la zona se mantenía acordonada como medida preventiva. Además, las autoridades señalaron que elcolapsotambién se vio agravado por la vibración constante de los vehículos que circulan por la carretera federal 127 Pánuco–Tihuatlán,donde se ubicaba laescultura. El gobierno municipal adelantó que se buscará levantar la réplica del monumento con el mismo diseño original, como parte del rescate simbólico de uno de los íconos más importantes deÁlamo. "El Colotero" medía 15 metros de altura y fue inaugurado en 2004 como un homenaje a los trabajadores del campo dedicados a la cosecha denaranja, actividad que representa la economía local. La figura mostraba a un campesino descalzo, con el pantalón arremangado, el torso desnudo y vaciando un colote, el canasto tradicional hecho de carrizo y cuero, lleno de naranjas. De ahí el nombre “colotero”, que es como se le conoce a los cortadores de cítricos en la región. Elmonumentofue diseñado por el artista originario de Poza Rica, Miguel Vargas Martínez, y se convirtió en un punto de referencia para quienes visitaban el municipio. El colapso de la estatua no resulta extraño luego de las severasinundacionesque sufrióÁlamo Temapache, tras el desbordamiento de los ríosPantepec y Cazones, provocado por latormenta tropical "Priscilla". El río Cazones alcanzó niveles de hasta 8.5 metros, afectando comunidades enteras. Más de 16 mil viviendas resultaron con daños, muchas de ellas con pérdida total a causa del lodo. Pero la situación se agravó conforme pasaban los días y bajaba el nivel del agua, debido a la contaminación y a la falta de atención sanitaria. A dos meses de la emergencia, el municipio intenta dejar atrás la peor inundación  sufrida desde 1999.</v>
      </c>
      <c r="O292" s="15">
        <f>IFERROR(__xludf.DUMMYFUNCTION("""COMPUTED_VALUE"""),0.3476)</f>
        <v>0.3476</v>
      </c>
      <c r="P292" s="2"/>
      <c r="Q292" s="17">
        <f>IFERROR(__xludf.DUMMYFUNCTION("""COMPUTED_VALUE"""),8.5)</f>
        <v>8.5</v>
      </c>
      <c r="R292" s="2" t="str">
        <f>IFERROR(__xludf.DUMMYFUNCTION("""COMPUTED_VALUE"""),"High")</f>
        <v>High</v>
      </c>
      <c r="S292" s="17">
        <f>IFERROR(__xludf.DUMMYFUNCTION("""COMPUTED_VALUE"""),2.5)</f>
        <v>2.5</v>
      </c>
      <c r="T292" s="17">
        <f>IFERROR(__xludf.DUMMYFUNCTION("""COMPUTED_VALUE"""),0.0)</f>
        <v>0</v>
      </c>
      <c r="U292" s="14">
        <f>IFERROR(__xludf.DUMMYFUNCTION("""COMPUTED_VALUE"""),3.0)</f>
        <v>3</v>
      </c>
      <c r="V292" s="14">
        <v>2025.0</v>
      </c>
      <c r="W292" s="2" t="s">
        <v>1168</v>
      </c>
      <c r="X292" s="2" t="s">
        <v>1218</v>
      </c>
      <c r="Y292" s="13" t="s">
        <v>1134</v>
      </c>
      <c r="Z292" s="14">
        <v>0.0</v>
      </c>
      <c r="AA292" s="14">
        <v>0.0</v>
      </c>
      <c r="AB292" s="14">
        <v>0.0</v>
      </c>
      <c r="AC292" s="14">
        <v>0.0</v>
      </c>
      <c r="AD292" s="2">
        <v>0.0</v>
      </c>
      <c r="AE292" s="2">
        <v>0.0</v>
      </c>
      <c r="AF292" s="2">
        <v>12.0</v>
      </c>
      <c r="AG292" s="2" t="s">
        <v>1183</v>
      </c>
      <c r="AH292" s="2">
        <v>0.0</v>
      </c>
    </row>
    <row r="293" ht="15.75" customHeight="1">
      <c r="A293" s="2" t="str">
        <f>IFERROR(__xludf.DUMMYFUNCTION("""COMPUTED_VALUE"""),"TV Azteca")</f>
        <v>TV Azteca</v>
      </c>
      <c r="B293" s="12" t="str">
        <f>IFERROR(__xludf.DUMMYFUNCTION("""COMPUTED_VALUE"""),"Conductor de pipa de agua pierde el control y vuelca en Periférico Oriente, Iztapalapa")</f>
        <v>Conductor de pipa de agua pierde el control y vuelca en Periférico Oriente, Iztapalapa</v>
      </c>
      <c r="C293" s="13" t="str">
        <f>IFERROR(__xludf.DUMMYFUNCTION("""COMPUTED_VALUE"""),"2025-12-16 22:16:47")</f>
        <v>2025-12-16 22:16:47</v>
      </c>
      <c r="D293" s="14">
        <f>IFERROR(__xludf.DUMMYFUNCTION("""COMPUTED_VALUE"""),2.0)</f>
        <v>2</v>
      </c>
      <c r="E293" s="15">
        <f>IFERROR(__xludf.DUMMYFUNCTION("""COMPUTED_VALUE"""),-0.855)</f>
        <v>-0.855</v>
      </c>
      <c r="F293" s="2" t="str">
        <f>IFERROR(__xludf.DUMMYFUNCTION("""COMPUTED_VALUE"""),"Negativo")</f>
        <v>Negativo</v>
      </c>
      <c r="G293" s="15">
        <f>IFERROR(__xludf.DUMMYFUNCTION("""COMPUTED_VALUE"""),0.855)</f>
        <v>0.855</v>
      </c>
      <c r="H293" s="2" t="str">
        <f>IFERROR(__xludf.DUMMYFUNCTION("""COMPUTED_VALUE"""),"Accidente de tránsito o choque vial")</f>
        <v>Accidente de tránsito o choque vial</v>
      </c>
      <c r="I293" s="2" t="str">
        <f>IFERROR(__xludf.DUMMYFUNCTION("""COMPUTED_VALUE"""),"N/A")</f>
        <v>N/A</v>
      </c>
      <c r="J293" s="2" t="str">
        <f>IFERROR(__xludf.DUMMYFUNCTION("""COMPUTED_VALUE"""),"Soporte DRV: Seguros/Guía post-siniestro.")</f>
        <v>Soporte DRV: Seguros/Guía post-siniestro.</v>
      </c>
      <c r="K293" s="2" t="str">
        <f>IFERROR(__xludf.DUMMYFUNCTION("""COMPUTED_VALUE"""),"Iztapalapa")</f>
        <v>Iztapalapa</v>
      </c>
      <c r="L293" s="2" t="str">
        <f>IFERROR(__xludf.DUMMYFUNCTION("""COMPUTED_VALUE"""),"Ciudad de México")</f>
        <v>Ciudad de México</v>
      </c>
      <c r="M293" s="16" t="str">
        <f>IFERROR(__xludf.DUMMYFUNCTION("""COMPUTED_VALUE"""),"https://www.tvazteca.com/aztecanoticias/vuelca-pipa-agua-en-periferico-oriente-iztapalapa-conductor-resulta-lesiones-leves")</f>
        <v>https://www.tvazteca.com/aztecanoticias/vuelca-pipa-agua-en-periferico-oriente-iztapalapa-conductor-resulta-lesiones-leves</v>
      </c>
      <c r="N293" s="2" t="str">
        <f>IFERROR(__xludf.DUMMYFUNCTION("""COMPUTED_VALUE"""),"¡Se vuelca! Un aparatoso accidente se registró la tarde de este martes sobrePeriférico Oriente, a la altura del Eje 6 Trabajadores Sociales, en laalcaldía Iztapalapa, luego de que el conductor de unapipa que transportaba agua perdiera el control de la uni"&amp;"dad al dar vuelta en un retorno. El incidente provocó unamovilización de cuerpos de emergenciay afectaciones a la circulación vehicular en la zona. Unapipa que transportaba aguaprotagonizó un aparatoso accidente la tarde de este martes sobrePeriférico Ori"&amp;"ente, de acuerdo con los primeros reportes, el conductor de la unidad perdió el control al intentar dar vuelta en un retorno, lo que provocó que elvehículo volcara y quedara atravesado sobre la cinta asfáltica. Tras el incidente, se registró una movilizac"&amp;"ión de cuerpos de emergencia, quienes acudieron de manera inmediata para atender la situación y evitar mayores riesgos en el lugar de los hechos. Al lugar arribaron elementos delHeroico Cuerpo de Bomberos de la Ciudad de México, personal de Protección Civ"&amp;"il y policías del sector, quienes se encargaron de acordonar la zona y realizaron labores de seguridad para proteger tanto al conductor como a los automovilistas que circulaban por el área. Los paramédicos de una unidad médica valoraronal chofer de la pip"&amp;"a de agua, quien, pese a lo aparatoso del accidente,solo presentó lesiones leves que no ameritaron su traslado a un hospital. El conductor permaneció en el sitio mientras se realizaban las maniobras correspondientes para retirar la unidad siniestrada. La "&amp;"circulación vehicular enPeriférico Oriente se vio seriamente afectadadurante varios minutos, generando carga vehicular en ambos sentidos, mientras una grúa particular trabajaba para colocar la pipa en su posición normal y posteriormente retirarla del luga"&amp;"r de los hechos. Como medida preventiva,los bomberos esparcieron tierra sobre los aceites y líquidos derramados en el pavimento, con el objetivo de evitar otro accidente.")</f>
        <v>¡Se vuelca! Un aparatoso accidente se registró la tarde de este martes sobrePeriférico Oriente, a la altura del Eje 6 Trabajadores Sociales, en laalcaldía Iztapalapa, luego de que el conductor de unapipa que transportaba agua perdiera el control de la unidad al dar vuelta en un retorno. El incidente provocó unamovilización de cuerpos de emergenciay afectaciones a la circulación vehicular en la zona. Unapipa que transportaba aguaprotagonizó un aparatoso accidente la tarde de este martes sobrePeriférico Oriente, de acuerdo con los primeros reportes, el conductor de la unidad perdió el control al intentar dar vuelta en un retorno, lo que provocó que elvehículo volcara y quedara atravesado sobre la cinta asfáltica. Tras el incidente, se registró una movilización de cuerpos de emergencia, quienes acudieron de manera inmediata para atender la situación y evitar mayores riesgos en el lugar de los hechos. Al lugar arribaron elementos delHeroico Cuerpo de Bomberos de la Ciudad de México, personal de Protección Civil y policías del sector, quienes se encargaron de acordonar la zona y realizaron labores de seguridad para proteger tanto al conductor como a los automovilistas que circulaban por el área. Los paramédicos de una unidad médica valoraronal chofer de la pipa de agua, quien, pese a lo aparatoso del accidente,solo presentó lesiones leves que no ameritaron su traslado a un hospital. El conductor permaneció en el sitio mientras se realizaban las maniobras correspondientes para retirar la unidad siniestrada. La circulación vehicular enPeriférico Oriente se vio seriamente afectadadurante varios minutos, generando carga vehicular en ambos sentidos, mientras una grúa particular trabajaba para colocar la pipa en su posición normal y posteriormente retirarla del lugar de los hechos. Como medida preventiva,los bomberos esparcieron tierra sobre los aceites y líquidos derramados en el pavimento, con el objetivo de evitar otro accidente.</v>
      </c>
      <c r="O293" s="15">
        <f>IFERROR(__xludf.DUMMYFUNCTION("""COMPUTED_VALUE"""),0.6826)</f>
        <v>0.6826</v>
      </c>
      <c r="P293" s="2"/>
      <c r="Q293" s="17">
        <f>IFERROR(__xludf.DUMMYFUNCTION("""COMPUTED_VALUE"""),8.5)</f>
        <v>8.5</v>
      </c>
      <c r="R293" s="2" t="str">
        <f>IFERROR(__xludf.DUMMYFUNCTION("""COMPUTED_VALUE"""),"High")</f>
        <v>High</v>
      </c>
      <c r="S293" s="17">
        <f>IFERROR(__xludf.DUMMYFUNCTION("""COMPUTED_VALUE"""),5.5)</f>
        <v>5.5</v>
      </c>
      <c r="T293" s="17">
        <f>IFERROR(__xludf.DUMMYFUNCTION("""COMPUTED_VALUE"""),0.0)</f>
        <v>0</v>
      </c>
      <c r="U293" s="14">
        <f>IFERROR(__xludf.DUMMYFUNCTION("""COMPUTED_VALUE"""),3.0)</f>
        <v>3</v>
      </c>
      <c r="V293" s="14">
        <v>2025.0</v>
      </c>
      <c r="W293" s="2" t="s">
        <v>1168</v>
      </c>
      <c r="X293" s="2" t="s">
        <v>1218</v>
      </c>
      <c r="Y293" s="13" t="s">
        <v>1138</v>
      </c>
      <c r="Z293" s="14">
        <v>0.0</v>
      </c>
      <c r="AA293" s="14">
        <v>0.0</v>
      </c>
      <c r="AB293" s="14">
        <v>0.0</v>
      </c>
      <c r="AC293" s="14">
        <v>0.0</v>
      </c>
      <c r="AD293" s="2">
        <v>0.0</v>
      </c>
      <c r="AE293" s="2">
        <v>0.0</v>
      </c>
      <c r="AF293" s="2">
        <v>12.0</v>
      </c>
      <c r="AG293" s="2" t="s">
        <v>1222</v>
      </c>
      <c r="AH293" s="2">
        <v>0.0</v>
      </c>
    </row>
    <row r="294" ht="15.75" customHeight="1">
      <c r="A294" s="2" t="str">
        <f>IFERROR(__xludf.DUMMYFUNCTION("""COMPUTED_VALUE"""),"TV Azteca")</f>
        <v>TV Azteca</v>
      </c>
      <c r="B294" s="12" t="str">
        <f>IFERROR(__xludf.DUMMYFUNCTION("""COMPUTED_VALUE"""),"Caos vial y heridos tras choque múltiple de van de pasajeros en carretera La Barca – Atotonilco, Jalisco")</f>
        <v>Caos vial y heridos tras choque múltiple de van de pasajeros en carretera La Barca – Atotonilco, Jalisco</v>
      </c>
      <c r="C294" s="13" t="str">
        <f>IFERROR(__xludf.DUMMYFUNCTION("""COMPUTED_VALUE"""),"2025-12-16 17:32:00")</f>
        <v>2025-12-16 17:32:00</v>
      </c>
      <c r="D294" s="14">
        <f>IFERROR(__xludf.DUMMYFUNCTION("""COMPUTED_VALUE"""),2.0)</f>
        <v>2</v>
      </c>
      <c r="E294" s="15">
        <f>IFERROR(__xludf.DUMMYFUNCTION("""COMPUTED_VALUE"""),-0.5559)</f>
        <v>-0.5559</v>
      </c>
      <c r="F294" s="2" t="str">
        <f>IFERROR(__xludf.DUMMYFUNCTION("""COMPUTED_VALUE"""),"Negativo")</f>
        <v>Negativo</v>
      </c>
      <c r="G294" s="15">
        <f>IFERROR(__xludf.DUMMYFUNCTION("""COMPUTED_VALUE"""),0.5559)</f>
        <v>0.5559</v>
      </c>
      <c r="H294" s="2" t="str">
        <f>IFERROR(__xludf.DUMMYFUNCTION("""COMPUTED_VALUE"""),"Accidente de tránsito o choque vial")</f>
        <v>Accidente de tránsito o choque vial</v>
      </c>
      <c r="I294" s="2" t="str">
        <f>IFERROR(__xludf.DUMMYFUNCTION("""COMPUTED_VALUE"""),"choque")</f>
        <v>choque</v>
      </c>
      <c r="J294" s="2" t="str">
        <f>IFERROR(__xludf.DUMMYFUNCTION("""COMPUTED_VALUE"""),"Soporte DRV: Seguros/Guía post-siniestro.")</f>
        <v>Soporte DRV: Seguros/Guía post-siniestro.</v>
      </c>
      <c r="K294" s="2" t="str">
        <f>IFERROR(__xludf.DUMMYFUNCTION("""COMPUTED_VALUE"""),"Jalisco")</f>
        <v>Jalisco</v>
      </c>
      <c r="L294" s="2" t="str">
        <f>IFERROR(__xludf.DUMMYFUNCTION("""COMPUTED_VALUE"""),"Jalisco")</f>
        <v>Jalisco</v>
      </c>
      <c r="M294" s="16" t="str">
        <f>IFERROR(__xludf.DUMMYFUNCTION("""COMPUTED_VALUE"""),"https://www.tvazteca.com/aztecanoticias/choque-multiple-jalisco-hoy-carambola-heridos-caos-vial-carretera-federal-la-barca-totonilco")</f>
        <v>https://www.tvazteca.com/aztecanoticias/choque-multiple-jalisco-hoy-carambola-heridos-caos-vial-carretera-federal-la-barca-totonilco</v>
      </c>
      <c r="N294" s="2" t="str">
        <f>IFERROR(__xludf.DUMMYFUNCTION("""COMPUTED_VALUE"""),"Unaalertadeúltima horasacudió la regiónCiénegadeJalisco. La mañana dehoy 16 de diciembre,unchoque múltiplesobre lacarretera La Barca – Atotonilcoprovocócaos vial, tráfico intensoy unafuerte movilizacióndeemergencia, luego de que unavan de pasajerosy unveh"&amp;"ículo compactocolisionaran en elkilómetro 10 de esta vía federal, una de las más transitadas de la zona. Elchoque múltipleen la carreteraLa Barca – Atotonilcoocurrió alrededor de las 08:38 horas, cuando automovilistas que circulaban por la carretera feder"&amp;"al reportaron el impacto y la presencia de personas lesionadas. La colisión generó reducción de carriles y complicaciones en la circulación, mientrascuerpos de auxiliose desplazaban al sitio para atender laemergencia. De acuerdo con información oficial,el"&amp;"choque múltipleen lacarretera La Barca – Atotonilcodejó un saldo de nueve personas lesionadas, algunas de ellas con heridas de consideración. Siete de los afectados fueron trasladados a hospitales deLa Barca, mientras que dos más fueron llevados a unidade"&amp;"s médicas de Atotonilco, donde permanecen bajo observación médica. La atención del choque múltiplecarretera La Barca – Atotonilcose realizó mediante un operativo coordinado entre elementos deProtección Civil de La Barca, Protección Civil Atotonilco y la G"&amp;"uardia Nacional, quienes trabajaron en conjunto para brindar primeros auxilios, realizar traslados y asegurar la zona delaccidente. Durante varios minutos, el choque múltiple carretera La Barca – Atotonilco obligó a implementar maniobras de control vehicu"&amp;"lar, ya que el flujo de automóviles se vio afectado por la presencia de ambulancias, unidades de rescate y patrullas federales. Autoridades exhortaron a los conductores a extremar precauciones y respetar las indicaciones mientras continuaban las labores. "&amp;"TAMBIÉN TE PUEDE INTERESAR:CAOS VIAL Y CIERRE TOTAL: CHOQUE MÚLTIPLE PARALIZA AUTOPISTA GUADALAJARA A COLIMA LaUnidad Estatal de Protección Civil y Bomberos de Jaliscoconfirmó que el choque múltiple carreteraLa Barca – Atotonilcosigue bajo revisión, mient"&amp;"ras se recaban datos para determinar cómo ocurrió el percance y deslindar responsabilidades. En tanto, la vialidad fue liberada de forma gradual conforme concluyeron los trabajos de auxilio y retiro de vehículos involucrados.")</f>
        <v>Unaalertadeúltima horasacudió la regiónCiénegadeJalisco. La mañana dehoy 16 de diciembre,unchoque múltiplesobre lacarretera La Barca – Atotonilcoprovocócaos vial, tráfico intensoy unafuerte movilizacióndeemergencia, luego de que unavan de pasajerosy unvehículo compactocolisionaran en elkilómetro 10 de esta vía federal, una de las más transitadas de la zona. Elchoque múltipleen la carreteraLa Barca – Atotonilcoocurrió alrededor de las 08:38 horas, cuando automovilistas que circulaban por la carretera federal reportaron el impacto y la presencia de personas lesionadas. La colisión generó reducción de carriles y complicaciones en la circulación, mientrascuerpos de auxiliose desplazaban al sitio para atender laemergencia. De acuerdo con información oficial,elchoque múltipleen lacarretera La Barca – Atotonilcodejó un saldo de nueve personas lesionadas, algunas de ellas con heridas de consideración. Siete de los afectados fueron trasladados a hospitales deLa Barca, mientras que dos más fueron llevados a unidades médicas de Atotonilco, donde permanecen bajo observación médica. La atención del choque múltiplecarretera La Barca – Atotonilcose realizó mediante un operativo coordinado entre elementos deProtección Civil de La Barca, Protección Civil Atotonilco y la Guardia Nacional, quienes trabajaron en conjunto para brindar primeros auxilios, realizar traslados y asegurar la zona delaccidente. Durante varios minutos, el choque múltiple carretera La Barca – Atotonilco obligó a implementar maniobras de control vehicular, ya que el flujo de automóviles se vio afectado por la presencia de ambulancias, unidades de rescate y patrullas federales. Autoridades exhortaron a los conductores a extremar precauciones y respetar las indicaciones mientras continuaban las labores. TAMBIÉN TE PUEDE INTERESAR:CAOS VIAL Y CIERRE TOTAL: CHOQUE MÚLTIPLE PARALIZA AUTOPISTA GUADALAJARA A COLIMA LaUnidad Estatal de Protección Civil y Bomberos de Jaliscoconfirmó que el choque múltiple carreteraLa Barca – Atotonilcosigue bajo revisión, mientras se recaban datos para determinar cómo ocurrió el percance y deslindar responsabilidades. En tanto, la vialidad fue liberada de forma gradual conforme concluyeron los trabajos de auxilio y retiro de vehículos involucrados.</v>
      </c>
      <c r="O294" s="15">
        <f>IFERROR(__xludf.DUMMYFUNCTION("""COMPUTED_VALUE"""),1.0)</f>
        <v>1</v>
      </c>
      <c r="P294" s="2"/>
      <c r="Q294" s="17">
        <f>IFERROR(__xludf.DUMMYFUNCTION("""COMPUTED_VALUE"""),5.5)</f>
        <v>5.5</v>
      </c>
      <c r="R294" s="2" t="str">
        <f>IFERROR(__xludf.DUMMYFUNCTION("""COMPUTED_VALUE"""),"Low")</f>
        <v>Low</v>
      </c>
      <c r="S294" s="17">
        <f>IFERROR(__xludf.DUMMYFUNCTION("""COMPUTED_VALUE"""),0.5)</f>
        <v>0.5</v>
      </c>
      <c r="T294" s="17">
        <f>IFERROR(__xludf.DUMMYFUNCTION("""COMPUTED_VALUE"""),0.0)</f>
        <v>0</v>
      </c>
      <c r="U294" s="14">
        <f>IFERROR(__xludf.DUMMYFUNCTION("""COMPUTED_VALUE"""),3.0)</f>
        <v>3</v>
      </c>
      <c r="V294" s="14">
        <v>2025.0</v>
      </c>
      <c r="W294" s="2" t="s">
        <v>1168</v>
      </c>
      <c r="X294" s="2" t="s">
        <v>1218</v>
      </c>
      <c r="Y294" s="13" t="s">
        <v>1142</v>
      </c>
      <c r="Z294" s="14">
        <v>0.0</v>
      </c>
      <c r="AA294" s="14">
        <v>0.0</v>
      </c>
      <c r="AB294" s="14">
        <v>0.0</v>
      </c>
      <c r="AC294" s="14">
        <v>0.0</v>
      </c>
      <c r="AD294" s="2">
        <v>0.0</v>
      </c>
      <c r="AE294" s="2">
        <v>0.0</v>
      </c>
      <c r="AF294" s="2">
        <v>12.0</v>
      </c>
      <c r="AG294" s="2" t="s">
        <v>1226</v>
      </c>
      <c r="AH294" s="2">
        <v>0.0</v>
      </c>
    </row>
    <row r="295" ht="15.75" customHeight="1">
      <c r="A295" s="2" t="str">
        <f>IFERROR(__xludf.DUMMYFUNCTION("""COMPUTED_VALUE"""),"TV Azteca")</f>
        <v>TV Azteca</v>
      </c>
      <c r="B295" s="12" t="str">
        <f>IFERROR(__xludf.DUMMYFUNCTION("""COMPUTED_VALUE"""),"Trágico accidente vehicular cobra la vida de un hombre en la alcaldía Tlalpan")</f>
        <v>Trágico accidente vehicular cobra la vida de un hombre en la alcaldía Tlalpan</v>
      </c>
      <c r="C295" s="13" t="str">
        <f>IFERROR(__xludf.DUMMYFUNCTION("""COMPUTED_VALUE"""),"2025-12-16 13:24:00")</f>
        <v>2025-12-16 13:24:00</v>
      </c>
      <c r="D295" s="14">
        <f>IFERROR(__xludf.DUMMYFUNCTION("""COMPUTED_VALUE"""),2.0)</f>
        <v>2</v>
      </c>
      <c r="E295" s="15">
        <f>IFERROR(__xludf.DUMMYFUNCTION("""COMPUTED_VALUE"""),-0.6562)</f>
        <v>-0.6562</v>
      </c>
      <c r="F295" s="2" t="str">
        <f>IFERROR(__xludf.DUMMYFUNCTION("""COMPUTED_VALUE"""),"Negativo")</f>
        <v>Negativo</v>
      </c>
      <c r="G295" s="15">
        <f>IFERROR(__xludf.DUMMYFUNCTION("""COMPUTED_VALUE"""),0.6562)</f>
        <v>0.6562</v>
      </c>
      <c r="H295" s="2" t="str">
        <f>IFERROR(__xludf.DUMMYFUNCTION("""COMPUTED_VALUE"""),"Accidente de tránsito o choque vial")</f>
        <v>Accidente de tránsito o choque vial</v>
      </c>
      <c r="I295" s="2" t="str">
        <f>IFERROR(__xludf.DUMMYFUNCTION("""COMPUTED_VALUE"""),"N/A")</f>
        <v>N/A</v>
      </c>
      <c r="J295" s="2" t="str">
        <f>IFERROR(__xludf.DUMMYFUNCTION("""COMPUTED_VALUE"""),"Soporte DRV: Seguros/Guía post-siniestro.")</f>
        <v>Soporte DRV: Seguros/Guía post-siniestro.</v>
      </c>
      <c r="K295" s="2" t="str">
        <f>IFERROR(__xludf.DUMMYFUNCTION("""COMPUTED_VALUE"""),"Tlalpan")</f>
        <v>Tlalpan</v>
      </c>
      <c r="L295" s="2" t="str">
        <f>IFERROR(__xludf.DUMMYFUNCTION("""COMPUTED_VALUE"""),"Ciudad de México")</f>
        <v>Ciudad de México</v>
      </c>
      <c r="M295" s="16" t="str">
        <f>IFERROR(__xludf.DUMMYFUNCTION("""COMPUTED_VALUE"""),"https://www.tvazteca.com/aztecanoticias/mientras-dormia-accidente-vehicular-un-muerto-colonia-la-joya-alcaldia-tlalpan-cdmx")</f>
        <v>https://www.tvazteca.com/aztecanoticias/mientras-dormia-accidente-vehicular-un-muerto-colonia-la-joya-alcaldia-tlalpan-cdmx</v>
      </c>
      <c r="N295" s="2" t="str">
        <f>IFERROR(__xludf.DUMMYFUNCTION("""COMPUTED_VALUE"""),"Unaccidente vehicularcausó la muerte de un hombre que cayó de sumotocicletaal sur de laCiudad de México (CDMX)cerca de la medianoche de este martes16 de diciembre de 2025.La tragedia sucedió enViaducto Tlalpan,casi al cruce con la avenida de los Insurgent"&amp;"es, colonia la Joya, en la alcaldía Tlalpan. Los primeros reportes indican que el motociclista circulaba por la zona cuando perdió el control de la unidad y cayó sobre el asfalto, lo que le causó lesiones graves. Testigos solicitaron de inmediato el apoyo"&amp;" de los servicios de emergencia, quienes llegaron al sitio para brindarle atención, pero al revisarlo confirmaron que ya no contaba con signos vitales. Las autoridades informaron de manera preliminar que lavíctimano portaba el equipo de protección adecuad"&amp;"o, como casco y demás aditamentos de seguridad. Elementos de laSecretaría de Seguridad Ciudadanaacordonaron la zona para facilitar las labores de los servicios periciales de la Fiscalía General de Justicia de laCiudad de México. La vialidad permaneció cer"&amp;"rada por varias horas, lo que generó afectaciones al tránsito, hasta que concluyeron los trabajos y se realizó el levantamiento del cuerpo. Las autoridades investigarán para determinar con precisión cómo ocurrieron los hechos y descartar o confirmar la po"&amp;"sible participación de otrovehículoen el percance. Tras una riña, un hombre sufrió una agresión con arma blanca la noche de este lunes en la alcaldíaCuauhtémoc. Los hechos ocurrieron en el cruce delPaseo de la Reformay elEje Central Lázaro Cárdenas, en la"&amp;" colonia Guerrero. Una persona activó el botón de pánico instalado en la vía pública, para pedir el apoyo de los servicios de emergencia. Elementos de seguridad y personal médico acudieron al sitio para atender la situación y resguardar la zona. Paramédic"&amp;"os brindaron primeros auxilios a un hombre de 30 años de edad, con una herida provocada por un objeto punzocortante en uno de los brazos. Los paramédicos le limpiaron la lesión y le colocaron varias puntadas. Esta herida no ponía en riesgo su vida, por lo"&amp;" que no fue necesario su traslado a un hospital. El afectado permaneció en el lugar mientras rendía su declaración ante las autoridades correspondientes, quienes iniciaron el registro de los hechos. Mientras que el presunto agresor logró darse a la fuga a"&amp;"ntes de la llegada de los cuerpos de emergencia. Ante ello, las autoridades ya realizan labores de búsqueda para localizarlo. Cuatro adultos mayores recibieron atención de paramédicos después de que inhalaron humo por unincendioregistrado al interior del "&amp;"departamento número 2, ubicado en la calle Tres A, en la coloniaCuchilla Pantitlán, en la alcaldíaVenustiano Carranza. Las flamas consumieron el interior de la vivienda. Servicios de emergencia acudieron a la zona y paramédicos trataron a los cuatro afect"&amp;"ados por síntomas de intoxicación de humo, por lo cual les suministraron oxígeno. Autoridades informaron que ninguno de los afectados presentó quemaduras ni lesiones de gravedad, por lo que no fue necesario su traslado a un hospital. Elementos del Heroico"&amp;" Cuerpo de Bomberos de la Ciudad de Méxicotrabajaron durante más de una hora para sofocar las llamas y realizar labores de enfriamiento en los cuartos afectados por el fuego, con el fin de evitar una posible reactivación. De manera preliminar informaron q"&amp;"ue elincendiopudo haberse originado por un corto circuito, pero las autoridades ya investigan las causas precisas del siniestro.")</f>
        <v>Unaccidente vehicularcausó la muerte de un hombre que cayó de sumotocicletaal sur de laCiudad de México (CDMX)cerca de la medianoche de este martes16 de diciembre de 2025.La tragedia sucedió enViaducto Tlalpan,casi al cruce con la avenida de los Insurgentes, colonia la Joya, en la alcaldía Tlalpan. Los primeros reportes indican que el motociclista circulaba por la zona cuando perdió el control de la unidad y cayó sobre el asfalto, lo que le causó lesiones graves. Testigos solicitaron de inmediato el apoyo de los servicios de emergencia, quienes llegaron al sitio para brindarle atención, pero al revisarlo confirmaron que ya no contaba con signos vitales. Las autoridades informaron de manera preliminar que lavíctimano portaba el equipo de protección adecuado, como casco y demás aditamentos de seguridad. Elementos de laSecretaría de Seguridad Ciudadanaacordonaron la zona para facilitar las labores de los servicios periciales de la Fiscalía General de Justicia de laCiudad de México. La vialidad permaneció cerrada por varias horas, lo que generó afectaciones al tránsito, hasta que concluyeron los trabajos y se realizó el levantamiento del cuerpo. Las autoridades investigarán para determinar con precisión cómo ocurrieron los hechos y descartar o confirmar la posible participación de otrovehículoen el percance. Tras una riña, un hombre sufrió una agresión con arma blanca la noche de este lunes en la alcaldíaCuauhtémoc. Los hechos ocurrieron en el cruce delPaseo de la Reformay elEje Central Lázaro Cárdenas, en la colonia Guerrero. Una persona activó el botón de pánico instalado en la vía pública, para pedir el apoyo de los servicios de emergencia. Elementos de seguridad y personal médico acudieron al sitio para atender la situación y resguardar la zona. Paramédicos brindaron primeros auxilios a un hombre de 30 años de edad, con una herida provocada por un objeto punzocortante en uno de los brazos. Los paramédicos le limpiaron la lesión y le colocaron varias puntadas. Esta herida no ponía en riesgo su vida, por lo que no fue necesario su traslado a un hospital. El afectado permaneció en el lugar mientras rendía su declaración ante las autoridades correspondientes, quienes iniciaron el registro de los hechos. Mientras que el presunto agresor logró darse a la fuga antes de la llegada de los cuerpos de emergencia. Ante ello, las autoridades ya realizan labores de búsqueda para localizarlo. Cuatro adultos mayores recibieron atención de paramédicos después de que inhalaron humo por unincendioregistrado al interior del departamento número 2, ubicado en la calle Tres A, en la coloniaCuchilla Pantitlán, en la alcaldíaVenustiano Carranza. Las flamas consumieron el interior de la vivienda. Servicios de emergencia acudieron a la zona y paramédicos trataron a los cuatro afectados por síntomas de intoxicación de humo, por lo cual les suministraron oxígeno. Autoridades informaron que ninguno de los afectados presentó quemaduras ni lesiones de gravedad, por lo que no fue necesario su traslado a un hospital. Elementos del Heroico Cuerpo de Bomberos de la Ciudad de Méxicotrabajaron durante más de una hora para sofocar las llamas y realizar labores de enfriamiento en los cuartos afectados por el fuego, con el fin de evitar una posible reactivación. De manera preliminar informaron que elincendiopudo haberse originado por un corto circuito, pero las autoridades ya investigan las causas precisas del siniestro.</v>
      </c>
      <c r="O295" s="15">
        <f>IFERROR(__xludf.DUMMYFUNCTION("""COMPUTED_VALUE"""),0.9759)</f>
        <v>0.9759</v>
      </c>
      <c r="P295" s="2"/>
      <c r="Q295" s="17">
        <f>IFERROR(__xludf.DUMMYFUNCTION("""COMPUTED_VALUE"""),8.5)</f>
        <v>8.5</v>
      </c>
      <c r="R295" s="2" t="str">
        <f>IFERROR(__xludf.DUMMYFUNCTION("""COMPUTED_VALUE"""),"High")</f>
        <v>High</v>
      </c>
      <c r="S295" s="17">
        <f>IFERROR(__xludf.DUMMYFUNCTION("""COMPUTED_VALUE"""),6.5)</f>
        <v>6.5</v>
      </c>
      <c r="T295" s="17">
        <f>IFERROR(__xludf.DUMMYFUNCTION("""COMPUTED_VALUE"""),0.0)</f>
        <v>0</v>
      </c>
      <c r="U295" s="14">
        <f>IFERROR(__xludf.DUMMYFUNCTION("""COMPUTED_VALUE"""),3.0)</f>
        <v>3</v>
      </c>
      <c r="V295" s="14">
        <v>2025.0</v>
      </c>
      <c r="W295" s="2" t="s">
        <v>1168</v>
      </c>
      <c r="X295" s="2" t="s">
        <v>1218</v>
      </c>
      <c r="Y295" s="13" t="s">
        <v>1146</v>
      </c>
      <c r="Z295" s="14">
        <v>0.0</v>
      </c>
      <c r="AA295" s="14">
        <v>0.0</v>
      </c>
      <c r="AB295" s="14">
        <v>0.0</v>
      </c>
      <c r="AC295" s="14">
        <v>0.0</v>
      </c>
      <c r="AD295" s="2">
        <v>0.0</v>
      </c>
      <c r="AE295" s="2">
        <v>0.0</v>
      </c>
      <c r="AF295" s="2">
        <v>12.0</v>
      </c>
      <c r="AG295" s="2" t="s">
        <v>1233</v>
      </c>
      <c r="AH295" s="2">
        <v>0.0</v>
      </c>
    </row>
    <row r="296" ht="15.75" customHeight="1">
      <c r="A296" s="2" t="str">
        <f>IFERROR(__xludf.DUMMYFUNCTION("""COMPUTED_VALUE"""),"TV Azteca")</f>
        <v>TV Azteca</v>
      </c>
      <c r="B296" s="12" t="str">
        <f>IFERROR(__xludf.DUMMYFUNCTION("""COMPUTED_VALUE"""),"Detrás de la tragedia del Interoceánico: Señalan contratos y ""amiguismos"" de Bobby López Beltrán")</f>
        <v>Detrás de la tragedia del Interoceánico: Señalan contratos y "amiguismos" de Bobby López Beltrán</v>
      </c>
      <c r="C296" s="13"/>
      <c r="D296" s="14">
        <f>IFERROR(__xludf.DUMMYFUNCTION("""COMPUTED_VALUE"""),2.0)</f>
        <v>2</v>
      </c>
      <c r="E296" s="15">
        <f>IFERROR(__xludf.DUMMYFUNCTION("""COMPUTED_VALUE"""),-0.9613)</f>
        <v>-0.9613</v>
      </c>
      <c r="F296" s="2" t="str">
        <f>IFERROR(__xludf.DUMMYFUNCTION("""COMPUTED_VALUE"""),"Negativo")</f>
        <v>Negativo</v>
      </c>
      <c r="G296" s="15">
        <f>IFERROR(__xludf.DUMMYFUNCTION("""COMPUTED_VALUE"""),0.9613)</f>
        <v>0.9613</v>
      </c>
      <c r="H296" s="2" t="str">
        <f>IFERROR(__xludf.DUMMYFUNCTION("""COMPUTED_VALUE"""),"Accidente de tránsito o choque vial")</f>
        <v>Accidente de tránsito o choque vial</v>
      </c>
      <c r="I296" s="2" t="str">
        <f>IFERROR(__xludf.DUMMYFUNCTION("""COMPUTED_VALUE"""),"N/A")</f>
        <v>N/A</v>
      </c>
      <c r="J296" s="2" t="str">
        <f>IFERROR(__xludf.DUMMYFUNCTION("""COMPUTED_VALUE"""),"Seguridad Vial: Monitoreo de zona.")</f>
        <v>Seguridad Vial: Monitoreo de zona.</v>
      </c>
      <c r="K296" s="2" t="str">
        <f>IFERROR(__xludf.DUMMYFUNCTION("""COMPUTED_VALUE"""),"Oaxaca")</f>
        <v>Oaxaca</v>
      </c>
      <c r="L296" s="2" t="str">
        <f>IFERROR(__xludf.DUMMYFUNCTION("""COMPUTED_VALUE"""),"Oaxaca")</f>
        <v>Oaxaca</v>
      </c>
      <c r="M296" s="16" t="str">
        <f>IFERROR(__xludf.DUMMYFUNCTION("""COMPUTED_VALUE"""),"https://www.tvazteca.com/aztecanoticias/tren-interoceanico-accidente-senalan-contratos-y-amiguismos-bobby-lopez-beltran-hijo-amlo/")</f>
        <v>https://www.tvazteca.com/aztecanoticias/tren-interoceanico-accidente-senalan-contratos-y-amiguismos-bobby-lopez-beltran-hijo-amlo/</v>
      </c>
      <c r="N296" s="2" t="str">
        <f>IFERROR(__xludf.DUMMYFUNCTION("""COMPUTED_VALUE"""),"El descarrilamiento delTren Interoceánico, que cobró la vida de más de una decena de personas, ha dejado de ser visto solo como un accidente para convertirse en el epicentro de un escándalo político y empresarial. Detrás de esta tragedia hay señalamientos"&amp;" de contratos millonarios y “amiguismos” que implican aBobby López Beltrán, hijo del expresidenteAndrés ManuelLópez Obrador. Se trata de un tren manejado por el gobierno y supervisado por el propio hijo del exmandatario. Fue en 2022 cuando el entonces pre"&amp;"sidente López Obrador confirmó que el Tren Interoceánico sería operado directamente por el Estado. “El proyecto del Istmo va a ser manejado por la Secretaría de Marina, estamos hablando de cerca de mil 500 kilómetros de vías férreas...”, aseguró en aquel "&amp;"entonces. Dos años después, el propio López Obrador reveló que su hijo Gonzalo supervisaba lamegaobra: “Gonzalo ha ayudado como honorífico en el Interoceánico, pero no cobra y no va a trabajar en el gobierno”, declaró el 5 de julio de 2024. Pero lo que no"&amp;" dijo López Obrador es que su hijo Gonzalo, mejor conocido como“Bobby”, presuntamente dio el millonario negocio de las piedras —necesarias para la estabilidad del tren— a su amigoAmílcar Olán, quien según versiones periodísticas mantiene una asociación co"&amp;"n su hermano Andy López. El negocio fue confirmado en una llamada filtrada de Amílcar Olán: “Bobby me dijo que nos van a dar un frente de unas minas allá por Oaxaca, que nosotros las explotemos porque yo soy el que va a meter todo el dinero... me preguntó"&amp;" ‘Oye Tigre, ¿tú tienes el triturador y todo?’ y ya le dije que obviamente sí"". Ya con la mina, se dedicaron a generar elbalastopara esa obra emblemática del gobierno de López Obrador. En las grabaciones, Olán se jacta de su posición:“Como ya vieron que "&amp;"somos la fábrica más grande del país en trituración, ahí andan jodiéndonos”. Amílcar Olán presumió una y otra vez el apoyo de Bobby López y sugirió reuniones con el Capitán de Navío Alan Tarsicio Cruz, quien dirigióese ferrocarril. “Bobby es el que me met"&amp;"ió en este desmadre… Sí, él te lo acomoda porque te lo acomoda. Se va a necesitar un verguero... Ahora sí que como fui ya con los meros meros, ya tú sabes quiénes, les dije ‘fíjate que traigo estos temas’, ya yo cumplí con lo que me pidieron”, se escucha "&amp;"en los audios. La labor de Bobby López y sus amigos en esta obra no se puede revisar, ya que las oficinas encargadasno tienen bitácorasde las reuniones y decisiones que tomó. Lo que sí está documentado, lamentablemente, es que el tren descarriló y mató a "&amp;"más de una decena de personas.")</f>
        <v>El descarrilamiento delTren Interoceánico, que cobró la vida de más de una decena de personas, ha dejado de ser visto solo como un accidente para convertirse en el epicentro de un escándalo político y empresarial. Detrás de esta tragedia hay señalamientos de contratos millonarios y “amiguismos” que implican aBobby López Beltrán, hijo del expresidenteAndrés ManuelLópez Obrador. Se trata de un tren manejado por el gobierno y supervisado por el propio hijo del exmandatario. Fue en 2022 cuando el entonces presidente López Obrador confirmó que el Tren Interoceánico sería operado directamente por el Estado. “El proyecto del Istmo va a ser manejado por la Secretaría de Marina, estamos hablando de cerca de mil 500 kilómetros de vías férreas...”, aseguró en aquel entonces. Dos años después, el propio López Obrador reveló que su hijo Gonzalo supervisaba lamegaobra: “Gonzalo ha ayudado como honorífico en el Interoceánico, pero no cobra y no va a trabajar en el gobierno”, declaró el 5 de julio de 2024. Pero lo que no dijo López Obrador es que su hijo Gonzalo, mejor conocido como“Bobby”, presuntamente dio el millonario negocio de las piedras —necesarias para la estabilidad del tren— a su amigoAmílcar Olán, quien según versiones periodísticas mantiene una asociación con su hermano Andy López. El negocio fue confirmado en una llamada filtrada de Amílcar Olán: “Bobby me dijo que nos van a dar un frente de unas minas allá por Oaxaca, que nosotros las explotemos porque yo soy el que va a meter todo el dinero... me preguntó ‘Oye Tigre, ¿tú tienes el triturador y todo?’ y ya le dije que obviamente sí". Ya con la mina, se dedicaron a generar elbalastopara esa obra emblemática del gobierno de López Obrador. En las grabaciones, Olán se jacta de su posición:“Como ya vieron que somos la fábrica más grande del país en trituración, ahí andan jodiéndonos”. Amílcar Olán presumió una y otra vez el apoyo de Bobby López y sugirió reuniones con el Capitán de Navío Alan Tarsicio Cruz, quien dirigióese ferrocarril. “Bobby es el que me metió en este desmadre… Sí, él te lo acomoda porque te lo acomoda. Se va a necesitar un verguero... Ahora sí que como fui ya con los meros meros, ya tú sabes quiénes, les dije ‘fíjate que traigo estos temas’, ya yo cumplí con lo que me pidieron”, se escucha en los audios. La labor de Bobby López y sus amigos en esta obra no se puede revisar, ya que las oficinas encargadasno tienen bitácorasde las reuniones y decisiones que tomó. Lo que sí está documentado, lamentablemente, es que el tren descarriló y mató a más de una decena de personas.</v>
      </c>
      <c r="O296" s="15">
        <f>IFERROR(__xludf.DUMMYFUNCTION("""COMPUTED_VALUE"""),0.4599)</f>
        <v>0.4599</v>
      </c>
      <c r="P296" s="2"/>
      <c r="Q296" s="17">
        <f>IFERROR(__xludf.DUMMYFUNCTION("""COMPUTED_VALUE"""),2.0)</f>
        <v>2</v>
      </c>
      <c r="R296" s="2" t="str">
        <f>IFERROR(__xludf.DUMMYFUNCTION("""COMPUTED_VALUE"""),"Low")</f>
        <v>Low</v>
      </c>
      <c r="S296" s="17">
        <f>IFERROR(__xludf.DUMMYFUNCTION("""COMPUTED_VALUE"""),2.0)</f>
        <v>2</v>
      </c>
      <c r="T296" s="17">
        <f>IFERROR(__xludf.DUMMYFUNCTION("""COMPUTED_VALUE"""),0.0)</f>
        <v>0</v>
      </c>
      <c r="U296" s="14">
        <f>IFERROR(__xludf.DUMMYFUNCTION("""COMPUTED_VALUE"""),3.0)</f>
        <v>3</v>
      </c>
      <c r="V296" s="14" t="s">
        <v>1186</v>
      </c>
      <c r="W296" s="2" t="s">
        <v>1186</v>
      </c>
      <c r="X296" s="2" t="s">
        <v>1186</v>
      </c>
      <c r="Y296" s="13"/>
      <c r="Z296" s="14">
        <v>0.0</v>
      </c>
      <c r="AA296" s="14">
        <v>0.0</v>
      </c>
      <c r="AB296" s="14">
        <v>0.0</v>
      </c>
      <c r="AC296" s="14">
        <v>0.0</v>
      </c>
      <c r="AD296" s="2">
        <v>0.0</v>
      </c>
      <c r="AE296" s="2">
        <v>0.0</v>
      </c>
      <c r="AF296" s="2" t="s">
        <v>1186</v>
      </c>
      <c r="AG296" s="2" t="s">
        <v>1176</v>
      </c>
      <c r="AH296" s="2">
        <v>0.0</v>
      </c>
    </row>
    <row r="297" ht="15.75" customHeight="1">
      <c r="A297" s="2" t="str">
        <f>IFERROR(__xludf.DUMMYFUNCTION("""COMPUTED_VALUE"""),"TV Azteca")</f>
        <v>TV Azteca</v>
      </c>
      <c r="B297" s="12" t="str">
        <f>IFERROR(__xludf.DUMMYFUNCTION("""COMPUTED_VALUE"""),"""Iba muy fuerte"", sobreviviente al descarrilamiento del Tren Interoceánico en Oaxaca")</f>
        <v>"Iba muy fuerte", sobreviviente al descarrilamiento del Tren Interoceánico en Oaxaca</v>
      </c>
      <c r="C297" s="13"/>
      <c r="D297" s="14">
        <f>IFERROR(__xludf.DUMMYFUNCTION("""COMPUTED_VALUE"""),4.0)</f>
        <v>4</v>
      </c>
      <c r="E297" s="15">
        <f>IFERROR(__xludf.DUMMYFUNCTION("""COMPUTED_VALUE"""),-0.8138)</f>
        <v>-0.8138</v>
      </c>
      <c r="F297" s="2" t="str">
        <f>IFERROR(__xludf.DUMMYFUNCTION("""COMPUTED_VALUE"""),"Negativo")</f>
        <v>Negativo</v>
      </c>
      <c r="G297" s="15">
        <f>IFERROR(__xludf.DUMMYFUNCTION("""COMPUTED_VALUE"""),0.8138)</f>
        <v>0.8138</v>
      </c>
      <c r="H297" s="2" t="str">
        <f>IFERROR(__xludf.DUMMYFUNCTION("""COMPUTED_VALUE"""),"Accidente de tránsito o choque vial")</f>
        <v>Accidente de tránsito o choque vial</v>
      </c>
      <c r="I297" s="2" t="str">
        <f>IFERROR(__xludf.DUMMYFUNCTION("""COMPUTED_VALUE"""),"N/A")</f>
        <v>N/A</v>
      </c>
      <c r="J297" s="2" t="str">
        <f>IFERROR(__xludf.DUMMYFUNCTION("""COMPUTED_VALUE"""),"Soporte DRV: Seguros/Guía post-siniestro.")</f>
        <v>Soporte DRV: Seguros/Guía post-siniestro.</v>
      </c>
      <c r="K297" s="2" t="str">
        <f>IFERROR(__xludf.DUMMYFUNCTION("""COMPUTED_VALUE"""),"Oaxaca")</f>
        <v>Oaxaca</v>
      </c>
      <c r="L297" s="2" t="str">
        <f>IFERROR(__xludf.DUMMYFUNCTION("""COMPUTED_VALUE"""),"Oaxaca")</f>
        <v>Oaxaca</v>
      </c>
      <c r="M297" s="16" t="str">
        <f>IFERROR(__xludf.DUMMYFUNCTION("""COMPUTED_VALUE"""),"https://www.tvazteca.com/aztecanoticias/testigo-narra-como-fue-el-descarrilamiento-del-tren-interoceanico-en-oaxaca/")</f>
        <v>https://www.tvazteca.com/aztecanoticias/testigo-narra-como-fue-el-descarrilamiento-del-tren-interoceanico-en-oaxaca/</v>
      </c>
      <c r="N297" s="2" t="str">
        <f>IFERROR(__xludf.DUMMYFUNCTION("""COMPUTED_VALUE"""),"Uno de los 250 personas que viajaban en elTren Interoceánico que se descarriló en Nizanda, Oaxaca,contó cómo fue eldescarrilamientoen un video que ya circula en redes sociales. El accidente en laruta Salina Cruz–Coatzacoalcosque dejó al menos 13 muertos y"&amp;" 98 lesionadas causó la movilización de servicios de emergencia. En redes sociales circulan grabaciones de pasajeros en el interior de los vagones, algunos tirados, con menores en brazos, pidiendo ayuda después del descarrilamiento. “Ayúdenos, por favor”."&amp;" Primeros reportes indican que eldescarrilamientocuando lalocomotoraprincipal se salió de las vías; las primeras imágenes del accidente muestran a los vagones volcados. Mientras varias personas tratan de ayudar a los heridos en tanto llegan servicios de e"&amp;"mergencias. “Se descarriló este tren, íbamos a Coatzacolcos, nosotros venimos en otro vagón. Estamos tratando de sacar gente. Está muy triste. No sabemos si se quedó sin frenos, venía muy fuerte”, contó uno de los pasajeros que al parecer salió ileso dela"&amp;"ccidente al estar lejos de la locomotora que se descarriló. Autoridades federales indicaron que de los 98 heridos, 36 fueron trasladados a hospitales localizados en los municipios de Matías Romero, Salina Cruz, Juchitán y Tuxtepec. Algunos de los heridos "&amp;"son reportados como graves. Mientras servicios de emergencias laboran en el lugar del descarrilamiento para poder retirar al vehículo volcado de las vías. Alrededor de las 7:00 horas, salió deSalinas Cruzel tren, cuya ruta va deSalina Cruz–Coatzacoalcos, "&amp;"pero fue en el tramo de Ciudad Ixtepec y Matías Romero, ubicadas en las comunidadNizanday deChivela, donde la locomotora se descarriló en una curva. Ya se indaga en las causas del accidente. Este es elsegundo incidente del Tren Interoceánico ocurrido en e"&amp;"ste mes:el 20 de diciembre, cuando un tráiler se impactó en el cruce ubicado en la comunidad de Cardona, en el municipio de Pichucalco. Ese día, viajaban 148 personas las cuales no resultaron heridas, según reportes de autoridades. El Tren Interoceánicofu"&amp;"e inaugurado en diciembre de 2023, cuenta con 10 estaciones y conecta a varios municipios de los estados de Oaxaca, Chiapas, Veracruz y Tabasco.")</f>
        <v>Uno de los 250 personas que viajaban en elTren Interoceánico que se descarriló en Nizanda, Oaxaca,contó cómo fue eldescarrilamientoen un video que ya circula en redes sociales. El accidente en laruta Salina Cruz–Coatzacoalcosque dejó al menos 13 muertos y 98 lesionadas causó la movilización de servicios de emergencia. En redes sociales circulan grabaciones de pasajeros en el interior de los vagones, algunos tirados, con menores en brazos, pidiendo ayuda después del descarrilamiento. “Ayúdenos, por favor”. Primeros reportes indican que eldescarrilamientocuando lalocomotoraprincipal se salió de las vías; las primeras imágenes del accidente muestran a los vagones volcados. Mientras varias personas tratan de ayudar a los heridos en tanto llegan servicios de emergencias. “Se descarriló este tren, íbamos a Coatzacolcos, nosotros venimos en otro vagón. Estamos tratando de sacar gente. Está muy triste. No sabemos si se quedó sin frenos, venía muy fuerte”, contó uno de los pasajeros que al parecer salió ileso delaccidente al estar lejos de la locomotora que se descarriló. Autoridades federales indicaron que de los 98 heridos, 36 fueron trasladados a hospitales localizados en los municipios de Matías Romero, Salina Cruz, Juchitán y Tuxtepec. Algunos de los heridos son reportados como graves. Mientras servicios de emergencias laboran en el lugar del descarrilamiento para poder retirar al vehículo volcado de las vías. Alrededor de las 7:00 horas, salió deSalinas Cruzel tren, cuya ruta va deSalina Cruz–Coatzacoalcos, pero fue en el tramo de Ciudad Ixtepec y Matías Romero, ubicadas en las comunidadNizanday deChivela, donde la locomotora se descarriló en una curva. Ya se indaga en las causas del accidente. Este es elsegundo incidente del Tren Interoceánico ocurrido en este mes:el 20 de diciembre, cuando un tráiler se impactó en el cruce ubicado en la comunidad de Cardona, en el municipio de Pichucalco. Ese día, viajaban 148 personas las cuales no resultaron heridas, según reportes de autoridades. El Tren Interoceánicofue inaugurado en diciembre de 2023, cuenta con 10 estaciones y conecta a varios municipios de los estados de Oaxaca, Chiapas, Veracruz y Tabasco.</v>
      </c>
      <c r="O297" s="15">
        <f>IFERROR(__xludf.DUMMYFUNCTION("""COMPUTED_VALUE"""),0.3774)</f>
        <v>0.3774</v>
      </c>
      <c r="P297" s="2"/>
      <c r="Q297" s="17">
        <f>IFERROR(__xludf.DUMMYFUNCTION("""COMPUTED_VALUE"""),8.5)</f>
        <v>8.5</v>
      </c>
      <c r="R297" s="2" t="str">
        <f>IFERROR(__xludf.DUMMYFUNCTION("""COMPUTED_VALUE"""),"Medium")</f>
        <v>Medium</v>
      </c>
      <c r="S297" s="17">
        <f>IFERROR(__xludf.DUMMYFUNCTION("""COMPUTED_VALUE"""),1.5)</f>
        <v>1.5</v>
      </c>
      <c r="T297" s="17">
        <f>IFERROR(__xludf.DUMMYFUNCTION("""COMPUTED_VALUE"""),0.0)</f>
        <v>0</v>
      </c>
      <c r="U297" s="14">
        <f>IFERROR(__xludf.DUMMYFUNCTION("""COMPUTED_VALUE"""),3.0)</f>
        <v>3</v>
      </c>
      <c r="V297" s="14" t="s">
        <v>1186</v>
      </c>
      <c r="W297" s="2" t="s">
        <v>1186</v>
      </c>
      <c r="X297" s="2" t="s">
        <v>1186</v>
      </c>
      <c r="Y297" s="13"/>
      <c r="Z297" s="14">
        <v>0.0</v>
      </c>
      <c r="AA297" s="14">
        <v>0.0</v>
      </c>
      <c r="AB297" s="14">
        <v>0.0</v>
      </c>
      <c r="AC297" s="14">
        <v>0.0</v>
      </c>
      <c r="AD297" s="2">
        <v>0.0</v>
      </c>
      <c r="AE297" s="2">
        <v>1.0</v>
      </c>
      <c r="AF297" s="2" t="s">
        <v>1186</v>
      </c>
      <c r="AG297" s="2" t="s">
        <v>1176</v>
      </c>
      <c r="AH297" s="2">
        <v>0.0</v>
      </c>
    </row>
    <row r="298" ht="15.75" customHeight="1">
      <c r="A298" s="2" t="str">
        <f>IFERROR(__xludf.DUMMYFUNCTION("""COMPUTED_VALUE"""),"TV Azteca")</f>
        <v>TV Azteca</v>
      </c>
      <c r="B298" s="12" t="str">
        <f>IFERROR(__xludf.DUMMYFUNCTION("""COMPUTED_VALUE"""),"Isaac podría perder su pierna tras ser atropellado en CDMX; lleva un año esperando justicia")</f>
        <v>Isaac podría perder su pierna tras ser atropellado en CDMX; lleva un año esperando justicia</v>
      </c>
      <c r="C298" s="13"/>
      <c r="D298" s="14">
        <f>IFERROR(__xludf.DUMMYFUNCTION("""COMPUTED_VALUE"""),2.0)</f>
        <v>2</v>
      </c>
      <c r="E298" s="15">
        <f>IFERROR(__xludf.DUMMYFUNCTION("""COMPUTED_VALUE"""),-0.9766)</f>
        <v>-0.9766</v>
      </c>
      <c r="F298" s="2" t="str">
        <f>IFERROR(__xludf.DUMMYFUNCTION("""COMPUTED_VALUE"""),"Negativo")</f>
        <v>Negativo</v>
      </c>
      <c r="G298" s="15">
        <f>IFERROR(__xludf.DUMMYFUNCTION("""COMPUTED_VALUE"""),0.9766)</f>
        <v>0.9766</v>
      </c>
      <c r="H298" s="2" t="str">
        <f>IFERROR(__xludf.DUMMYFUNCTION("""COMPUTED_VALUE"""),"Accidente de tránsito o choque vial")</f>
        <v>Accidente de tránsito o choque vial</v>
      </c>
      <c r="I298" s="2" t="str">
        <f>IFERROR(__xludf.DUMMYFUNCTION("""COMPUTED_VALUE"""),"atropellado")</f>
        <v>atropellado</v>
      </c>
      <c r="J298" s="2" t="str">
        <f>IFERROR(__xludf.DUMMYFUNCTION("""COMPUTED_VALUE"""),"Soporte DRV: Seguros/Guía post-siniestro.")</f>
        <v>Soporte DRV: Seguros/Guía post-siniestro.</v>
      </c>
      <c r="K298" s="2" t="str">
        <f>IFERROR(__xludf.DUMMYFUNCTION("""COMPUTED_VALUE"""),"Ciudad de México")</f>
        <v>Ciudad de México</v>
      </c>
      <c r="L298" s="2" t="str">
        <f>IFERROR(__xludf.DUMMYFUNCTION("""COMPUTED_VALUE"""),"Ciudad de México")</f>
        <v>Ciudad de México</v>
      </c>
      <c r="M298" s="16" t="str">
        <f>IFERROR(__xludf.DUMMYFUNCTION("""COMPUTED_VALUE"""),"https://www.tvazteca.com/aztecanoticias/doble-tragedia-isaac-atropellado-por-conductora-y-olvidado-por-su-abogado")</f>
        <v>https://www.tvazteca.com/aztecanoticias/doble-tragedia-isaac-atropellado-por-conductora-y-olvidado-por-su-abogado</v>
      </c>
      <c r="N298" s="2" t="str">
        <f>IFERROR(__xludf.DUMMYFUNCTION("""COMPUTED_VALUE"""),"ParaIsaac Pérez, la búsqueda de justicia se ha convertido en un calvario tan doloroso como sus propias heridas. En enero pasado, mientras trabajaba en su mototaxi para llevar el sustento a sus dos hijos, su vida cambió en un segundo: un auto lo embistió, "&amp;"lo proyectó varios metros y lo dejó tirado en el asfalto. Hoy, a casi un año del accidente, Isaac no solo enfrenta el riesgo de perder su pierna, sino la impotencia de un sistema legal colapsado. El diagnóstico médico es devastador. La fuerza del impacto "&amp;"dejó secuelas que le impiden trabajar y que podrían ser permanentes. “Tengo ruptura de tibia y peroné, desprendimiento de plantilla y ruptura de ligamentos”, detalla Isaac. Pero el dolor físico se agravó con la indiferencia humana. La mujer que conducía e"&amp;"l vehículo responsable no se detuvo.“No me auxiliaron, me dejaron ahí abandonado”, relata la víctima. Al no contar con recursos económicos para pagar un defensor privado, Isaac recurrió a unabogado de oficio. Sin embargo, esto lo llevó a un callejón sin s"&amp;"alida. Su caso no avanza, no por falta de pruebas, sino por exceso de trabajo. Isaac asegura que su defensa es inexistente debido a la saturación del sistema: “Se dice que es el único del área y él es el único que anda de allá para acá"", explica, justifi"&amp;"cando la falta de atención que ha recibido su expediente. La parálisis legal tiene consecuencias directas en la mesa de su hogar. Isaac es padre soltero y el único sustento de dos menores de edad. Sin poder trabajar y sin recibir la reparación del daño, l"&amp;"a desesperación crece. “Mucha frustración, más que nada, pues miedo porque a mi familia no tengo cómo darles de comer... Lo que yo pido es la reparación del daño”, exige. El caso de Isaac no es único. Miles de víctimas en México se encuentran en “lista de"&amp;" espera” de justicia debido a la carga laboral de las defensorías públicas. Sin embargo, existen alternativas poco conocidas. Expertos señalan que los ciudadanos pueden acudir aBarras y Colegios de Abogados, organizaciones que a menudo ofrecen serviciospr"&amp;"o bono(gratuitos) o asesoría legal social para evitar que casos como el de Isaac queden en la impunidad por falta de presupuesto.")</f>
        <v>ParaIsaac Pérez, la búsqueda de justicia se ha convertido en un calvario tan doloroso como sus propias heridas. En enero pasado, mientras trabajaba en su mototaxi para llevar el sustento a sus dos hijos, su vida cambió en un segundo: un auto lo embistió, lo proyectó varios metros y lo dejó tirado en el asfalto. Hoy, a casi un año del accidente, Isaac no solo enfrenta el riesgo de perder su pierna, sino la impotencia de un sistema legal colapsado. El diagnóstico médico es devastador. La fuerza del impacto dejó secuelas que le impiden trabajar y que podrían ser permanentes. “Tengo ruptura de tibia y peroné, desprendimiento de plantilla y ruptura de ligamentos”, detalla Isaac. Pero el dolor físico se agravó con la indiferencia humana. La mujer que conducía el vehículo responsable no se detuvo.“No me auxiliaron, me dejaron ahí abandonado”, relata la víctima. Al no contar con recursos económicos para pagar un defensor privado, Isaac recurrió a unabogado de oficio. Sin embargo, esto lo llevó a un callejón sin salida. Su caso no avanza, no por falta de pruebas, sino por exceso de trabajo. Isaac asegura que su defensa es inexistente debido a la saturación del sistema: “Se dice que es el único del área y él es el único que anda de allá para acá", explica, justificando la falta de atención que ha recibido su expediente. La parálisis legal tiene consecuencias directas en la mesa de su hogar. Isaac es padre soltero y el único sustento de dos menores de edad. Sin poder trabajar y sin recibir la reparación del daño, la desesperación crece. “Mucha frustración, más que nada, pues miedo porque a mi familia no tengo cómo darles de comer... Lo que yo pido es la reparación del daño”, exige. El caso de Isaac no es único. Miles de víctimas en México se encuentran en “lista de espera” de justicia debido a la carga laboral de las defensorías públicas. Sin embargo, existen alternativas poco conocidas. Expertos señalan que los ciudadanos pueden acudir aBarras y Colegios de Abogados, organizaciones que a menudo ofrecen serviciospro bono(gratuitos) o asesoría legal social para evitar que casos como el de Isaac queden en la impunidad por falta de presupuesto.</v>
      </c>
      <c r="O298" s="15">
        <f>IFERROR(__xludf.DUMMYFUNCTION("""COMPUTED_VALUE"""),1.0)</f>
        <v>1</v>
      </c>
      <c r="P298" s="2"/>
      <c r="Q298" s="17">
        <f>IFERROR(__xludf.DUMMYFUNCTION("""COMPUTED_VALUE"""),3.0)</f>
        <v>3</v>
      </c>
      <c r="R298" s="2" t="str">
        <f>IFERROR(__xludf.DUMMYFUNCTION("""COMPUTED_VALUE"""),"Low")</f>
        <v>Low</v>
      </c>
      <c r="S298" s="17">
        <f>IFERROR(__xludf.DUMMYFUNCTION("""COMPUTED_VALUE"""),0.0)</f>
        <v>0</v>
      </c>
      <c r="T298" s="17">
        <f>IFERROR(__xludf.DUMMYFUNCTION("""COMPUTED_VALUE"""),0.0)</f>
        <v>0</v>
      </c>
      <c r="U298" s="14">
        <f>IFERROR(__xludf.DUMMYFUNCTION("""COMPUTED_VALUE"""),3.0)</f>
        <v>3</v>
      </c>
      <c r="V298" s="14" t="s">
        <v>1186</v>
      </c>
      <c r="W298" s="2" t="s">
        <v>1186</v>
      </c>
      <c r="X298" s="2" t="s">
        <v>1186</v>
      </c>
      <c r="Y298" s="13"/>
      <c r="Z298" s="14">
        <v>0.0</v>
      </c>
      <c r="AA298" s="14">
        <v>0.0</v>
      </c>
      <c r="AB298" s="14">
        <v>0.0</v>
      </c>
      <c r="AC298" s="14">
        <v>0.0</v>
      </c>
      <c r="AD298" s="2">
        <v>0.0</v>
      </c>
      <c r="AE298" s="2">
        <v>0.0</v>
      </c>
      <c r="AF298" s="2" t="s">
        <v>1186</v>
      </c>
      <c r="AG298" s="2" t="s">
        <v>1175</v>
      </c>
      <c r="AH298" s="2">
        <v>0.0</v>
      </c>
    </row>
    <row r="299" ht="15.75" customHeight="1">
      <c r="A299" s="2" t="str">
        <f>IFERROR(__xludf.DUMMYFUNCTION("""COMPUTED_VALUE"""),"TV Azteca")</f>
        <v>TV Azteca</v>
      </c>
      <c r="B299" s="12" t="str">
        <f>IFERROR(__xludf.DUMMYFUNCTION("""COMPUTED_VALUE"""),"VIDEO: ¡Tragedia en CDMX! Capturan momento exacto de la explosión de gas en Lindavista; hay dos lesionados")</f>
        <v>VIDEO: ¡Tragedia en CDMX! Capturan momento exacto de la explosión de gas en Lindavista; hay dos lesionados</v>
      </c>
      <c r="C299" s="13"/>
      <c r="D299" s="14">
        <f>IFERROR(__xludf.DUMMYFUNCTION("""COMPUTED_VALUE"""),3.0)</f>
        <v>3</v>
      </c>
      <c r="E299" s="15">
        <f>IFERROR(__xludf.DUMMYFUNCTION("""COMPUTED_VALUE"""),-0.738)</f>
        <v>-0.738</v>
      </c>
      <c r="F299" s="2" t="str">
        <f>IFERROR(__xludf.DUMMYFUNCTION("""COMPUTED_VALUE"""),"Negativo")</f>
        <v>Negativo</v>
      </c>
      <c r="G299" s="15">
        <f>IFERROR(__xludf.DUMMYFUNCTION("""COMPUTED_VALUE"""),0.738)</f>
        <v>0.738</v>
      </c>
      <c r="H299" s="2" t="str">
        <f>IFERROR(__xludf.DUMMYFUNCTION("""COMPUTED_VALUE"""),"Protestas o bloqueos viales")</f>
        <v>Protestas o bloqueos viales</v>
      </c>
      <c r="I299" s="2" t="str">
        <f>IFERROR(__xludf.DUMMYFUNCTION("""COMPUTED_VALUE"""),"N/A")</f>
        <v>N/A</v>
      </c>
      <c r="J299" s="2" t="str">
        <f>IFERROR(__xludf.DUMMYFUNCTION("""COMPUTED_VALUE"""),"Operaciones: Notificar zonas a evitar (Waze/Maps).")</f>
        <v>Operaciones: Notificar zonas a evitar (Waze/Maps).</v>
      </c>
      <c r="K299" s="2" t="str">
        <f>IFERROR(__xludf.DUMMYFUNCTION("""COMPUTED_VALUE"""),"Ciudad de México")</f>
        <v>Ciudad de México</v>
      </c>
      <c r="L299" s="2" t="str">
        <f>IFERROR(__xludf.DUMMYFUNCTION("""COMPUTED_VALUE"""),"Ciudad de México")</f>
        <v>Ciudad de México</v>
      </c>
      <c r="M299" s="16" t="str">
        <f>IFERROR(__xludf.DUMMYFUNCTION("""COMPUTED_VALUE"""),"https://www.tvazteca.com/aztecanoticias/video-momento-exacto-explosion-gas-en-lindavista-que-dejo-dos-personas-heridas-gam-cdmx")</f>
        <v>https://www.tvazteca.com/aztecanoticias/video-momento-exacto-explosion-gas-en-lindavista-que-dejo-dos-personas-heridas-gam-cdmx</v>
      </c>
      <c r="N299" s="2" t="str">
        <f>IFERROR(__xludf.DUMMYFUNCTION("""COMPUTED_VALUE"""),"La tarde del pasado6 de diciembre de 2025, se reportó unafuerte explosión de gasen calles de la coloniaLindavista, en laalcaldía Gustavo A. Maderocerca de las 12 horas del día, dejando un saldo dedos personas heridas. Cámaras de seguridadlograroncapturar "&amp;"el momento exactodel flamazo y el estruendo que conmocionó a los habitantes de la zona; en elvideose pueden escuchar los gritos de algunas personas. Además de los daños provocados por laexplosión de gas en la GAM, se registrarondos personas con quemaduras"&amp;"; hasta el momento se desconoce elestado de saludde los afectados. Por otro lado, al menos 35 personas fueron evacuadas de sus hogares por los servicios de emergencia para evitar que otroflamazode esa magnitud pudiera generarse. Elementos de Protección Ci"&amp;"vil detalló el reporte de una explosión al interior del domicilio, se confirmó un incendio que se extendió rápidamente en el inmueble. Lasllamasy el humo fueron visibles desde algunas calles de la colonia, por lo que se activaron losprotocolos de evacuaci"&amp;"ón de la zona. Los primeros reportes indican que elflamazose originó por la acumulación de gas debido a un mal manejo de una pipa, por lo que los daños en la propiedad y unidades vecinas, fueron evidentes. Por su parte, el portón fue derribado por la fuer"&amp;"za de la explosión. Los interiores, las paredes, muebles y demás enseres resultaron totalmente calcinados. La vivienda aledaña también resultó notablemente afectada. ¡Atención, capitalinos! En caso de percibir una fuga de gas dentro de una casa en la Ciud"&amp;"ad de México (CDMX), las autoridades recomiendan mantener la calma y realizar el siguiente protocolo. De acuerdo con Protección Civil, si tienes alguna emergencia debes comunicarte al 911, o a la estación central de bomberos 57 68 37 00, ellos acudirán al"&amp;" lugar en el que se presente está situación.")</f>
        <v>La tarde del pasado6 de diciembre de 2025, se reportó unafuerte explosión de gasen calles de la coloniaLindavista, en laalcaldía Gustavo A. Maderocerca de las 12 horas del día, dejando un saldo dedos personas heridas. Cámaras de seguridadlograroncapturar el momento exactodel flamazo y el estruendo que conmocionó a los habitantes de la zona; en elvideose pueden escuchar los gritos de algunas personas. Además de los daños provocados por laexplosión de gas en la GAM, se registrarondos personas con quemaduras; hasta el momento se desconoce elestado de saludde los afectados. Por otro lado, al menos 35 personas fueron evacuadas de sus hogares por los servicios de emergencia para evitar que otroflamazode esa magnitud pudiera generarse. Elementos de Protección Civil detalló el reporte de una explosión al interior del domicilio, se confirmó un incendio que se extendió rápidamente en el inmueble. Lasllamasy el humo fueron visibles desde algunas calles de la colonia, por lo que se activaron losprotocolos de evacuación de la zona. Los primeros reportes indican que elflamazose originó por la acumulación de gas debido a un mal manejo de una pipa, por lo que los daños en la propiedad y unidades vecinas, fueron evidentes. Por su parte, el portón fue derribado por la fuerza de la explosión. Los interiores, las paredes, muebles y demás enseres resultaron totalmente calcinados. La vivienda aledaña también resultó notablemente afectada. ¡Atención, capitalinos! En caso de percibir una fuga de gas dentro de una casa en la Ciudad de México (CDMX), las autoridades recomiendan mantener la calma y realizar el siguiente protocolo. De acuerdo con Protección Civil, si tienes alguna emergencia debes comunicarte al 911, o a la estación central de bomberos 57 68 37 00, ellos acudirán al lugar en el que se presente está situación.</v>
      </c>
      <c r="O299" s="15">
        <f>IFERROR(__xludf.DUMMYFUNCTION("""COMPUTED_VALUE"""),0.274)</f>
        <v>0.274</v>
      </c>
      <c r="P299" s="2"/>
      <c r="Q299" s="17">
        <f>IFERROR(__xludf.DUMMYFUNCTION("""COMPUTED_VALUE"""),6.0)</f>
        <v>6</v>
      </c>
      <c r="R299" s="2" t="str">
        <f>IFERROR(__xludf.DUMMYFUNCTION("""COMPUTED_VALUE"""),"High")</f>
        <v>High</v>
      </c>
      <c r="S299" s="17">
        <f>IFERROR(__xludf.DUMMYFUNCTION("""COMPUTED_VALUE"""),5.0)</f>
        <v>5</v>
      </c>
      <c r="T299" s="17">
        <f>IFERROR(__xludf.DUMMYFUNCTION("""COMPUTED_VALUE"""),0.0)</f>
        <v>0</v>
      </c>
      <c r="U299" s="14">
        <f>IFERROR(__xludf.DUMMYFUNCTION("""COMPUTED_VALUE"""),3.0)</f>
        <v>3</v>
      </c>
      <c r="V299" s="14" t="s">
        <v>1186</v>
      </c>
      <c r="W299" s="2" t="s">
        <v>1186</v>
      </c>
      <c r="X299" s="2" t="s">
        <v>1186</v>
      </c>
      <c r="Y299" s="13"/>
      <c r="Z299" s="14">
        <v>0.0</v>
      </c>
      <c r="AA299" s="14">
        <v>0.0</v>
      </c>
      <c r="AB299" s="14">
        <v>0.0</v>
      </c>
      <c r="AC299" s="14">
        <v>0.0</v>
      </c>
      <c r="AD299" s="2">
        <v>0.0</v>
      </c>
      <c r="AE299" s="2">
        <v>0.0</v>
      </c>
      <c r="AF299" s="2" t="s">
        <v>1186</v>
      </c>
      <c r="AG299" s="2" t="s">
        <v>1175</v>
      </c>
      <c r="AH299" s="2">
        <v>0.0</v>
      </c>
    </row>
    <row r="300" ht="15.75" customHeight="1">
      <c r="A300" s="2" t="str">
        <f>IFERROR(__xludf.DUMMYFUNCTION("""COMPUTED_VALUE"""),"TV Azteca")</f>
        <v>TV Azteca</v>
      </c>
      <c r="B300" s="12" t="str">
        <f>IFERROR(__xludf.DUMMYFUNCTION("""COMPUTED_VALUE"""),"¿Cuánto vale una vida? Lenia Batres propone pagar indemnizaciones en UMAS y reducirlas un 60%")</f>
        <v>¿Cuánto vale una vida? Lenia Batres propone pagar indemnizaciones en UMAS y reducirlas un 60%</v>
      </c>
      <c r="C300" s="13"/>
      <c r="D300" s="14">
        <f>IFERROR(__xludf.DUMMYFUNCTION("""COMPUTED_VALUE"""),1.0)</f>
        <v>1</v>
      </c>
      <c r="E300" s="15">
        <f>IFERROR(__xludf.DUMMYFUNCTION("""COMPUTED_VALUE"""),-0.8651)</f>
        <v>-0.8651</v>
      </c>
      <c r="F300" s="2" t="str">
        <f>IFERROR(__xludf.DUMMYFUNCTION("""COMPUTED_VALUE"""),"Negativo")</f>
        <v>Negativo</v>
      </c>
      <c r="G300" s="15">
        <f>IFERROR(__xludf.DUMMYFUNCTION("""COMPUTED_VALUE"""),0.8651)</f>
        <v>0.8651</v>
      </c>
      <c r="H300" s="2" t="str">
        <f>IFERROR(__xludf.DUMMYFUNCTION("""COMPUTED_VALUE"""),"Otros temas generales")</f>
        <v>Otros temas generales</v>
      </c>
      <c r="I300" s="2" t="str">
        <f>IFERROR(__xludf.DUMMYFUNCTION("""COMPUTED_VALUE"""),"N/A")</f>
        <v>N/A</v>
      </c>
      <c r="J300" s="2" t="str">
        <f>IFERROR(__xludf.DUMMYFUNCTION("""COMPUTED_VALUE"""),"Descartar / Baja prioridad.")</f>
        <v>Descartar / Baja prioridad.</v>
      </c>
      <c r="K300" s="2" t="str">
        <f>IFERROR(__xludf.DUMMYFUNCTION("""COMPUTED_VALUE"""),"Sinaloa")</f>
        <v>Sinaloa</v>
      </c>
      <c r="L300" s="2" t="str">
        <f>IFERROR(__xludf.DUMMYFUNCTION("""COMPUTED_VALUE"""),"Sinaloa")</f>
        <v>Sinaloa</v>
      </c>
      <c r="M300" s="16" t="str">
        <f>IFERROR(__xludf.DUMMYFUNCTION("""COMPUTED_VALUE"""),"https://www.tvazteca.com/aztecanoticias/lenia-batres-propone-indemnizaciones-en-umas-alertan-reduccion-del-60-en-pagos-a-victimas")</f>
        <v>https://www.tvazteca.com/aztecanoticias/lenia-batres-propone-indemnizaciones-en-umas-alertan-reduccion-del-60-en-pagos-a-victimas</v>
      </c>
      <c r="N300" s="2" t="str">
        <f>IFERROR(__xludf.DUMMYFUNCTION("""COMPUTED_VALUE"""),"La pérdida de un ser querido es irreparable; ninguna suma de dinero devuelve la vida ni borra el dolor. Sin embargo, en casosde accidentesy negligencias médicas, una indemnización justa es vital para que las familias no enfrenten la ruina económica en sus"&amp;" momentos más vulnerables. Ahora, este derecho está en riesgo: laSuprema Corte de Justicia de la Nación (SCJN)discutirá un proyecto que pretende reducir drásticamente los montos a pagar. La ministraLenia Batres Guadarramatiene listo un proyecto para discu"&amp;"tirse este jueves en el Pleno, el cual propone que la reparación del daño patrimonial y moral se calcule con base en laUnidad de Medida y Actualización (UMA)y no en Salarios Mínimos, como se hace actualmente para buscar el mayor beneficio. Expertos en der"&amp;"echo alertan que estodevalúa la vida de las víctimas de un plumazo, pues la diferencia económica es abismal: Haga cuentas:Mientras que 10 salarios mínimos equivalen a2 mil 789 pesos, 10 UMAs son apenasmil 130 pesos. Esto representa unareducción real del 6"&amp;"0%en el dinero que recibirían los afectados. Especialistas señalan que, en el fondo, la ministra buscabeneficiar al gobierno y no al pueblo. Al cambiar el cálculo, se le ahorraría una fortuna a las autoridades cuando sean halladas responsables de indemniz"&amp;"ar a ciudadanos. Esto aplicaría, por ejemplo, en casos denegligencias médicas en hospitales públicos, accidentes en obras del gobierno o servicios a su cargo. El Estado pagaría menos por sus errores, dejando desprotegidas a las víctimas. “La creación de l"&amp;"a Unidad de Medida (UMA), que no ha ido creciendo paralelamente junto con el salario mínimo... lo que hace claramente es dejar en desventaja y hacer que los montos de las indemnizaciones sean menores...”, advirtióHéctor Pérez, abogado. Juristas comoRodrig"&amp;"o Maldonado Ríosseñalan que utilizar solo la UMA sería un grave retroceso en derechos adquiridos, violando el principio constitucional que obliga a aplicar siempre la norma demayor beneficio para el ciudadano. “Los afectados son la ciudadanía común. ¿En q"&amp;"ué momento se van a devaluar los bienes tutelados? Porque una UMA no coincide proporcionalmente al monto real de un salario mínimo...”, cuestionó Maldonado. En lo que críticos llaman la“Corte del Acordeón”, el proyecto de Batres está listo para votarse, a"&amp;"menazando con abaratar el costo de la justicia y la reparación del daño para los mexicanos.")</f>
        <v>La pérdida de un ser querido es irreparable; ninguna suma de dinero devuelve la vida ni borra el dolor. Sin embargo, en casosde accidentesy negligencias médicas, una indemnización justa es vital para que las familias no enfrenten la ruina económica en sus momentos más vulnerables. Ahora, este derecho está en riesgo: laSuprema Corte de Justicia de la Nación (SCJN)discutirá un proyecto que pretende reducir drásticamente los montos a pagar. La ministraLenia Batres Guadarramatiene listo un proyecto para discutirse este jueves en el Pleno, el cual propone que la reparación del daño patrimonial y moral se calcule con base en laUnidad de Medida y Actualización (UMA)y no en Salarios Mínimos, como se hace actualmente para buscar el mayor beneficio. Expertos en derecho alertan que estodevalúa la vida de las víctimas de un plumazo, pues la diferencia económica es abismal: Haga cuentas:Mientras que 10 salarios mínimos equivalen a2 mil 789 pesos, 10 UMAs son apenasmil 130 pesos. Esto representa unareducción real del 60%en el dinero que recibirían los afectados. Especialistas señalan que, en el fondo, la ministra buscabeneficiar al gobierno y no al pueblo. Al cambiar el cálculo, se le ahorraría una fortuna a las autoridades cuando sean halladas responsables de indemnizar a ciudadanos. Esto aplicaría, por ejemplo, en casos denegligencias médicas en hospitales públicos, accidentes en obras del gobierno o servicios a su cargo. El Estado pagaría menos por sus errores, dejando desprotegidas a las víctimas. “La creación de la Unidad de Medida (UMA), que no ha ido creciendo paralelamente junto con el salario mínimo... lo que hace claramente es dejar en desventaja y hacer que los montos de las indemnizaciones sean menores...”, advirtióHéctor Pérez, abogado. Juristas comoRodrigo Maldonado Ríosseñalan que utilizar solo la UMA sería un grave retroceso en derechos adquiridos, violando el principio constitucional que obliga a aplicar siempre la norma demayor beneficio para el ciudadano. “Los afectados son la ciudadanía común. ¿En qué momento se van a devaluar los bienes tutelados? Porque una UMA no coincide proporcionalmente al monto real de un salario mínimo...”, cuestionó Maldonado. En lo que críticos llaman la“Corte del Acordeón”, el proyecto de Batres está listo para votarse, amenazando con abaratar el costo de la justicia y la reparación del daño para los mexicanos.</v>
      </c>
      <c r="O300" s="15">
        <f>IFERROR(__xludf.DUMMYFUNCTION("""COMPUTED_VALUE"""),0.3558)</f>
        <v>0.3558</v>
      </c>
      <c r="P300" s="2"/>
      <c r="Q300" s="17">
        <f>IFERROR(__xludf.DUMMYFUNCTION("""COMPUTED_VALUE"""),2.0)</f>
        <v>2</v>
      </c>
      <c r="R300" s="2" t="str">
        <f>IFERROR(__xludf.DUMMYFUNCTION("""COMPUTED_VALUE"""),"Low")</f>
        <v>Low</v>
      </c>
      <c r="S300" s="17">
        <f>IFERROR(__xludf.DUMMYFUNCTION("""COMPUTED_VALUE"""),1.0)</f>
        <v>1</v>
      </c>
      <c r="T300" s="17">
        <f>IFERROR(__xludf.DUMMYFUNCTION("""COMPUTED_VALUE"""),0.0)</f>
        <v>0</v>
      </c>
      <c r="U300" s="14">
        <f>IFERROR(__xludf.DUMMYFUNCTION("""COMPUTED_VALUE"""),3.0)</f>
        <v>3</v>
      </c>
      <c r="V300" s="14" t="s">
        <v>1186</v>
      </c>
      <c r="W300" s="2" t="s">
        <v>1186</v>
      </c>
      <c r="X300" s="2" t="s">
        <v>1186</v>
      </c>
      <c r="Y300" s="13"/>
      <c r="Z300" s="14">
        <v>0.0</v>
      </c>
      <c r="AA300" s="14">
        <v>0.0</v>
      </c>
      <c r="AB300" s="14">
        <v>0.0</v>
      </c>
      <c r="AC300" s="14">
        <v>0.0</v>
      </c>
      <c r="AD300" s="2">
        <v>0.0</v>
      </c>
      <c r="AE300" s="2">
        <v>0.0</v>
      </c>
      <c r="AF300" s="2" t="s">
        <v>1186</v>
      </c>
      <c r="AG300" s="2" t="s">
        <v>1172</v>
      </c>
      <c r="AH300" s="2">
        <v>0.0</v>
      </c>
    </row>
    <row r="301" ht="15.75" customHeight="1">
      <c r="A301" s="2" t="str">
        <f>IFERROR(__xludf.DUMMYFUNCTION("""COMPUTED_VALUE"""),"TV Azteca")</f>
        <v>TV Azteca</v>
      </c>
      <c r="B301" s="12" t="str">
        <f>IFERROR(__xludf.DUMMYFUNCTION("""COMPUTED_VALUE"""),"Conductor arrolla a peleador ""El Chakal"" Navarro y lo deja al borde del retiro de la MMA")</f>
        <v>Conductor arrolla a peleador "El Chakal" Navarro y lo deja al borde del retiro de la MMA</v>
      </c>
      <c r="C301" s="13"/>
      <c r="D301" s="14">
        <f>IFERROR(__xludf.DUMMYFUNCTION("""COMPUTED_VALUE"""),2.0)</f>
        <v>2</v>
      </c>
      <c r="E301" s="15">
        <f>IFERROR(__xludf.DUMMYFUNCTION("""COMPUTED_VALUE"""),-0.7783)</f>
        <v>-0.7783</v>
      </c>
      <c r="F301" s="2" t="str">
        <f>IFERROR(__xludf.DUMMYFUNCTION("""COMPUTED_VALUE"""),"Negativo")</f>
        <v>Negativo</v>
      </c>
      <c r="G301" s="15">
        <f>IFERROR(__xludf.DUMMYFUNCTION("""COMPUTED_VALUE"""),0.7783)</f>
        <v>0.7783</v>
      </c>
      <c r="H301" s="2" t="str">
        <f>IFERROR(__xludf.DUMMYFUNCTION("""COMPUTED_VALUE"""),"Accidente de tránsito o choque vial")</f>
        <v>Accidente de tránsito o choque vial</v>
      </c>
      <c r="I301" s="2" t="str">
        <f>IFERROR(__xludf.DUMMYFUNCTION("""COMPUTED_VALUE"""),"N/A")</f>
        <v>N/A</v>
      </c>
      <c r="J301" s="2" t="str">
        <f>IFERROR(__xludf.DUMMYFUNCTION("""COMPUTED_VALUE"""),"Soporte DRV: Seguros/Guía post-siniestro.")</f>
        <v>Soporte DRV: Seguros/Guía post-siniestro.</v>
      </c>
      <c r="K301" s="2" t="str">
        <f>IFERROR(__xludf.DUMMYFUNCTION("""COMPUTED_VALUE"""),"Chiapas")</f>
        <v>Chiapas</v>
      </c>
      <c r="L301" s="2" t="str">
        <f>IFERROR(__xludf.DUMMYFUNCTION("""COMPUTED_VALUE"""),"Chiapas")</f>
        <v>Chiapas</v>
      </c>
      <c r="M301" s="16" t="str">
        <f>IFERROR(__xludf.DUMMYFUNCTION("""COMPUTED_VALUE"""),"https://www.tvazteca.com/aztecanoticias/atropellan-a-el-chakal-navarro-promesa-la-mma-en-chiapas")</f>
        <v>https://www.tvazteca.com/aztecanoticias/atropellan-a-el-chakal-navarro-promesa-la-mma-en-chiapas</v>
      </c>
      <c r="N301" s="2" t="str">
        <f>IFERROR(__xludf.DUMMYFUNCTION("""COMPUTED_VALUE"""),"Victor “El Chakal” Navarrodedicó diez años de su vida a construir una carrera sólida en las Artes Marciales Mixtas (MMA); sin embargo,una imprudencia al volanteocurrida enChiapasha puesto en pausa, y quizás finalizado, su sueño deportivo, dejándolo postra"&amp;"do en una cama y con un futuro incierto. El incidente ocurrió cuando “El Chakal”, quien además de deportista es padre de familia, salía de su turno como guardia de seguridad alrededor de las 4:00 de la mañana enTuxtla Gutiérrez. Fuerza Informativa Aztecap"&amp;"udo conocer que Víctor se encontraba a bordo de su motocicleta esperando la luz verde del semáforo en el cruce delBulevar Los Laguitos y la calle Ciro Farrera, en la capital deChiapas. Fue en ese momento estático cuando la tragedia lo golpeó. Un acelerado"&amp;" automovilista lo arrolló causándole graves heridas. Lejos de auxiliarlo, el responsable huyó del lugar, dejando al atleta gravemente herido sobre el asfalto. Las consecuencias físicas para un hombre que vive de su cuerpo han sido devastadoras.Alejandro N"&amp;"avarro, hermano de la víctima, detalló la gravedad de las lesiones: “Se le tuvo que hacer cirugía para sacar un sangrado interno que tenía, y el golpe de la espalda... pues prácticamente le impide la movilidad al cien por ciento”. El diagnóstico médico no"&amp;" es alentador. Debido a la severidad de las heridas, existe una alta probabilidad de que “El Chakal”no pueda volver a pelear profesionalmente, truncando una década de esfuerzo y disciplina. La familia ya presentó una denuncia formal ante laFiscalía del es"&amp;"tado de Chiapas. Aunque las autoridades aseguran estar dando seguimiento al caso, los afectados denuncian que no hay avances reales y que se han topado con burocracia para acceder a pruebas clave. “No le han dado ningún seguimiento... piden las cámaras y "&amp;"no las dan, las piden y no las dan”, lamentóAlejandro Navarro. Más allá del dolor físico,Víctorenfrenta una dura batalla emocional y económica. Al ser el único sostén de su familia, el encierro y la inactividad lo han sumido en la tristeza. “Emocionalment"&amp;"e se encuentra mal, triste, la depresión... por lo mismo que está encerrado siendo una persona activa”, explicó su hermano. La familia de “El Chakal” hace un llamado urgente: esperan que el responsable tenga la humanidad de contactarlos para ayudar con lo"&amp;"s gastos médicos, o que la autoridad finalmente agilice la búsqueda para que este caso, que apagó una brillante trayectoria deportiva, no quede impune.")</f>
        <v>Victor “El Chakal” Navarrodedicó diez años de su vida a construir una carrera sólida en las Artes Marciales Mixtas (MMA); sin embargo,una imprudencia al volanteocurrida enChiapasha puesto en pausa, y quizás finalizado, su sueño deportivo, dejándolo postrado en una cama y con un futuro incierto. El incidente ocurrió cuando “El Chakal”, quien además de deportista es padre de familia, salía de su turno como guardia de seguridad alrededor de las 4:00 de la mañana enTuxtla Gutiérrez. Fuerza Informativa Aztecapudo conocer que Víctor se encontraba a bordo de su motocicleta esperando la luz verde del semáforo en el cruce delBulevar Los Laguitos y la calle Ciro Farrera, en la capital deChiapas. Fue en ese momento estático cuando la tragedia lo golpeó. Un acelerado automovilista lo arrolló causándole graves heridas. Lejos de auxiliarlo, el responsable huyó del lugar, dejando al atleta gravemente herido sobre el asfalto. Las consecuencias físicas para un hombre que vive de su cuerpo han sido devastadoras.Alejandro Navarro, hermano de la víctima, detalló la gravedad de las lesiones: “Se le tuvo que hacer cirugía para sacar un sangrado interno que tenía, y el golpe de la espalda... pues prácticamente le impide la movilidad al cien por ciento”. El diagnóstico médico no es alentador. Debido a la severidad de las heridas, existe una alta probabilidad de que “El Chakal”no pueda volver a pelear profesionalmente, truncando una década de esfuerzo y disciplina. La familia ya presentó una denuncia formal ante laFiscalía del estado de Chiapas. Aunque las autoridades aseguran estar dando seguimiento al caso, los afectados denuncian que no hay avances reales y que se han topado con burocracia para acceder a pruebas clave. “No le han dado ningún seguimiento... piden las cámaras y no las dan, las piden y no las dan”, lamentóAlejandro Navarro. Más allá del dolor físico,Víctorenfrenta una dura batalla emocional y económica. Al ser el único sostén de su familia, el encierro y la inactividad lo han sumido en la tristeza. “Emocionalmente se encuentra mal, triste, la depresión... por lo mismo que está encerrado siendo una persona activa”, explicó su hermano. La familia de “El Chakal” hace un llamado urgente: esperan que el responsable tenga la humanidad de contactarlos para ayudar con los gastos médicos, o que la autoridad finalmente agilice la búsqueda para que este caso, que apagó una brillante trayectoria deportiva, no quede impune.</v>
      </c>
      <c r="O301" s="15">
        <f>IFERROR(__xludf.DUMMYFUNCTION("""COMPUTED_VALUE"""),0.7658)</f>
        <v>0.7658</v>
      </c>
      <c r="P301" s="2"/>
      <c r="Q301" s="17">
        <f>IFERROR(__xludf.DUMMYFUNCTION("""COMPUTED_VALUE"""),2.5)</f>
        <v>2.5</v>
      </c>
      <c r="R301" s="2" t="str">
        <f>IFERROR(__xludf.DUMMYFUNCTION("""COMPUTED_VALUE"""),"Low")</f>
        <v>Low</v>
      </c>
      <c r="S301" s="17">
        <f>IFERROR(__xludf.DUMMYFUNCTION("""COMPUTED_VALUE"""),0.5)</f>
        <v>0.5</v>
      </c>
      <c r="T301" s="17">
        <f>IFERROR(__xludf.DUMMYFUNCTION("""COMPUTED_VALUE"""),0.0)</f>
        <v>0</v>
      </c>
      <c r="U301" s="14">
        <f>IFERROR(__xludf.DUMMYFUNCTION("""COMPUTED_VALUE"""),3.0)</f>
        <v>3</v>
      </c>
      <c r="V301" s="14" t="s">
        <v>1186</v>
      </c>
      <c r="W301" s="2" t="s">
        <v>1186</v>
      </c>
      <c r="X301" s="2" t="s">
        <v>1186</v>
      </c>
      <c r="Y301" s="13"/>
      <c r="Z301" s="14">
        <v>0.0</v>
      </c>
      <c r="AA301" s="14">
        <v>0.0</v>
      </c>
      <c r="AB301" s="14">
        <v>0.0</v>
      </c>
      <c r="AC301" s="14">
        <v>0.0</v>
      </c>
      <c r="AD301" s="2">
        <v>0.0</v>
      </c>
      <c r="AE301" s="2">
        <v>0.0</v>
      </c>
      <c r="AF301" s="2" t="s">
        <v>1186</v>
      </c>
      <c r="AG301" s="2" t="s">
        <v>1190</v>
      </c>
      <c r="AH301" s="2">
        <v>0.0</v>
      </c>
    </row>
    <row r="302" ht="15.75" customHeight="1">
      <c r="B302" s="12"/>
      <c r="C302" s="13"/>
      <c r="D302" s="14"/>
      <c r="E302" s="15"/>
      <c r="G302" s="15"/>
      <c r="O302" s="15"/>
      <c r="Q302" s="17"/>
      <c r="S302" s="17"/>
      <c r="T302" s="17"/>
      <c r="U302" s="14"/>
      <c r="V302" s="14" t="s">
        <v>1186</v>
      </c>
      <c r="W302" s="2" t="s">
        <v>1186</v>
      </c>
      <c r="X302" s="2" t="s">
        <v>1186</v>
      </c>
      <c r="Y302" s="13"/>
      <c r="Z302" s="14">
        <v>0.0</v>
      </c>
      <c r="AA302" s="14">
        <v>0.0</v>
      </c>
      <c r="AB302" s="14">
        <v>0.0</v>
      </c>
      <c r="AC302" s="14">
        <v>0.0</v>
      </c>
      <c r="AD302" s="2">
        <v>0.0</v>
      </c>
      <c r="AE302" s="2">
        <v>0.0</v>
      </c>
      <c r="AF302" s="2" t="s">
        <v>1186</v>
      </c>
      <c r="AG302" s="2" t="s">
        <v>1186</v>
      </c>
      <c r="AH302" s="2">
        <v>0.0</v>
      </c>
    </row>
    <row r="303" ht="15.75" customHeight="1">
      <c r="B303" s="12"/>
      <c r="C303" s="13"/>
      <c r="D303" s="14"/>
      <c r="E303" s="15"/>
      <c r="G303" s="15"/>
      <c r="O303" s="15"/>
      <c r="Q303" s="17"/>
      <c r="S303" s="17"/>
      <c r="T303" s="17"/>
      <c r="U303" s="14"/>
      <c r="V303" s="14" t="s">
        <v>1186</v>
      </c>
      <c r="W303" s="2" t="s">
        <v>1186</v>
      </c>
      <c r="X303" s="2" t="s">
        <v>1186</v>
      </c>
      <c r="Y303" s="13"/>
      <c r="Z303" s="14">
        <v>0.0</v>
      </c>
      <c r="AA303" s="14">
        <v>0.0</v>
      </c>
      <c r="AB303" s="14">
        <v>0.0</v>
      </c>
      <c r="AC303" s="14">
        <v>0.0</v>
      </c>
      <c r="AD303" s="2">
        <v>0.0</v>
      </c>
      <c r="AE303" s="2">
        <v>0.0</v>
      </c>
      <c r="AF303" s="2" t="s">
        <v>1186</v>
      </c>
      <c r="AG303" s="2" t="s">
        <v>1186</v>
      </c>
      <c r="AH303" s="2">
        <v>0.0</v>
      </c>
    </row>
    <row r="304" ht="15.75" customHeight="1">
      <c r="B304" s="12"/>
      <c r="C304" s="13"/>
      <c r="D304" s="14"/>
      <c r="E304" s="15"/>
      <c r="G304" s="15"/>
      <c r="O304" s="15"/>
      <c r="Q304" s="17"/>
      <c r="S304" s="17"/>
      <c r="T304" s="17"/>
      <c r="U304" s="14"/>
      <c r="V304" s="14" t="s">
        <v>1186</v>
      </c>
      <c r="W304" s="2" t="s">
        <v>1186</v>
      </c>
      <c r="X304" s="2" t="s">
        <v>1186</v>
      </c>
      <c r="Y304" s="13"/>
      <c r="Z304" s="14">
        <v>0.0</v>
      </c>
      <c r="AA304" s="14">
        <v>0.0</v>
      </c>
      <c r="AB304" s="14">
        <v>0.0</v>
      </c>
      <c r="AC304" s="14">
        <v>0.0</v>
      </c>
      <c r="AD304" s="2">
        <v>0.0</v>
      </c>
      <c r="AE304" s="2">
        <v>0.0</v>
      </c>
      <c r="AF304" s="2" t="s">
        <v>1186</v>
      </c>
      <c r="AG304" s="2" t="s">
        <v>1186</v>
      </c>
      <c r="AH304" s="2">
        <v>0.0</v>
      </c>
    </row>
    <row r="305" ht="15.75" customHeight="1">
      <c r="B305" s="12"/>
      <c r="C305" s="13"/>
      <c r="D305" s="14"/>
      <c r="E305" s="15"/>
      <c r="G305" s="15"/>
      <c r="O305" s="15"/>
      <c r="Q305" s="17"/>
      <c r="S305" s="17"/>
      <c r="T305" s="17"/>
      <c r="U305" s="14"/>
      <c r="V305" s="14" t="s">
        <v>1186</v>
      </c>
      <c r="W305" s="2" t="s">
        <v>1186</v>
      </c>
      <c r="X305" s="2" t="s">
        <v>1186</v>
      </c>
      <c r="Y305" s="13"/>
      <c r="Z305" s="14">
        <v>0.0</v>
      </c>
      <c r="AA305" s="14">
        <v>0.0</v>
      </c>
      <c r="AB305" s="14">
        <v>0.0</v>
      </c>
      <c r="AC305" s="14">
        <v>0.0</v>
      </c>
      <c r="AD305" s="2">
        <v>0.0</v>
      </c>
      <c r="AE305" s="2">
        <v>0.0</v>
      </c>
      <c r="AF305" s="2" t="s">
        <v>1186</v>
      </c>
      <c r="AG305" s="2" t="s">
        <v>1186</v>
      </c>
      <c r="AH305" s="2">
        <v>0.0</v>
      </c>
    </row>
    <row r="306" ht="15.75" customHeight="1">
      <c r="B306" s="12"/>
      <c r="C306" s="13"/>
      <c r="D306" s="14"/>
      <c r="E306" s="15"/>
      <c r="G306" s="15"/>
      <c r="O306" s="15"/>
      <c r="Q306" s="17"/>
      <c r="S306" s="17"/>
      <c r="T306" s="17"/>
      <c r="U306" s="14"/>
      <c r="V306" s="14" t="s">
        <v>1186</v>
      </c>
      <c r="W306" s="2" t="s">
        <v>1186</v>
      </c>
      <c r="X306" s="2" t="s">
        <v>1186</v>
      </c>
      <c r="Y306" s="13"/>
      <c r="Z306" s="14">
        <v>0.0</v>
      </c>
      <c r="AA306" s="14">
        <v>0.0</v>
      </c>
      <c r="AB306" s="14">
        <v>0.0</v>
      </c>
      <c r="AC306" s="14">
        <v>0.0</v>
      </c>
      <c r="AD306" s="2">
        <v>0.0</v>
      </c>
      <c r="AE306" s="2">
        <v>0.0</v>
      </c>
      <c r="AF306" s="2" t="s">
        <v>1186</v>
      </c>
      <c r="AG306" s="2" t="s">
        <v>1186</v>
      </c>
      <c r="AH306" s="2">
        <v>0.0</v>
      </c>
    </row>
    <row r="307" ht="15.75" customHeight="1">
      <c r="B307" s="12"/>
      <c r="C307" s="13"/>
      <c r="D307" s="14"/>
      <c r="E307" s="15"/>
      <c r="G307" s="15"/>
      <c r="O307" s="15"/>
      <c r="Q307" s="17"/>
      <c r="S307" s="17"/>
      <c r="T307" s="17"/>
      <c r="U307" s="14"/>
      <c r="V307" s="14" t="s">
        <v>1186</v>
      </c>
      <c r="W307" s="2" t="s">
        <v>1186</v>
      </c>
      <c r="X307" s="2" t="s">
        <v>1186</v>
      </c>
      <c r="Y307" s="13"/>
      <c r="Z307" s="14">
        <v>0.0</v>
      </c>
      <c r="AA307" s="14">
        <v>0.0</v>
      </c>
      <c r="AB307" s="14">
        <v>0.0</v>
      </c>
      <c r="AC307" s="14">
        <v>0.0</v>
      </c>
      <c r="AD307" s="2">
        <v>0.0</v>
      </c>
      <c r="AE307" s="2">
        <v>0.0</v>
      </c>
      <c r="AF307" s="2" t="s">
        <v>1186</v>
      </c>
      <c r="AG307" s="2" t="s">
        <v>1186</v>
      </c>
      <c r="AH307" s="2">
        <v>0.0</v>
      </c>
    </row>
    <row r="308" ht="15.75" customHeight="1">
      <c r="B308" s="12"/>
      <c r="C308" s="13"/>
      <c r="D308" s="14"/>
      <c r="E308" s="15"/>
      <c r="G308" s="15"/>
      <c r="O308" s="15"/>
      <c r="Q308" s="17"/>
      <c r="S308" s="17"/>
      <c r="T308" s="17"/>
      <c r="U308" s="14"/>
      <c r="V308" s="14" t="s">
        <v>1186</v>
      </c>
      <c r="W308" s="2" t="s">
        <v>1186</v>
      </c>
      <c r="X308" s="2" t="s">
        <v>1186</v>
      </c>
      <c r="Y308" s="13"/>
      <c r="Z308" s="14">
        <v>0.0</v>
      </c>
      <c r="AA308" s="14">
        <v>0.0</v>
      </c>
      <c r="AB308" s="14">
        <v>0.0</v>
      </c>
      <c r="AC308" s="14">
        <v>0.0</v>
      </c>
      <c r="AD308" s="2">
        <v>0.0</v>
      </c>
      <c r="AE308" s="2">
        <v>0.0</v>
      </c>
      <c r="AF308" s="2" t="s">
        <v>1186</v>
      </c>
      <c r="AG308" s="2" t="s">
        <v>1186</v>
      </c>
      <c r="AH308" s="2">
        <v>0.0</v>
      </c>
    </row>
    <row r="309" ht="15.75" customHeight="1">
      <c r="B309" s="12"/>
      <c r="C309" s="13"/>
      <c r="D309" s="14"/>
      <c r="E309" s="15"/>
      <c r="G309" s="15"/>
      <c r="O309" s="15"/>
      <c r="Q309" s="17"/>
      <c r="S309" s="17"/>
      <c r="T309" s="17"/>
      <c r="U309" s="14"/>
      <c r="V309" s="14" t="s">
        <v>1186</v>
      </c>
      <c r="W309" s="2" t="s">
        <v>1186</v>
      </c>
      <c r="X309" s="2" t="s">
        <v>1186</v>
      </c>
      <c r="Y309" s="13"/>
      <c r="Z309" s="14">
        <v>0.0</v>
      </c>
      <c r="AA309" s="14">
        <v>0.0</v>
      </c>
      <c r="AB309" s="14">
        <v>0.0</v>
      </c>
      <c r="AC309" s="14">
        <v>0.0</v>
      </c>
      <c r="AD309" s="2">
        <v>0.0</v>
      </c>
      <c r="AE309" s="2">
        <v>0.0</v>
      </c>
      <c r="AF309" s="2" t="s">
        <v>1186</v>
      </c>
      <c r="AG309" s="2" t="s">
        <v>1186</v>
      </c>
      <c r="AH309" s="2">
        <v>0.0</v>
      </c>
    </row>
    <row r="310" ht="15.75" customHeight="1">
      <c r="B310" s="12"/>
      <c r="C310" s="13"/>
      <c r="D310" s="14"/>
      <c r="E310" s="15"/>
      <c r="G310" s="15"/>
      <c r="O310" s="15"/>
      <c r="Q310" s="17"/>
      <c r="S310" s="17"/>
      <c r="T310" s="17"/>
      <c r="U310" s="14"/>
      <c r="V310" s="14" t="s">
        <v>1186</v>
      </c>
      <c r="W310" s="2" t="s">
        <v>1186</v>
      </c>
      <c r="X310" s="2" t="s">
        <v>1186</v>
      </c>
      <c r="Y310" s="13"/>
      <c r="Z310" s="14">
        <v>0.0</v>
      </c>
      <c r="AA310" s="14">
        <v>0.0</v>
      </c>
      <c r="AB310" s="14">
        <v>0.0</v>
      </c>
      <c r="AC310" s="14">
        <v>0.0</v>
      </c>
      <c r="AD310" s="2">
        <v>0.0</v>
      </c>
      <c r="AE310" s="2">
        <v>0.0</v>
      </c>
      <c r="AF310" s="2" t="s">
        <v>1186</v>
      </c>
      <c r="AG310" s="2" t="s">
        <v>1186</v>
      </c>
      <c r="AH310" s="2">
        <v>0.0</v>
      </c>
    </row>
    <row r="311" ht="15.75" customHeight="1">
      <c r="B311" s="12"/>
      <c r="C311" s="13"/>
      <c r="D311" s="14"/>
      <c r="E311" s="15"/>
      <c r="G311" s="15"/>
      <c r="O311" s="15"/>
      <c r="Q311" s="17"/>
      <c r="S311" s="17"/>
      <c r="T311" s="17"/>
      <c r="U311" s="14"/>
      <c r="V311" s="14" t="s">
        <v>1186</v>
      </c>
      <c r="W311" s="2" t="s">
        <v>1186</v>
      </c>
      <c r="X311" s="2" t="s">
        <v>1186</v>
      </c>
      <c r="Y311" s="13"/>
      <c r="Z311" s="14">
        <v>0.0</v>
      </c>
      <c r="AA311" s="14">
        <v>0.0</v>
      </c>
      <c r="AB311" s="14">
        <v>0.0</v>
      </c>
      <c r="AC311" s="14">
        <v>0.0</v>
      </c>
      <c r="AD311" s="2">
        <v>0.0</v>
      </c>
      <c r="AE311" s="2">
        <v>0.0</v>
      </c>
      <c r="AF311" s="2" t="s">
        <v>1186</v>
      </c>
      <c r="AG311" s="2" t="s">
        <v>1186</v>
      </c>
      <c r="AH311" s="2">
        <v>0.0</v>
      </c>
    </row>
    <row r="312" ht="15.75" customHeight="1">
      <c r="B312" s="12"/>
      <c r="C312" s="13"/>
      <c r="D312" s="14"/>
      <c r="E312" s="15"/>
      <c r="G312" s="15"/>
      <c r="O312" s="15"/>
      <c r="Q312" s="17"/>
      <c r="S312" s="17"/>
      <c r="T312" s="17"/>
      <c r="U312" s="14"/>
      <c r="V312" s="14" t="s">
        <v>1186</v>
      </c>
      <c r="W312" s="2" t="s">
        <v>1186</v>
      </c>
      <c r="X312" s="2" t="s">
        <v>1186</v>
      </c>
      <c r="Y312" s="13"/>
      <c r="Z312" s="14">
        <v>0.0</v>
      </c>
      <c r="AA312" s="14">
        <v>0.0</v>
      </c>
      <c r="AB312" s="14">
        <v>0.0</v>
      </c>
      <c r="AC312" s="14">
        <v>0.0</v>
      </c>
      <c r="AD312" s="2">
        <v>0.0</v>
      </c>
      <c r="AE312" s="2">
        <v>0.0</v>
      </c>
      <c r="AF312" s="2" t="s">
        <v>1186</v>
      </c>
      <c r="AG312" s="2" t="s">
        <v>1186</v>
      </c>
      <c r="AH312" s="2">
        <v>0.0</v>
      </c>
    </row>
    <row r="313" ht="15.75" customHeight="1">
      <c r="B313" s="12"/>
      <c r="C313" s="13"/>
      <c r="D313" s="14"/>
      <c r="E313" s="15"/>
      <c r="G313" s="15"/>
      <c r="O313" s="15"/>
      <c r="Q313" s="17"/>
      <c r="S313" s="17"/>
      <c r="T313" s="17"/>
      <c r="U313" s="14"/>
      <c r="V313" s="14" t="s">
        <v>1186</v>
      </c>
      <c r="W313" s="2" t="s">
        <v>1186</v>
      </c>
      <c r="X313" s="2" t="s">
        <v>1186</v>
      </c>
      <c r="Y313" s="13"/>
      <c r="Z313" s="14">
        <v>0.0</v>
      </c>
      <c r="AA313" s="14">
        <v>0.0</v>
      </c>
      <c r="AB313" s="14">
        <v>0.0</v>
      </c>
      <c r="AC313" s="14">
        <v>0.0</v>
      </c>
      <c r="AD313" s="2">
        <v>0.0</v>
      </c>
      <c r="AE313" s="2">
        <v>0.0</v>
      </c>
      <c r="AF313" s="2" t="s">
        <v>1186</v>
      </c>
      <c r="AG313" s="2" t="s">
        <v>1186</v>
      </c>
      <c r="AH313" s="2">
        <v>0.0</v>
      </c>
    </row>
    <row r="314" ht="15.75" customHeight="1">
      <c r="B314" s="12"/>
      <c r="C314" s="13"/>
      <c r="D314" s="14"/>
      <c r="E314" s="15"/>
      <c r="G314" s="15"/>
      <c r="O314" s="15"/>
      <c r="Q314" s="17"/>
      <c r="S314" s="17"/>
      <c r="T314" s="17"/>
      <c r="U314" s="14"/>
      <c r="V314" s="14" t="s">
        <v>1186</v>
      </c>
      <c r="W314" s="2" t="s">
        <v>1186</v>
      </c>
      <c r="X314" s="2" t="s">
        <v>1186</v>
      </c>
      <c r="Y314" s="13"/>
      <c r="Z314" s="14">
        <v>0.0</v>
      </c>
      <c r="AA314" s="14">
        <v>0.0</v>
      </c>
      <c r="AB314" s="14">
        <v>0.0</v>
      </c>
      <c r="AC314" s="14">
        <v>0.0</v>
      </c>
      <c r="AD314" s="2">
        <v>0.0</v>
      </c>
      <c r="AE314" s="2">
        <v>0.0</v>
      </c>
      <c r="AF314" s="2" t="s">
        <v>1186</v>
      </c>
      <c r="AG314" s="2" t="s">
        <v>1186</v>
      </c>
      <c r="AH314" s="2">
        <v>0.0</v>
      </c>
    </row>
    <row r="315" ht="15.75" customHeight="1">
      <c r="B315" s="12"/>
      <c r="C315" s="13"/>
      <c r="D315" s="14"/>
      <c r="E315" s="15"/>
      <c r="G315" s="15"/>
      <c r="O315" s="15"/>
      <c r="Q315" s="17"/>
      <c r="S315" s="17"/>
      <c r="T315" s="17"/>
      <c r="U315" s="14"/>
      <c r="V315" s="14" t="s">
        <v>1186</v>
      </c>
      <c r="W315" s="2" t="s">
        <v>1186</v>
      </c>
      <c r="X315" s="2" t="s">
        <v>1186</v>
      </c>
      <c r="Y315" s="13"/>
      <c r="Z315" s="14">
        <v>0.0</v>
      </c>
      <c r="AA315" s="14">
        <v>0.0</v>
      </c>
      <c r="AB315" s="14">
        <v>0.0</v>
      </c>
      <c r="AC315" s="14">
        <v>0.0</v>
      </c>
      <c r="AD315" s="2">
        <v>0.0</v>
      </c>
      <c r="AE315" s="2">
        <v>0.0</v>
      </c>
      <c r="AF315" s="2" t="s">
        <v>1186</v>
      </c>
      <c r="AG315" s="2" t="s">
        <v>1186</v>
      </c>
      <c r="AH315" s="2">
        <v>0.0</v>
      </c>
    </row>
    <row r="316" ht="15.75" customHeight="1">
      <c r="B316" s="12"/>
      <c r="C316" s="13"/>
      <c r="D316" s="14"/>
      <c r="E316" s="15"/>
      <c r="G316" s="15"/>
      <c r="O316" s="15"/>
      <c r="Q316" s="17"/>
      <c r="S316" s="17"/>
      <c r="T316" s="17"/>
      <c r="U316" s="14"/>
      <c r="V316" s="14" t="s">
        <v>1186</v>
      </c>
      <c r="W316" s="2" t="s">
        <v>1186</v>
      </c>
      <c r="X316" s="2" t="s">
        <v>1186</v>
      </c>
      <c r="Y316" s="13"/>
      <c r="Z316" s="14">
        <v>0.0</v>
      </c>
      <c r="AA316" s="14">
        <v>0.0</v>
      </c>
      <c r="AB316" s="14">
        <v>0.0</v>
      </c>
      <c r="AC316" s="14">
        <v>0.0</v>
      </c>
      <c r="AD316" s="2">
        <v>0.0</v>
      </c>
      <c r="AE316" s="2">
        <v>0.0</v>
      </c>
      <c r="AF316" s="2" t="s">
        <v>1186</v>
      </c>
      <c r="AG316" s="2" t="s">
        <v>1186</v>
      </c>
      <c r="AH316" s="2">
        <v>0.0</v>
      </c>
    </row>
    <row r="317" ht="15.75" customHeight="1">
      <c r="B317" s="12"/>
      <c r="C317" s="13"/>
      <c r="D317" s="14"/>
      <c r="E317" s="15"/>
      <c r="G317" s="15"/>
      <c r="O317" s="15"/>
      <c r="Q317" s="17"/>
      <c r="S317" s="17"/>
      <c r="T317" s="17"/>
      <c r="U317" s="14"/>
      <c r="V317" s="14" t="s">
        <v>1186</v>
      </c>
      <c r="W317" s="2" t="s">
        <v>1186</v>
      </c>
      <c r="X317" s="2" t="s">
        <v>1186</v>
      </c>
      <c r="Y317" s="13"/>
      <c r="Z317" s="14">
        <v>0.0</v>
      </c>
      <c r="AA317" s="14">
        <v>0.0</v>
      </c>
      <c r="AB317" s="14">
        <v>0.0</v>
      </c>
      <c r="AC317" s="14">
        <v>0.0</v>
      </c>
      <c r="AD317" s="2">
        <v>0.0</v>
      </c>
      <c r="AE317" s="2">
        <v>0.0</v>
      </c>
      <c r="AF317" s="2" t="s">
        <v>1186</v>
      </c>
      <c r="AG317" s="2" t="s">
        <v>1186</v>
      </c>
      <c r="AH317" s="2">
        <v>0.0</v>
      </c>
    </row>
    <row r="318" ht="15.75" customHeight="1">
      <c r="B318" s="12"/>
      <c r="C318" s="13"/>
      <c r="D318" s="14"/>
      <c r="E318" s="15"/>
      <c r="G318" s="15"/>
      <c r="O318" s="15"/>
      <c r="Q318" s="17"/>
      <c r="S318" s="17"/>
      <c r="T318" s="17"/>
      <c r="U318" s="14"/>
      <c r="V318" s="14" t="s">
        <v>1186</v>
      </c>
      <c r="W318" s="2" t="s">
        <v>1186</v>
      </c>
      <c r="X318" s="2" t="s">
        <v>1186</v>
      </c>
      <c r="Y318" s="13"/>
      <c r="Z318" s="14">
        <v>0.0</v>
      </c>
      <c r="AA318" s="14">
        <v>0.0</v>
      </c>
      <c r="AB318" s="14">
        <v>0.0</v>
      </c>
      <c r="AC318" s="14">
        <v>0.0</v>
      </c>
      <c r="AD318" s="2">
        <v>0.0</v>
      </c>
      <c r="AE318" s="2">
        <v>0.0</v>
      </c>
      <c r="AF318" s="2" t="s">
        <v>1186</v>
      </c>
      <c r="AG318" s="2" t="s">
        <v>1186</v>
      </c>
      <c r="AH318" s="2">
        <v>0.0</v>
      </c>
    </row>
    <row r="319" ht="15.75" customHeight="1">
      <c r="B319" s="12"/>
      <c r="C319" s="13"/>
      <c r="D319" s="14"/>
      <c r="E319" s="15"/>
      <c r="G319" s="15"/>
      <c r="O319" s="15"/>
      <c r="Q319" s="17"/>
      <c r="S319" s="17"/>
      <c r="T319" s="17"/>
      <c r="U319" s="14"/>
      <c r="V319" s="14" t="s">
        <v>1186</v>
      </c>
      <c r="W319" s="2" t="s">
        <v>1186</v>
      </c>
      <c r="X319" s="2" t="s">
        <v>1186</v>
      </c>
      <c r="Y319" s="13"/>
      <c r="Z319" s="14">
        <v>0.0</v>
      </c>
      <c r="AA319" s="14">
        <v>0.0</v>
      </c>
      <c r="AB319" s="14">
        <v>0.0</v>
      </c>
      <c r="AC319" s="14">
        <v>0.0</v>
      </c>
      <c r="AD319" s="2">
        <v>0.0</v>
      </c>
      <c r="AE319" s="2">
        <v>0.0</v>
      </c>
      <c r="AF319" s="2" t="s">
        <v>1186</v>
      </c>
      <c r="AG319" s="2" t="s">
        <v>1186</v>
      </c>
      <c r="AH319" s="2">
        <v>0.0</v>
      </c>
    </row>
    <row r="320" ht="15.75" customHeight="1">
      <c r="B320" s="12"/>
      <c r="C320" s="13"/>
      <c r="D320" s="14"/>
      <c r="E320" s="15"/>
      <c r="G320" s="15"/>
      <c r="O320" s="15"/>
      <c r="Q320" s="17"/>
      <c r="S320" s="17"/>
      <c r="T320" s="17"/>
      <c r="U320" s="14"/>
      <c r="V320" s="14" t="s">
        <v>1186</v>
      </c>
      <c r="W320" s="2" t="s">
        <v>1186</v>
      </c>
      <c r="X320" s="2" t="s">
        <v>1186</v>
      </c>
      <c r="Y320" s="13"/>
      <c r="Z320" s="14">
        <v>0.0</v>
      </c>
      <c r="AA320" s="14">
        <v>0.0</v>
      </c>
      <c r="AB320" s="14">
        <v>0.0</v>
      </c>
      <c r="AC320" s="14">
        <v>0.0</v>
      </c>
      <c r="AD320" s="2">
        <v>0.0</v>
      </c>
      <c r="AE320" s="2">
        <v>0.0</v>
      </c>
      <c r="AF320" s="2" t="s">
        <v>1186</v>
      </c>
      <c r="AG320" s="2" t="s">
        <v>1186</v>
      </c>
      <c r="AH320" s="2">
        <v>0.0</v>
      </c>
    </row>
    <row r="321" ht="15.75" customHeight="1">
      <c r="B321" s="12"/>
      <c r="C321" s="13"/>
      <c r="D321" s="14"/>
      <c r="E321" s="15"/>
      <c r="G321" s="15"/>
      <c r="O321" s="15"/>
      <c r="Q321" s="17"/>
      <c r="S321" s="17"/>
      <c r="T321" s="17"/>
      <c r="U321" s="14"/>
      <c r="V321" s="14" t="s">
        <v>1186</v>
      </c>
      <c r="W321" s="2" t="s">
        <v>1186</v>
      </c>
      <c r="X321" s="2" t="s">
        <v>1186</v>
      </c>
      <c r="Y321" s="13"/>
      <c r="Z321" s="14">
        <v>0.0</v>
      </c>
      <c r="AA321" s="14">
        <v>0.0</v>
      </c>
      <c r="AB321" s="14">
        <v>0.0</v>
      </c>
      <c r="AC321" s="14">
        <v>0.0</v>
      </c>
      <c r="AD321" s="2">
        <v>0.0</v>
      </c>
      <c r="AE321" s="2">
        <v>0.0</v>
      </c>
      <c r="AF321" s="2" t="s">
        <v>1186</v>
      </c>
      <c r="AG321" s="2" t="s">
        <v>1186</v>
      </c>
      <c r="AH321" s="2">
        <v>0.0</v>
      </c>
    </row>
    <row r="322" ht="15.75" customHeight="1">
      <c r="B322" s="12"/>
      <c r="C322" s="13"/>
      <c r="D322" s="14"/>
      <c r="E322" s="15"/>
      <c r="G322" s="15"/>
      <c r="O322" s="15"/>
      <c r="Q322" s="17"/>
      <c r="S322" s="17"/>
      <c r="T322" s="17"/>
      <c r="U322" s="14"/>
      <c r="V322" s="14" t="s">
        <v>1186</v>
      </c>
      <c r="W322" s="2" t="s">
        <v>1186</v>
      </c>
      <c r="X322" s="2" t="s">
        <v>1186</v>
      </c>
      <c r="Y322" s="13"/>
      <c r="Z322" s="14">
        <v>0.0</v>
      </c>
      <c r="AA322" s="14">
        <v>0.0</v>
      </c>
      <c r="AB322" s="14">
        <v>0.0</v>
      </c>
      <c r="AC322" s="14">
        <v>0.0</v>
      </c>
      <c r="AD322" s="2">
        <v>0.0</v>
      </c>
      <c r="AE322" s="2">
        <v>0.0</v>
      </c>
      <c r="AF322" s="2" t="s">
        <v>1186</v>
      </c>
      <c r="AG322" s="2" t="s">
        <v>1186</v>
      </c>
      <c r="AH322" s="2">
        <v>0.0</v>
      </c>
    </row>
    <row r="323" ht="15.75" customHeight="1">
      <c r="B323" s="12"/>
      <c r="C323" s="13"/>
      <c r="D323" s="14"/>
      <c r="E323" s="15"/>
      <c r="G323" s="15"/>
      <c r="O323" s="15"/>
      <c r="Q323" s="17"/>
      <c r="S323" s="17"/>
      <c r="T323" s="17"/>
      <c r="U323" s="14"/>
      <c r="V323" s="14" t="s">
        <v>1186</v>
      </c>
      <c r="W323" s="2" t="s">
        <v>1186</v>
      </c>
      <c r="X323" s="2" t="s">
        <v>1186</v>
      </c>
      <c r="Y323" s="13"/>
      <c r="Z323" s="14">
        <v>0.0</v>
      </c>
      <c r="AA323" s="14">
        <v>0.0</v>
      </c>
      <c r="AB323" s="14">
        <v>0.0</v>
      </c>
      <c r="AC323" s="14">
        <v>0.0</v>
      </c>
      <c r="AD323" s="2">
        <v>0.0</v>
      </c>
      <c r="AE323" s="2">
        <v>0.0</v>
      </c>
      <c r="AF323" s="2" t="s">
        <v>1186</v>
      </c>
      <c r="AG323" s="2" t="s">
        <v>1186</v>
      </c>
      <c r="AH323" s="2">
        <v>0.0</v>
      </c>
    </row>
    <row r="324" ht="15.75" customHeight="1">
      <c r="B324" s="12"/>
      <c r="C324" s="13"/>
      <c r="D324" s="14"/>
      <c r="E324" s="15"/>
      <c r="G324" s="15"/>
      <c r="O324" s="15"/>
      <c r="Q324" s="17"/>
      <c r="S324" s="17"/>
      <c r="T324" s="17"/>
      <c r="U324" s="14"/>
      <c r="V324" s="14" t="s">
        <v>1186</v>
      </c>
      <c r="W324" s="2" t="s">
        <v>1186</v>
      </c>
      <c r="X324" s="2" t="s">
        <v>1186</v>
      </c>
      <c r="Y324" s="13"/>
      <c r="Z324" s="14">
        <v>0.0</v>
      </c>
      <c r="AA324" s="14">
        <v>0.0</v>
      </c>
      <c r="AB324" s="14">
        <v>0.0</v>
      </c>
      <c r="AC324" s="14">
        <v>0.0</v>
      </c>
      <c r="AD324" s="2">
        <v>0.0</v>
      </c>
      <c r="AE324" s="2">
        <v>0.0</v>
      </c>
      <c r="AF324" s="2" t="s">
        <v>1186</v>
      </c>
      <c r="AG324" s="2" t="s">
        <v>1186</v>
      </c>
      <c r="AH324" s="2">
        <v>0.0</v>
      </c>
    </row>
    <row r="325" ht="15.75" customHeight="1">
      <c r="B325" s="12"/>
      <c r="C325" s="13"/>
      <c r="D325" s="14"/>
      <c r="E325" s="15"/>
      <c r="G325" s="15"/>
      <c r="O325" s="15"/>
      <c r="Q325" s="17"/>
      <c r="S325" s="17"/>
      <c r="T325" s="17"/>
      <c r="U325" s="14"/>
      <c r="V325" s="14" t="s">
        <v>1186</v>
      </c>
      <c r="W325" s="2" t="s">
        <v>1186</v>
      </c>
      <c r="X325" s="2" t="s">
        <v>1186</v>
      </c>
      <c r="Y325" s="13"/>
      <c r="Z325" s="14">
        <v>0.0</v>
      </c>
      <c r="AA325" s="14">
        <v>0.0</v>
      </c>
      <c r="AB325" s="14">
        <v>0.0</v>
      </c>
      <c r="AC325" s="14">
        <v>0.0</v>
      </c>
      <c r="AD325" s="2">
        <v>0.0</v>
      </c>
      <c r="AE325" s="2">
        <v>0.0</v>
      </c>
      <c r="AF325" s="2" t="s">
        <v>1186</v>
      </c>
      <c r="AG325" s="2" t="s">
        <v>1186</v>
      </c>
      <c r="AH325" s="2">
        <v>0.0</v>
      </c>
    </row>
    <row r="326" ht="15.75" customHeight="1">
      <c r="B326" s="12"/>
      <c r="C326" s="13"/>
      <c r="D326" s="14"/>
      <c r="E326" s="15"/>
      <c r="G326" s="15"/>
      <c r="O326" s="15"/>
      <c r="Q326" s="17"/>
      <c r="S326" s="17"/>
      <c r="T326" s="17"/>
      <c r="U326" s="14"/>
      <c r="V326" s="14" t="s">
        <v>1186</v>
      </c>
      <c r="W326" s="2" t="s">
        <v>1186</v>
      </c>
      <c r="X326" s="2" t="s">
        <v>1186</v>
      </c>
      <c r="Y326" s="13"/>
      <c r="Z326" s="14">
        <v>0.0</v>
      </c>
      <c r="AA326" s="14">
        <v>0.0</v>
      </c>
      <c r="AB326" s="14">
        <v>0.0</v>
      </c>
      <c r="AC326" s="14">
        <v>0.0</v>
      </c>
      <c r="AD326" s="2">
        <v>0.0</v>
      </c>
      <c r="AE326" s="2">
        <v>0.0</v>
      </c>
      <c r="AF326" s="2" t="s">
        <v>1186</v>
      </c>
      <c r="AG326" s="2" t="s">
        <v>1186</v>
      </c>
      <c r="AH326" s="2">
        <v>0.0</v>
      </c>
    </row>
    <row r="327" ht="15.75" customHeight="1">
      <c r="B327" s="12"/>
      <c r="C327" s="13"/>
      <c r="D327" s="14"/>
      <c r="E327" s="15"/>
      <c r="G327" s="15"/>
      <c r="O327" s="15"/>
      <c r="Q327" s="17"/>
      <c r="S327" s="17"/>
      <c r="T327" s="17"/>
      <c r="U327" s="14"/>
      <c r="V327" s="14" t="s">
        <v>1186</v>
      </c>
      <c r="W327" s="2" t="s">
        <v>1186</v>
      </c>
      <c r="X327" s="2" t="s">
        <v>1186</v>
      </c>
      <c r="Y327" s="13"/>
      <c r="Z327" s="14">
        <v>0.0</v>
      </c>
      <c r="AA327" s="14">
        <v>0.0</v>
      </c>
      <c r="AB327" s="14">
        <v>0.0</v>
      </c>
      <c r="AC327" s="14">
        <v>0.0</v>
      </c>
      <c r="AD327" s="2">
        <v>0.0</v>
      </c>
      <c r="AE327" s="2">
        <v>0.0</v>
      </c>
      <c r="AF327" s="2" t="s">
        <v>1186</v>
      </c>
      <c r="AG327" s="2" t="s">
        <v>1186</v>
      </c>
      <c r="AH327" s="2">
        <v>0.0</v>
      </c>
    </row>
    <row r="328" ht="15.75" customHeight="1">
      <c r="B328" s="12"/>
      <c r="C328" s="13"/>
      <c r="D328" s="14"/>
      <c r="E328" s="15"/>
      <c r="G328" s="15"/>
      <c r="O328" s="15"/>
      <c r="Q328" s="17"/>
      <c r="S328" s="17"/>
      <c r="T328" s="17"/>
      <c r="U328" s="14"/>
      <c r="V328" s="14" t="s">
        <v>1186</v>
      </c>
      <c r="W328" s="2" t="s">
        <v>1186</v>
      </c>
      <c r="X328" s="2" t="s">
        <v>1186</v>
      </c>
      <c r="Y328" s="13"/>
      <c r="Z328" s="14">
        <v>0.0</v>
      </c>
      <c r="AA328" s="14">
        <v>0.0</v>
      </c>
      <c r="AB328" s="14">
        <v>0.0</v>
      </c>
      <c r="AC328" s="14">
        <v>0.0</v>
      </c>
      <c r="AD328" s="2">
        <v>0.0</v>
      </c>
      <c r="AE328" s="2">
        <v>0.0</v>
      </c>
      <c r="AF328" s="2" t="s">
        <v>1186</v>
      </c>
      <c r="AG328" s="2" t="s">
        <v>1186</v>
      </c>
      <c r="AH328" s="2">
        <v>0.0</v>
      </c>
    </row>
    <row r="329" ht="15.75" customHeight="1">
      <c r="B329" s="12"/>
      <c r="C329" s="13"/>
      <c r="D329" s="14"/>
      <c r="E329" s="15"/>
      <c r="G329" s="15"/>
      <c r="O329" s="15"/>
      <c r="Q329" s="17"/>
      <c r="S329" s="17"/>
      <c r="T329" s="17"/>
      <c r="U329" s="14"/>
      <c r="V329" s="14" t="s">
        <v>1186</v>
      </c>
      <c r="W329" s="2" t="s">
        <v>1186</v>
      </c>
      <c r="X329" s="2" t="s">
        <v>1186</v>
      </c>
      <c r="Y329" s="13"/>
      <c r="Z329" s="14">
        <v>0.0</v>
      </c>
      <c r="AA329" s="14">
        <v>0.0</v>
      </c>
      <c r="AB329" s="14">
        <v>0.0</v>
      </c>
      <c r="AC329" s="14">
        <v>0.0</v>
      </c>
      <c r="AD329" s="2">
        <v>0.0</v>
      </c>
      <c r="AE329" s="2">
        <v>0.0</v>
      </c>
      <c r="AF329" s="2" t="s">
        <v>1186</v>
      </c>
      <c r="AG329" s="2" t="s">
        <v>1186</v>
      </c>
      <c r="AH329" s="2">
        <v>0.0</v>
      </c>
    </row>
    <row r="330" ht="15.75" customHeight="1">
      <c r="B330" s="12"/>
      <c r="C330" s="13"/>
      <c r="D330" s="14"/>
      <c r="E330" s="15"/>
      <c r="G330" s="15"/>
      <c r="O330" s="15"/>
      <c r="Q330" s="17"/>
      <c r="S330" s="17"/>
      <c r="T330" s="17"/>
      <c r="U330" s="14"/>
      <c r="V330" s="14" t="s">
        <v>1186</v>
      </c>
      <c r="W330" s="2" t="s">
        <v>1186</v>
      </c>
      <c r="X330" s="2" t="s">
        <v>1186</v>
      </c>
      <c r="Y330" s="13"/>
      <c r="Z330" s="14">
        <v>0.0</v>
      </c>
      <c r="AA330" s="14">
        <v>0.0</v>
      </c>
      <c r="AB330" s="14">
        <v>0.0</v>
      </c>
      <c r="AC330" s="14">
        <v>0.0</v>
      </c>
      <c r="AD330" s="2">
        <v>0.0</v>
      </c>
      <c r="AE330" s="2">
        <v>0.0</v>
      </c>
      <c r="AF330" s="2" t="s">
        <v>1186</v>
      </c>
      <c r="AG330" s="2" t="s">
        <v>1186</v>
      </c>
      <c r="AH330" s="2">
        <v>0.0</v>
      </c>
    </row>
    <row r="331" ht="15.75" customHeight="1">
      <c r="B331" s="12"/>
      <c r="C331" s="13"/>
      <c r="D331" s="14"/>
      <c r="E331" s="15"/>
      <c r="G331" s="15"/>
      <c r="O331" s="15"/>
      <c r="Q331" s="17"/>
      <c r="S331" s="17"/>
      <c r="T331" s="17"/>
      <c r="U331" s="14"/>
      <c r="V331" s="14" t="s">
        <v>1186</v>
      </c>
      <c r="W331" s="2" t="s">
        <v>1186</v>
      </c>
      <c r="X331" s="2" t="s">
        <v>1186</v>
      </c>
      <c r="Y331" s="13"/>
      <c r="Z331" s="14">
        <v>0.0</v>
      </c>
      <c r="AA331" s="14">
        <v>0.0</v>
      </c>
      <c r="AB331" s="14">
        <v>0.0</v>
      </c>
      <c r="AC331" s="14">
        <v>0.0</v>
      </c>
      <c r="AD331" s="2">
        <v>0.0</v>
      </c>
      <c r="AE331" s="2">
        <v>0.0</v>
      </c>
      <c r="AF331" s="2" t="s">
        <v>1186</v>
      </c>
      <c r="AG331" s="2" t="s">
        <v>1186</v>
      </c>
      <c r="AH331" s="2">
        <v>0.0</v>
      </c>
    </row>
    <row r="332" ht="15.75" customHeight="1">
      <c r="B332" s="12"/>
      <c r="C332" s="13"/>
      <c r="D332" s="14"/>
      <c r="E332" s="15"/>
      <c r="G332" s="15"/>
      <c r="O332" s="15"/>
      <c r="Q332" s="17"/>
      <c r="S332" s="17"/>
      <c r="T332" s="17"/>
      <c r="U332" s="14"/>
      <c r="V332" s="14" t="s">
        <v>1186</v>
      </c>
      <c r="W332" s="2" t="s">
        <v>1186</v>
      </c>
      <c r="X332" s="2" t="s">
        <v>1186</v>
      </c>
      <c r="Y332" s="13"/>
      <c r="Z332" s="14">
        <v>0.0</v>
      </c>
      <c r="AA332" s="14">
        <v>0.0</v>
      </c>
      <c r="AB332" s="14">
        <v>0.0</v>
      </c>
      <c r="AC332" s="14">
        <v>0.0</v>
      </c>
      <c r="AD332" s="2">
        <v>0.0</v>
      </c>
      <c r="AE332" s="2">
        <v>0.0</v>
      </c>
      <c r="AF332" s="2" t="s">
        <v>1186</v>
      </c>
      <c r="AG332" s="2" t="s">
        <v>1186</v>
      </c>
      <c r="AH332" s="2">
        <v>0.0</v>
      </c>
    </row>
    <row r="333" ht="15.75" customHeight="1">
      <c r="B333" s="12"/>
      <c r="C333" s="13"/>
      <c r="D333" s="14"/>
      <c r="E333" s="15"/>
      <c r="G333" s="15"/>
      <c r="O333" s="15"/>
      <c r="Q333" s="17"/>
      <c r="S333" s="17"/>
      <c r="T333" s="17"/>
      <c r="U333" s="14"/>
      <c r="V333" s="14" t="s">
        <v>1186</v>
      </c>
      <c r="W333" s="2" t="s">
        <v>1186</v>
      </c>
      <c r="X333" s="2" t="s">
        <v>1186</v>
      </c>
      <c r="Y333" s="13"/>
      <c r="Z333" s="14">
        <v>0.0</v>
      </c>
      <c r="AA333" s="14">
        <v>0.0</v>
      </c>
      <c r="AB333" s="14">
        <v>0.0</v>
      </c>
      <c r="AC333" s="14">
        <v>0.0</v>
      </c>
      <c r="AD333" s="2">
        <v>0.0</v>
      </c>
      <c r="AE333" s="2">
        <v>0.0</v>
      </c>
      <c r="AF333" s="2" t="s">
        <v>1186</v>
      </c>
      <c r="AG333" s="2" t="s">
        <v>1186</v>
      </c>
      <c r="AH333" s="2">
        <v>0.0</v>
      </c>
    </row>
    <row r="334" ht="15.75" customHeight="1">
      <c r="B334" s="12"/>
      <c r="C334" s="13"/>
      <c r="D334" s="14"/>
      <c r="E334" s="15"/>
      <c r="G334" s="15"/>
      <c r="O334" s="15"/>
      <c r="Q334" s="17"/>
      <c r="S334" s="17"/>
      <c r="T334" s="17"/>
      <c r="U334" s="14"/>
      <c r="V334" s="14" t="s">
        <v>1186</v>
      </c>
      <c r="W334" s="2" t="s">
        <v>1186</v>
      </c>
      <c r="X334" s="2" t="s">
        <v>1186</v>
      </c>
      <c r="Y334" s="13"/>
      <c r="Z334" s="14">
        <v>0.0</v>
      </c>
      <c r="AA334" s="14">
        <v>0.0</v>
      </c>
      <c r="AB334" s="14">
        <v>0.0</v>
      </c>
      <c r="AC334" s="14">
        <v>0.0</v>
      </c>
      <c r="AD334" s="2">
        <v>0.0</v>
      </c>
      <c r="AE334" s="2">
        <v>0.0</v>
      </c>
      <c r="AF334" s="2" t="s">
        <v>1186</v>
      </c>
      <c r="AG334" s="2" t="s">
        <v>1186</v>
      </c>
      <c r="AH334" s="2">
        <v>0.0</v>
      </c>
    </row>
    <row r="335" ht="15.75" customHeight="1">
      <c r="B335" s="12"/>
      <c r="C335" s="13"/>
      <c r="D335" s="14"/>
      <c r="E335" s="15"/>
      <c r="G335" s="15"/>
      <c r="O335" s="15"/>
      <c r="Q335" s="17"/>
      <c r="S335" s="17"/>
      <c r="T335" s="17"/>
      <c r="U335" s="14"/>
      <c r="V335" s="14" t="s">
        <v>1186</v>
      </c>
      <c r="W335" s="2" t="s">
        <v>1186</v>
      </c>
      <c r="X335" s="2" t="s">
        <v>1186</v>
      </c>
      <c r="Y335" s="13"/>
      <c r="Z335" s="14">
        <v>0.0</v>
      </c>
      <c r="AA335" s="14">
        <v>0.0</v>
      </c>
      <c r="AB335" s="14">
        <v>0.0</v>
      </c>
      <c r="AC335" s="14">
        <v>0.0</v>
      </c>
      <c r="AD335" s="2">
        <v>0.0</v>
      </c>
      <c r="AE335" s="2">
        <v>0.0</v>
      </c>
      <c r="AF335" s="2" t="s">
        <v>1186</v>
      </c>
      <c r="AG335" s="2" t="s">
        <v>1186</v>
      </c>
      <c r="AH335" s="2">
        <v>0.0</v>
      </c>
    </row>
    <row r="336" ht="15.75" customHeight="1">
      <c r="B336" s="12"/>
      <c r="C336" s="13"/>
      <c r="D336" s="14"/>
      <c r="E336" s="15"/>
      <c r="G336" s="15"/>
      <c r="O336" s="15"/>
      <c r="Q336" s="17"/>
      <c r="S336" s="17"/>
      <c r="T336" s="17"/>
      <c r="U336" s="14"/>
      <c r="V336" s="14" t="s">
        <v>1186</v>
      </c>
      <c r="W336" s="2" t="s">
        <v>1186</v>
      </c>
      <c r="X336" s="2" t="s">
        <v>1186</v>
      </c>
      <c r="Y336" s="13"/>
      <c r="Z336" s="14">
        <v>0.0</v>
      </c>
      <c r="AA336" s="14">
        <v>0.0</v>
      </c>
      <c r="AB336" s="14">
        <v>0.0</v>
      </c>
      <c r="AC336" s="14">
        <v>0.0</v>
      </c>
      <c r="AD336" s="2">
        <v>0.0</v>
      </c>
      <c r="AE336" s="2">
        <v>0.0</v>
      </c>
      <c r="AF336" s="2" t="s">
        <v>1186</v>
      </c>
      <c r="AG336" s="2" t="s">
        <v>1186</v>
      </c>
      <c r="AH336" s="2">
        <v>0.0</v>
      </c>
    </row>
    <row r="337" ht="15.75" customHeight="1">
      <c r="B337" s="12"/>
      <c r="C337" s="13"/>
      <c r="D337" s="14"/>
      <c r="E337" s="15"/>
      <c r="G337" s="15"/>
      <c r="O337" s="15"/>
      <c r="Q337" s="17"/>
      <c r="S337" s="17"/>
      <c r="T337" s="17"/>
      <c r="U337" s="14"/>
      <c r="V337" s="14" t="s">
        <v>1186</v>
      </c>
      <c r="W337" s="2" t="s">
        <v>1186</v>
      </c>
      <c r="X337" s="2" t="s">
        <v>1186</v>
      </c>
      <c r="Y337" s="13"/>
      <c r="Z337" s="14">
        <v>0.0</v>
      </c>
      <c r="AA337" s="14">
        <v>0.0</v>
      </c>
      <c r="AB337" s="14">
        <v>0.0</v>
      </c>
      <c r="AC337" s="14">
        <v>0.0</v>
      </c>
      <c r="AD337" s="2">
        <v>0.0</v>
      </c>
      <c r="AE337" s="2">
        <v>0.0</v>
      </c>
      <c r="AF337" s="2" t="s">
        <v>1186</v>
      </c>
      <c r="AG337" s="2" t="s">
        <v>1186</v>
      </c>
      <c r="AH337" s="2">
        <v>0.0</v>
      </c>
    </row>
    <row r="338" ht="15.75" customHeight="1">
      <c r="B338" s="12"/>
      <c r="C338" s="13"/>
      <c r="D338" s="14"/>
      <c r="E338" s="15"/>
      <c r="G338" s="15"/>
      <c r="O338" s="15"/>
      <c r="Q338" s="17"/>
      <c r="S338" s="17"/>
      <c r="T338" s="17"/>
      <c r="U338" s="14"/>
      <c r="V338" s="14" t="s">
        <v>1186</v>
      </c>
      <c r="W338" s="2" t="s">
        <v>1186</v>
      </c>
      <c r="X338" s="2" t="s">
        <v>1186</v>
      </c>
      <c r="Y338" s="13"/>
      <c r="Z338" s="14">
        <v>0.0</v>
      </c>
      <c r="AA338" s="14">
        <v>0.0</v>
      </c>
      <c r="AB338" s="14">
        <v>0.0</v>
      </c>
      <c r="AC338" s="14">
        <v>0.0</v>
      </c>
      <c r="AD338" s="2">
        <v>0.0</v>
      </c>
      <c r="AE338" s="2">
        <v>0.0</v>
      </c>
      <c r="AF338" s="2" t="s">
        <v>1186</v>
      </c>
      <c r="AG338" s="2" t="s">
        <v>1186</v>
      </c>
      <c r="AH338" s="2">
        <v>0.0</v>
      </c>
    </row>
    <row r="339" ht="15.75" customHeight="1">
      <c r="B339" s="12"/>
      <c r="C339" s="13"/>
      <c r="D339" s="14"/>
      <c r="E339" s="15"/>
      <c r="G339" s="15"/>
      <c r="O339" s="15"/>
      <c r="Q339" s="17"/>
      <c r="S339" s="17"/>
      <c r="T339" s="17"/>
      <c r="U339" s="14"/>
      <c r="V339" s="14" t="s">
        <v>1186</v>
      </c>
      <c r="W339" s="2" t="s">
        <v>1186</v>
      </c>
      <c r="X339" s="2" t="s">
        <v>1186</v>
      </c>
      <c r="Y339" s="13"/>
      <c r="Z339" s="14">
        <v>0.0</v>
      </c>
      <c r="AA339" s="14">
        <v>0.0</v>
      </c>
      <c r="AB339" s="14">
        <v>0.0</v>
      </c>
      <c r="AC339" s="14">
        <v>0.0</v>
      </c>
      <c r="AD339" s="2">
        <v>0.0</v>
      </c>
      <c r="AE339" s="2">
        <v>0.0</v>
      </c>
      <c r="AF339" s="2" t="s">
        <v>1186</v>
      </c>
      <c r="AG339" s="2" t="s">
        <v>1186</v>
      </c>
      <c r="AH339" s="2">
        <v>0.0</v>
      </c>
    </row>
    <row r="340" ht="15.75" customHeight="1">
      <c r="B340" s="12"/>
      <c r="C340" s="13"/>
      <c r="D340" s="14"/>
      <c r="E340" s="15"/>
      <c r="G340" s="15"/>
      <c r="O340" s="15"/>
      <c r="Q340" s="17"/>
      <c r="S340" s="17"/>
      <c r="T340" s="17"/>
      <c r="U340" s="14"/>
      <c r="V340" s="14" t="s">
        <v>1186</v>
      </c>
      <c r="W340" s="2" t="s">
        <v>1186</v>
      </c>
      <c r="X340" s="2" t="s">
        <v>1186</v>
      </c>
      <c r="Y340" s="13"/>
      <c r="Z340" s="14">
        <v>0.0</v>
      </c>
      <c r="AA340" s="14">
        <v>0.0</v>
      </c>
      <c r="AB340" s="14">
        <v>0.0</v>
      </c>
      <c r="AC340" s="14">
        <v>0.0</v>
      </c>
      <c r="AD340" s="2">
        <v>0.0</v>
      </c>
      <c r="AE340" s="2">
        <v>0.0</v>
      </c>
      <c r="AF340" s="2" t="s">
        <v>1186</v>
      </c>
      <c r="AG340" s="2" t="s">
        <v>1186</v>
      </c>
      <c r="AH340" s="2">
        <v>0.0</v>
      </c>
    </row>
    <row r="341" ht="15.75" customHeight="1">
      <c r="B341" s="12"/>
      <c r="C341" s="13"/>
      <c r="D341" s="14"/>
      <c r="E341" s="15"/>
      <c r="G341" s="15"/>
      <c r="O341" s="15"/>
      <c r="Q341" s="17"/>
      <c r="S341" s="17"/>
      <c r="T341" s="17"/>
      <c r="U341" s="14"/>
      <c r="V341" s="14" t="s">
        <v>1186</v>
      </c>
      <c r="W341" s="2" t="s">
        <v>1186</v>
      </c>
      <c r="X341" s="2" t="s">
        <v>1186</v>
      </c>
      <c r="Y341" s="13"/>
      <c r="Z341" s="14">
        <v>0.0</v>
      </c>
      <c r="AA341" s="14">
        <v>0.0</v>
      </c>
      <c r="AB341" s="14">
        <v>0.0</v>
      </c>
      <c r="AC341" s="14">
        <v>0.0</v>
      </c>
      <c r="AD341" s="2">
        <v>0.0</v>
      </c>
      <c r="AE341" s="2">
        <v>0.0</v>
      </c>
      <c r="AF341" s="2" t="s">
        <v>1186</v>
      </c>
      <c r="AG341" s="2" t="s">
        <v>1186</v>
      </c>
      <c r="AH341" s="2">
        <v>0.0</v>
      </c>
    </row>
    <row r="342" ht="15.75" customHeight="1">
      <c r="B342" s="12"/>
      <c r="C342" s="13"/>
      <c r="D342" s="14"/>
      <c r="E342" s="15"/>
      <c r="G342" s="15"/>
      <c r="O342" s="15"/>
      <c r="Q342" s="17"/>
      <c r="S342" s="17"/>
      <c r="T342" s="17"/>
      <c r="U342" s="14"/>
      <c r="V342" s="14" t="s">
        <v>1186</v>
      </c>
      <c r="W342" s="2" t="s">
        <v>1186</v>
      </c>
      <c r="X342" s="2" t="s">
        <v>1186</v>
      </c>
      <c r="Y342" s="13"/>
      <c r="Z342" s="14">
        <v>0.0</v>
      </c>
      <c r="AA342" s="14">
        <v>0.0</v>
      </c>
      <c r="AB342" s="14">
        <v>0.0</v>
      </c>
      <c r="AC342" s="14">
        <v>0.0</v>
      </c>
      <c r="AD342" s="2">
        <v>0.0</v>
      </c>
      <c r="AE342" s="2">
        <v>0.0</v>
      </c>
      <c r="AF342" s="2" t="s">
        <v>1186</v>
      </c>
      <c r="AG342" s="2" t="s">
        <v>1186</v>
      </c>
      <c r="AH342" s="2">
        <v>0.0</v>
      </c>
    </row>
    <row r="343" ht="15.75" customHeight="1">
      <c r="B343" s="12"/>
      <c r="C343" s="13"/>
      <c r="D343" s="14"/>
      <c r="E343" s="15"/>
      <c r="G343" s="15"/>
      <c r="O343" s="15"/>
      <c r="Q343" s="17"/>
      <c r="S343" s="17"/>
      <c r="T343" s="17"/>
      <c r="U343" s="14"/>
      <c r="V343" s="14" t="s">
        <v>1186</v>
      </c>
      <c r="W343" s="2" t="s">
        <v>1186</v>
      </c>
      <c r="X343" s="2" t="s">
        <v>1186</v>
      </c>
      <c r="Y343" s="13"/>
      <c r="Z343" s="14">
        <v>0.0</v>
      </c>
      <c r="AA343" s="14">
        <v>0.0</v>
      </c>
      <c r="AB343" s="14">
        <v>0.0</v>
      </c>
      <c r="AC343" s="14">
        <v>0.0</v>
      </c>
      <c r="AD343" s="2">
        <v>0.0</v>
      </c>
      <c r="AE343" s="2">
        <v>0.0</v>
      </c>
      <c r="AF343" s="2" t="s">
        <v>1186</v>
      </c>
      <c r="AG343" s="2" t="s">
        <v>1186</v>
      </c>
      <c r="AH343" s="2">
        <v>0.0</v>
      </c>
    </row>
    <row r="344" ht="15.75" customHeight="1">
      <c r="B344" s="12"/>
      <c r="C344" s="13"/>
      <c r="D344" s="14"/>
      <c r="E344" s="15"/>
      <c r="G344" s="15"/>
      <c r="O344" s="15"/>
      <c r="Q344" s="17"/>
      <c r="S344" s="17"/>
      <c r="T344" s="17"/>
      <c r="U344" s="14"/>
      <c r="V344" s="14" t="s">
        <v>1186</v>
      </c>
      <c r="W344" s="2" t="s">
        <v>1186</v>
      </c>
      <c r="X344" s="2" t="s">
        <v>1186</v>
      </c>
      <c r="Y344" s="13"/>
      <c r="Z344" s="14">
        <v>0.0</v>
      </c>
      <c r="AA344" s="14">
        <v>0.0</v>
      </c>
      <c r="AB344" s="14">
        <v>0.0</v>
      </c>
      <c r="AC344" s="14">
        <v>0.0</v>
      </c>
      <c r="AD344" s="2">
        <v>0.0</v>
      </c>
      <c r="AE344" s="2">
        <v>0.0</v>
      </c>
      <c r="AF344" s="2" t="s">
        <v>1186</v>
      </c>
      <c r="AG344" s="2" t="s">
        <v>1186</v>
      </c>
      <c r="AH344" s="2">
        <v>0.0</v>
      </c>
    </row>
    <row r="345" ht="15.75" customHeight="1">
      <c r="B345" s="12"/>
      <c r="C345" s="13"/>
      <c r="D345" s="14"/>
      <c r="E345" s="15"/>
      <c r="G345" s="15"/>
      <c r="O345" s="15"/>
      <c r="Q345" s="17"/>
      <c r="S345" s="17"/>
      <c r="T345" s="17"/>
      <c r="U345" s="14"/>
      <c r="V345" s="14" t="s">
        <v>1186</v>
      </c>
      <c r="W345" s="2" t="s">
        <v>1186</v>
      </c>
      <c r="X345" s="2" t="s">
        <v>1186</v>
      </c>
      <c r="Y345" s="13"/>
      <c r="Z345" s="14">
        <v>0.0</v>
      </c>
      <c r="AA345" s="14">
        <v>0.0</v>
      </c>
      <c r="AB345" s="14">
        <v>0.0</v>
      </c>
      <c r="AC345" s="14">
        <v>0.0</v>
      </c>
      <c r="AD345" s="2">
        <v>0.0</v>
      </c>
      <c r="AE345" s="2">
        <v>0.0</v>
      </c>
      <c r="AF345" s="2" t="s">
        <v>1186</v>
      </c>
      <c r="AG345" s="2" t="s">
        <v>1186</v>
      </c>
      <c r="AH345" s="2">
        <v>0.0</v>
      </c>
    </row>
    <row r="346" ht="15.75" customHeight="1">
      <c r="B346" s="12"/>
      <c r="C346" s="13"/>
      <c r="D346" s="14"/>
      <c r="E346" s="15"/>
      <c r="G346" s="15"/>
      <c r="O346" s="15"/>
      <c r="Q346" s="17"/>
      <c r="S346" s="17"/>
      <c r="T346" s="17"/>
      <c r="U346" s="14"/>
      <c r="V346" s="14" t="s">
        <v>1186</v>
      </c>
      <c r="W346" s="2" t="s">
        <v>1186</v>
      </c>
      <c r="X346" s="2" t="s">
        <v>1186</v>
      </c>
      <c r="Y346" s="13"/>
      <c r="Z346" s="14">
        <v>0.0</v>
      </c>
      <c r="AA346" s="14">
        <v>0.0</v>
      </c>
      <c r="AB346" s="14">
        <v>0.0</v>
      </c>
      <c r="AC346" s="14">
        <v>0.0</v>
      </c>
      <c r="AD346" s="2">
        <v>0.0</v>
      </c>
      <c r="AE346" s="2">
        <v>0.0</v>
      </c>
      <c r="AF346" s="2" t="s">
        <v>1186</v>
      </c>
      <c r="AG346" s="2" t="s">
        <v>1186</v>
      </c>
      <c r="AH346" s="2">
        <v>0.0</v>
      </c>
    </row>
    <row r="347" ht="15.75" customHeight="1">
      <c r="B347" s="12"/>
      <c r="C347" s="13"/>
      <c r="D347" s="14"/>
      <c r="E347" s="15"/>
      <c r="G347" s="15"/>
      <c r="O347" s="15"/>
      <c r="Q347" s="17"/>
      <c r="S347" s="17"/>
      <c r="T347" s="17"/>
      <c r="U347" s="14"/>
      <c r="V347" s="14" t="s">
        <v>1186</v>
      </c>
      <c r="W347" s="2" t="s">
        <v>1186</v>
      </c>
      <c r="X347" s="2" t="s">
        <v>1186</v>
      </c>
      <c r="Y347" s="13"/>
      <c r="Z347" s="14">
        <v>0.0</v>
      </c>
      <c r="AA347" s="14">
        <v>0.0</v>
      </c>
      <c r="AB347" s="14">
        <v>0.0</v>
      </c>
      <c r="AC347" s="14">
        <v>0.0</v>
      </c>
      <c r="AD347" s="2">
        <v>0.0</v>
      </c>
      <c r="AE347" s="2">
        <v>0.0</v>
      </c>
      <c r="AF347" s="2" t="s">
        <v>1186</v>
      </c>
      <c r="AG347" s="2" t="s">
        <v>1186</v>
      </c>
      <c r="AH347" s="2">
        <v>0.0</v>
      </c>
    </row>
    <row r="348" ht="15.75" customHeight="1">
      <c r="B348" s="12"/>
      <c r="C348" s="13"/>
      <c r="D348" s="14"/>
      <c r="E348" s="15"/>
      <c r="G348" s="15"/>
      <c r="O348" s="15"/>
      <c r="Q348" s="17"/>
      <c r="S348" s="17"/>
      <c r="T348" s="17"/>
      <c r="U348" s="14"/>
      <c r="V348" s="14" t="s">
        <v>1186</v>
      </c>
      <c r="W348" s="2" t="s">
        <v>1186</v>
      </c>
      <c r="X348" s="2" t="s">
        <v>1186</v>
      </c>
      <c r="Y348" s="13"/>
      <c r="Z348" s="14">
        <v>0.0</v>
      </c>
      <c r="AA348" s="14">
        <v>0.0</v>
      </c>
      <c r="AB348" s="14">
        <v>0.0</v>
      </c>
      <c r="AC348" s="14">
        <v>0.0</v>
      </c>
      <c r="AD348" s="2">
        <v>0.0</v>
      </c>
      <c r="AE348" s="2">
        <v>0.0</v>
      </c>
      <c r="AF348" s="2" t="s">
        <v>1186</v>
      </c>
      <c r="AG348" s="2" t="s">
        <v>1186</v>
      </c>
      <c r="AH348" s="2">
        <v>0.0</v>
      </c>
    </row>
    <row r="349" ht="15.75" customHeight="1">
      <c r="B349" s="12"/>
      <c r="C349" s="13"/>
      <c r="D349" s="14"/>
      <c r="E349" s="15"/>
      <c r="G349" s="15"/>
      <c r="O349" s="15"/>
      <c r="Q349" s="17"/>
      <c r="S349" s="17"/>
      <c r="T349" s="17"/>
      <c r="U349" s="14"/>
      <c r="V349" s="14" t="s">
        <v>1186</v>
      </c>
      <c r="W349" s="2" t="s">
        <v>1186</v>
      </c>
      <c r="X349" s="2" t="s">
        <v>1186</v>
      </c>
      <c r="Y349" s="13"/>
      <c r="Z349" s="14">
        <v>0.0</v>
      </c>
      <c r="AA349" s="14">
        <v>0.0</v>
      </c>
      <c r="AB349" s="14">
        <v>0.0</v>
      </c>
      <c r="AC349" s="14">
        <v>0.0</v>
      </c>
      <c r="AD349" s="2">
        <v>0.0</v>
      </c>
      <c r="AE349" s="2">
        <v>0.0</v>
      </c>
      <c r="AF349" s="2" t="s">
        <v>1186</v>
      </c>
      <c r="AG349" s="2" t="s">
        <v>1186</v>
      </c>
      <c r="AH349" s="2">
        <v>0.0</v>
      </c>
    </row>
    <row r="350" ht="15.75" customHeight="1">
      <c r="B350" s="12"/>
      <c r="C350" s="13"/>
      <c r="D350" s="14"/>
      <c r="E350" s="15"/>
      <c r="G350" s="15"/>
      <c r="O350" s="15"/>
      <c r="Q350" s="17"/>
      <c r="S350" s="17"/>
      <c r="T350" s="17"/>
      <c r="U350" s="14"/>
      <c r="V350" s="14" t="s">
        <v>1186</v>
      </c>
      <c r="W350" s="2" t="s">
        <v>1186</v>
      </c>
      <c r="X350" s="2" t="s">
        <v>1186</v>
      </c>
      <c r="Y350" s="13"/>
      <c r="Z350" s="14">
        <v>0.0</v>
      </c>
      <c r="AA350" s="14">
        <v>0.0</v>
      </c>
      <c r="AB350" s="14">
        <v>0.0</v>
      </c>
      <c r="AC350" s="14">
        <v>0.0</v>
      </c>
      <c r="AD350" s="2">
        <v>0.0</v>
      </c>
      <c r="AE350" s="2">
        <v>0.0</v>
      </c>
      <c r="AF350" s="2" t="s">
        <v>1186</v>
      </c>
      <c r="AG350" s="2" t="s">
        <v>1186</v>
      </c>
      <c r="AH350" s="2">
        <v>0.0</v>
      </c>
    </row>
    <row r="351" ht="15.75" customHeight="1">
      <c r="B351" s="12"/>
      <c r="C351" s="13"/>
      <c r="D351" s="14"/>
      <c r="E351" s="15"/>
      <c r="G351" s="15"/>
      <c r="O351" s="15"/>
      <c r="Q351" s="17"/>
      <c r="S351" s="17"/>
      <c r="T351" s="17"/>
      <c r="U351" s="14"/>
      <c r="V351" s="14" t="s">
        <v>1186</v>
      </c>
      <c r="W351" s="2" t="s">
        <v>1186</v>
      </c>
      <c r="X351" s="2" t="s">
        <v>1186</v>
      </c>
      <c r="Y351" s="13"/>
      <c r="Z351" s="14">
        <v>0.0</v>
      </c>
      <c r="AA351" s="14">
        <v>0.0</v>
      </c>
      <c r="AB351" s="14">
        <v>0.0</v>
      </c>
      <c r="AC351" s="14">
        <v>0.0</v>
      </c>
      <c r="AD351" s="2">
        <v>0.0</v>
      </c>
      <c r="AE351" s="2">
        <v>0.0</v>
      </c>
      <c r="AF351" s="2" t="s">
        <v>1186</v>
      </c>
      <c r="AG351" s="2" t="s">
        <v>1186</v>
      </c>
      <c r="AH351" s="2">
        <v>0.0</v>
      </c>
    </row>
    <row r="352" ht="15.75" customHeight="1">
      <c r="B352" s="12"/>
      <c r="C352" s="13"/>
      <c r="D352" s="14"/>
      <c r="E352" s="15"/>
      <c r="G352" s="15"/>
      <c r="O352" s="15"/>
      <c r="Q352" s="17"/>
      <c r="S352" s="17"/>
      <c r="T352" s="17"/>
      <c r="U352" s="14"/>
      <c r="V352" s="14" t="s">
        <v>1186</v>
      </c>
      <c r="W352" s="2" t="s">
        <v>1186</v>
      </c>
      <c r="X352" s="2" t="s">
        <v>1186</v>
      </c>
      <c r="Y352" s="13"/>
      <c r="Z352" s="14">
        <v>0.0</v>
      </c>
      <c r="AA352" s="14">
        <v>0.0</v>
      </c>
      <c r="AB352" s="14">
        <v>0.0</v>
      </c>
      <c r="AC352" s="14">
        <v>0.0</v>
      </c>
      <c r="AD352" s="2">
        <v>0.0</v>
      </c>
      <c r="AE352" s="2">
        <v>0.0</v>
      </c>
      <c r="AF352" s="2" t="s">
        <v>1186</v>
      </c>
      <c r="AG352" s="2" t="s">
        <v>1186</v>
      </c>
      <c r="AH352" s="2">
        <v>0.0</v>
      </c>
    </row>
    <row r="353" ht="15.75" customHeight="1">
      <c r="B353" s="12"/>
      <c r="C353" s="13"/>
      <c r="D353" s="14"/>
      <c r="E353" s="15"/>
      <c r="G353" s="15"/>
      <c r="O353" s="15"/>
      <c r="Q353" s="17"/>
      <c r="S353" s="17"/>
      <c r="T353" s="17"/>
      <c r="U353" s="14"/>
      <c r="V353" s="14" t="s">
        <v>1186</v>
      </c>
      <c r="W353" s="2" t="s">
        <v>1186</v>
      </c>
      <c r="X353" s="2" t="s">
        <v>1186</v>
      </c>
      <c r="Y353" s="13"/>
      <c r="Z353" s="14">
        <v>0.0</v>
      </c>
      <c r="AA353" s="14">
        <v>0.0</v>
      </c>
      <c r="AB353" s="14">
        <v>0.0</v>
      </c>
      <c r="AC353" s="14">
        <v>0.0</v>
      </c>
      <c r="AD353" s="2">
        <v>0.0</v>
      </c>
      <c r="AE353" s="2">
        <v>0.0</v>
      </c>
      <c r="AF353" s="2" t="s">
        <v>1186</v>
      </c>
      <c r="AG353" s="2" t="s">
        <v>1186</v>
      </c>
      <c r="AH353" s="2">
        <v>0.0</v>
      </c>
    </row>
    <row r="354" ht="15.75" customHeight="1">
      <c r="B354" s="12"/>
      <c r="C354" s="13"/>
      <c r="D354" s="14"/>
      <c r="E354" s="15"/>
      <c r="G354" s="15"/>
      <c r="O354" s="15"/>
      <c r="Q354" s="17"/>
      <c r="S354" s="17"/>
      <c r="T354" s="17"/>
      <c r="U354" s="14"/>
      <c r="V354" s="14" t="s">
        <v>1186</v>
      </c>
      <c r="W354" s="2" t="s">
        <v>1186</v>
      </c>
      <c r="X354" s="2" t="s">
        <v>1186</v>
      </c>
      <c r="Y354" s="13"/>
      <c r="Z354" s="14">
        <v>0.0</v>
      </c>
      <c r="AA354" s="14">
        <v>0.0</v>
      </c>
      <c r="AB354" s="14">
        <v>0.0</v>
      </c>
      <c r="AC354" s="14">
        <v>0.0</v>
      </c>
      <c r="AD354" s="2">
        <v>0.0</v>
      </c>
      <c r="AE354" s="2">
        <v>0.0</v>
      </c>
      <c r="AF354" s="2" t="s">
        <v>1186</v>
      </c>
      <c r="AG354" s="2" t="s">
        <v>1186</v>
      </c>
      <c r="AH354" s="2">
        <v>0.0</v>
      </c>
    </row>
    <row r="355" ht="15.75" customHeight="1">
      <c r="B355" s="12"/>
      <c r="C355" s="13"/>
      <c r="D355" s="14"/>
      <c r="E355" s="15"/>
      <c r="G355" s="15"/>
      <c r="O355" s="15"/>
      <c r="Q355" s="17"/>
      <c r="S355" s="17"/>
      <c r="T355" s="17"/>
      <c r="U355" s="14"/>
      <c r="V355" s="14" t="s">
        <v>1186</v>
      </c>
      <c r="W355" s="2" t="s">
        <v>1186</v>
      </c>
      <c r="X355" s="2" t="s">
        <v>1186</v>
      </c>
      <c r="Y355" s="13"/>
      <c r="Z355" s="14">
        <v>0.0</v>
      </c>
      <c r="AA355" s="14">
        <v>0.0</v>
      </c>
      <c r="AB355" s="14">
        <v>0.0</v>
      </c>
      <c r="AC355" s="14">
        <v>0.0</v>
      </c>
      <c r="AD355" s="2">
        <v>0.0</v>
      </c>
      <c r="AE355" s="2">
        <v>0.0</v>
      </c>
      <c r="AF355" s="2" t="s">
        <v>1186</v>
      </c>
      <c r="AG355" s="2" t="s">
        <v>1186</v>
      </c>
      <c r="AH355" s="2">
        <v>0.0</v>
      </c>
    </row>
    <row r="356" ht="15.75" customHeight="1">
      <c r="B356" s="12"/>
      <c r="C356" s="13"/>
      <c r="D356" s="14"/>
      <c r="E356" s="15"/>
      <c r="G356" s="15"/>
      <c r="O356" s="15"/>
      <c r="Q356" s="17"/>
      <c r="S356" s="17"/>
      <c r="T356" s="17"/>
      <c r="U356" s="14"/>
      <c r="V356" s="14" t="s">
        <v>1186</v>
      </c>
      <c r="W356" s="2" t="s">
        <v>1186</v>
      </c>
      <c r="X356" s="2" t="s">
        <v>1186</v>
      </c>
      <c r="Y356" s="13"/>
      <c r="Z356" s="14">
        <v>0.0</v>
      </c>
      <c r="AA356" s="14">
        <v>0.0</v>
      </c>
      <c r="AB356" s="14">
        <v>0.0</v>
      </c>
      <c r="AC356" s="14">
        <v>0.0</v>
      </c>
      <c r="AD356" s="2">
        <v>0.0</v>
      </c>
      <c r="AE356" s="2">
        <v>0.0</v>
      </c>
      <c r="AF356" s="2" t="s">
        <v>1186</v>
      </c>
      <c r="AG356" s="2" t="s">
        <v>1186</v>
      </c>
      <c r="AH356" s="2">
        <v>0.0</v>
      </c>
    </row>
    <row r="357" ht="15.75" customHeight="1">
      <c r="B357" s="12"/>
      <c r="C357" s="13"/>
      <c r="D357" s="14"/>
      <c r="E357" s="15"/>
      <c r="G357" s="15"/>
      <c r="O357" s="15"/>
      <c r="Q357" s="17"/>
      <c r="S357" s="17"/>
      <c r="T357" s="17"/>
      <c r="U357" s="14"/>
      <c r="V357" s="14" t="s">
        <v>1186</v>
      </c>
      <c r="W357" s="2" t="s">
        <v>1186</v>
      </c>
      <c r="X357" s="2" t="s">
        <v>1186</v>
      </c>
      <c r="Y357" s="13"/>
      <c r="Z357" s="14">
        <v>0.0</v>
      </c>
      <c r="AA357" s="14">
        <v>0.0</v>
      </c>
      <c r="AB357" s="14">
        <v>0.0</v>
      </c>
      <c r="AC357" s="14">
        <v>0.0</v>
      </c>
      <c r="AD357" s="2">
        <v>0.0</v>
      </c>
      <c r="AE357" s="2">
        <v>0.0</v>
      </c>
      <c r="AF357" s="2" t="s">
        <v>1186</v>
      </c>
      <c r="AG357" s="2" t="s">
        <v>1186</v>
      </c>
      <c r="AH357" s="2">
        <v>0.0</v>
      </c>
    </row>
    <row r="358" ht="15.75" customHeight="1">
      <c r="B358" s="12"/>
      <c r="C358" s="13"/>
      <c r="D358" s="14"/>
      <c r="E358" s="15"/>
      <c r="G358" s="15"/>
      <c r="O358" s="15"/>
      <c r="Q358" s="17"/>
      <c r="S358" s="17"/>
      <c r="T358" s="17"/>
      <c r="U358" s="14"/>
      <c r="V358" s="14" t="s">
        <v>1186</v>
      </c>
      <c r="W358" s="2" t="s">
        <v>1186</v>
      </c>
      <c r="X358" s="2" t="s">
        <v>1186</v>
      </c>
      <c r="Y358" s="13"/>
      <c r="Z358" s="14">
        <v>0.0</v>
      </c>
      <c r="AA358" s="14">
        <v>0.0</v>
      </c>
      <c r="AB358" s="14">
        <v>0.0</v>
      </c>
      <c r="AC358" s="14">
        <v>0.0</v>
      </c>
      <c r="AD358" s="2">
        <v>0.0</v>
      </c>
      <c r="AE358" s="2">
        <v>0.0</v>
      </c>
      <c r="AF358" s="2" t="s">
        <v>1186</v>
      </c>
      <c r="AG358" s="2" t="s">
        <v>1186</v>
      </c>
      <c r="AH358" s="2">
        <v>0.0</v>
      </c>
    </row>
    <row r="359" ht="15.75" customHeight="1">
      <c r="B359" s="12"/>
      <c r="C359" s="13"/>
      <c r="D359" s="14"/>
      <c r="E359" s="15"/>
      <c r="G359" s="15"/>
      <c r="O359" s="15"/>
      <c r="Q359" s="17"/>
      <c r="S359" s="17"/>
      <c r="T359" s="17"/>
      <c r="U359" s="14"/>
      <c r="V359" s="14" t="s">
        <v>1186</v>
      </c>
      <c r="W359" s="2" t="s">
        <v>1186</v>
      </c>
      <c r="X359" s="2" t="s">
        <v>1186</v>
      </c>
      <c r="Y359" s="13"/>
      <c r="Z359" s="14">
        <v>0.0</v>
      </c>
      <c r="AA359" s="14">
        <v>0.0</v>
      </c>
      <c r="AB359" s="14">
        <v>0.0</v>
      </c>
      <c r="AC359" s="14">
        <v>0.0</v>
      </c>
      <c r="AD359" s="2">
        <v>0.0</v>
      </c>
      <c r="AE359" s="2">
        <v>0.0</v>
      </c>
      <c r="AF359" s="2" t="s">
        <v>1186</v>
      </c>
      <c r="AG359" s="2" t="s">
        <v>1186</v>
      </c>
      <c r="AH359" s="2">
        <v>0.0</v>
      </c>
    </row>
    <row r="360" ht="15.75" customHeight="1">
      <c r="B360" s="12"/>
      <c r="C360" s="13"/>
      <c r="D360" s="14"/>
      <c r="E360" s="15"/>
      <c r="G360" s="15"/>
      <c r="O360" s="15"/>
      <c r="Q360" s="17"/>
      <c r="S360" s="17"/>
      <c r="T360" s="17"/>
      <c r="U360" s="14"/>
      <c r="V360" s="14" t="s">
        <v>1186</v>
      </c>
      <c r="W360" s="2" t="s">
        <v>1186</v>
      </c>
      <c r="X360" s="2" t="s">
        <v>1186</v>
      </c>
      <c r="Y360" s="13"/>
      <c r="Z360" s="14">
        <v>0.0</v>
      </c>
      <c r="AA360" s="14">
        <v>0.0</v>
      </c>
      <c r="AB360" s="14">
        <v>0.0</v>
      </c>
      <c r="AC360" s="14">
        <v>0.0</v>
      </c>
      <c r="AD360" s="2">
        <v>0.0</v>
      </c>
      <c r="AE360" s="2">
        <v>0.0</v>
      </c>
      <c r="AF360" s="2" t="s">
        <v>1186</v>
      </c>
      <c r="AG360" s="2" t="s">
        <v>1186</v>
      </c>
      <c r="AH360" s="2">
        <v>0.0</v>
      </c>
    </row>
    <row r="361" ht="15.75" customHeight="1">
      <c r="B361" s="12"/>
      <c r="C361" s="13"/>
      <c r="D361" s="14"/>
      <c r="E361" s="15"/>
      <c r="G361" s="15"/>
      <c r="O361" s="15"/>
      <c r="Q361" s="17"/>
      <c r="S361" s="17"/>
      <c r="T361" s="17"/>
      <c r="U361" s="14"/>
      <c r="V361" s="14" t="s">
        <v>1186</v>
      </c>
      <c r="W361" s="2" t="s">
        <v>1186</v>
      </c>
      <c r="X361" s="2" t="s">
        <v>1186</v>
      </c>
      <c r="Y361" s="13"/>
      <c r="Z361" s="14">
        <v>0.0</v>
      </c>
      <c r="AA361" s="14">
        <v>0.0</v>
      </c>
      <c r="AB361" s="14">
        <v>0.0</v>
      </c>
      <c r="AC361" s="14">
        <v>0.0</v>
      </c>
      <c r="AD361" s="2">
        <v>0.0</v>
      </c>
      <c r="AE361" s="2">
        <v>0.0</v>
      </c>
      <c r="AF361" s="2" t="s">
        <v>1186</v>
      </c>
      <c r="AG361" s="2" t="s">
        <v>1186</v>
      </c>
      <c r="AH361" s="2">
        <v>0.0</v>
      </c>
    </row>
    <row r="362" ht="15.75" customHeight="1">
      <c r="B362" s="12"/>
      <c r="C362" s="13"/>
      <c r="D362" s="14"/>
      <c r="E362" s="15"/>
      <c r="G362" s="15"/>
      <c r="O362" s="15"/>
      <c r="Q362" s="17"/>
      <c r="S362" s="17"/>
      <c r="T362" s="17"/>
      <c r="U362" s="14"/>
      <c r="V362" s="14" t="s">
        <v>1186</v>
      </c>
      <c r="W362" s="2" t="s">
        <v>1186</v>
      </c>
      <c r="X362" s="2" t="s">
        <v>1186</v>
      </c>
      <c r="Y362" s="13"/>
      <c r="Z362" s="14">
        <v>0.0</v>
      </c>
      <c r="AA362" s="14">
        <v>0.0</v>
      </c>
      <c r="AB362" s="14">
        <v>0.0</v>
      </c>
      <c r="AC362" s="14">
        <v>0.0</v>
      </c>
      <c r="AD362" s="2">
        <v>0.0</v>
      </c>
      <c r="AE362" s="2">
        <v>0.0</v>
      </c>
      <c r="AF362" s="2" t="s">
        <v>1186</v>
      </c>
      <c r="AG362" s="2" t="s">
        <v>1186</v>
      </c>
      <c r="AH362" s="2">
        <v>0.0</v>
      </c>
    </row>
    <row r="363" ht="15.75" customHeight="1">
      <c r="B363" s="12"/>
      <c r="C363" s="13"/>
      <c r="D363" s="14"/>
      <c r="E363" s="15"/>
      <c r="G363" s="15"/>
      <c r="O363" s="15"/>
      <c r="Q363" s="17"/>
      <c r="S363" s="17"/>
      <c r="T363" s="17"/>
      <c r="U363" s="14"/>
      <c r="V363" s="14" t="s">
        <v>1186</v>
      </c>
      <c r="W363" s="2" t="s">
        <v>1186</v>
      </c>
      <c r="X363" s="2" t="s">
        <v>1186</v>
      </c>
      <c r="Y363" s="13"/>
      <c r="Z363" s="14">
        <v>0.0</v>
      </c>
      <c r="AA363" s="14">
        <v>0.0</v>
      </c>
      <c r="AB363" s="14">
        <v>0.0</v>
      </c>
      <c r="AC363" s="14">
        <v>0.0</v>
      </c>
      <c r="AD363" s="2">
        <v>0.0</v>
      </c>
      <c r="AE363" s="2">
        <v>0.0</v>
      </c>
      <c r="AF363" s="2" t="s">
        <v>1186</v>
      </c>
      <c r="AG363" s="2" t="s">
        <v>1186</v>
      </c>
      <c r="AH363" s="2">
        <v>0.0</v>
      </c>
    </row>
    <row r="364" ht="15.75" customHeight="1">
      <c r="B364" s="12"/>
      <c r="C364" s="13"/>
      <c r="D364" s="14"/>
      <c r="E364" s="15"/>
      <c r="G364" s="15"/>
      <c r="O364" s="15"/>
      <c r="Q364" s="17"/>
      <c r="S364" s="17"/>
      <c r="T364" s="17"/>
      <c r="U364" s="14"/>
      <c r="V364" s="14" t="s">
        <v>1186</v>
      </c>
      <c r="W364" s="2" t="s">
        <v>1186</v>
      </c>
      <c r="X364" s="2" t="s">
        <v>1186</v>
      </c>
      <c r="Y364" s="13"/>
      <c r="Z364" s="14">
        <v>0.0</v>
      </c>
      <c r="AA364" s="14">
        <v>0.0</v>
      </c>
      <c r="AB364" s="14">
        <v>0.0</v>
      </c>
      <c r="AC364" s="14">
        <v>0.0</v>
      </c>
      <c r="AD364" s="2">
        <v>0.0</v>
      </c>
      <c r="AE364" s="2">
        <v>0.0</v>
      </c>
      <c r="AF364" s="2" t="s">
        <v>1186</v>
      </c>
      <c r="AG364" s="2" t="s">
        <v>1186</v>
      </c>
      <c r="AH364" s="2">
        <v>0.0</v>
      </c>
    </row>
    <row r="365" ht="15.75" customHeight="1">
      <c r="B365" s="12"/>
      <c r="C365" s="13"/>
      <c r="D365" s="14"/>
      <c r="E365" s="15"/>
      <c r="G365" s="15"/>
      <c r="O365" s="15"/>
      <c r="Q365" s="17"/>
      <c r="S365" s="17"/>
      <c r="T365" s="17"/>
      <c r="U365" s="14"/>
      <c r="V365" s="14" t="s">
        <v>1186</v>
      </c>
      <c r="W365" s="2" t="s">
        <v>1186</v>
      </c>
      <c r="X365" s="2" t="s">
        <v>1186</v>
      </c>
      <c r="Y365" s="13"/>
      <c r="Z365" s="14">
        <v>0.0</v>
      </c>
      <c r="AA365" s="14">
        <v>0.0</v>
      </c>
      <c r="AB365" s="14">
        <v>0.0</v>
      </c>
      <c r="AC365" s="14">
        <v>0.0</v>
      </c>
      <c r="AD365" s="2">
        <v>0.0</v>
      </c>
      <c r="AE365" s="2">
        <v>0.0</v>
      </c>
      <c r="AF365" s="2" t="s">
        <v>1186</v>
      </c>
      <c r="AG365" s="2" t="s">
        <v>1186</v>
      </c>
      <c r="AH365" s="2">
        <v>0.0</v>
      </c>
    </row>
    <row r="366" ht="15.75" customHeight="1">
      <c r="B366" s="12"/>
      <c r="C366" s="13"/>
      <c r="D366" s="14"/>
      <c r="E366" s="15"/>
      <c r="G366" s="15"/>
      <c r="O366" s="15"/>
      <c r="Q366" s="17"/>
      <c r="S366" s="17"/>
      <c r="T366" s="17"/>
      <c r="U366" s="14"/>
      <c r="V366" s="14" t="s">
        <v>1186</v>
      </c>
      <c r="W366" s="2" t="s">
        <v>1186</v>
      </c>
      <c r="X366" s="2" t="s">
        <v>1186</v>
      </c>
      <c r="Y366" s="13"/>
      <c r="Z366" s="14">
        <v>0.0</v>
      </c>
      <c r="AA366" s="14">
        <v>0.0</v>
      </c>
      <c r="AB366" s="14">
        <v>0.0</v>
      </c>
      <c r="AC366" s="14">
        <v>0.0</v>
      </c>
      <c r="AD366" s="2">
        <v>0.0</v>
      </c>
      <c r="AE366" s="2">
        <v>0.0</v>
      </c>
      <c r="AF366" s="2" t="s">
        <v>1186</v>
      </c>
      <c r="AG366" s="2" t="s">
        <v>1186</v>
      </c>
      <c r="AH366" s="2">
        <v>0.0</v>
      </c>
    </row>
    <row r="367" ht="15.75" customHeight="1">
      <c r="B367" s="12"/>
      <c r="C367" s="13"/>
      <c r="D367" s="14"/>
      <c r="E367" s="15"/>
      <c r="G367" s="15"/>
      <c r="O367" s="15"/>
      <c r="Q367" s="17"/>
      <c r="S367" s="17"/>
      <c r="T367" s="17"/>
      <c r="U367" s="14"/>
      <c r="V367" s="14" t="s">
        <v>1186</v>
      </c>
      <c r="W367" s="2" t="s">
        <v>1186</v>
      </c>
      <c r="X367" s="2" t="s">
        <v>1186</v>
      </c>
      <c r="Y367" s="13"/>
      <c r="Z367" s="14">
        <v>0.0</v>
      </c>
      <c r="AA367" s="14">
        <v>0.0</v>
      </c>
      <c r="AB367" s="14">
        <v>0.0</v>
      </c>
      <c r="AC367" s="14">
        <v>0.0</v>
      </c>
      <c r="AD367" s="2">
        <v>0.0</v>
      </c>
      <c r="AE367" s="2">
        <v>0.0</v>
      </c>
      <c r="AF367" s="2" t="s">
        <v>1186</v>
      </c>
      <c r="AG367" s="2" t="s">
        <v>1186</v>
      </c>
      <c r="AH367" s="2">
        <v>0.0</v>
      </c>
    </row>
    <row r="368" ht="15.75" customHeight="1">
      <c r="B368" s="12"/>
      <c r="C368" s="13"/>
      <c r="D368" s="14"/>
      <c r="E368" s="15"/>
      <c r="G368" s="15"/>
      <c r="O368" s="15"/>
      <c r="Q368" s="17"/>
      <c r="S368" s="17"/>
      <c r="T368" s="17"/>
      <c r="U368" s="14"/>
      <c r="V368" s="14" t="s">
        <v>1186</v>
      </c>
      <c r="W368" s="2" t="s">
        <v>1186</v>
      </c>
      <c r="X368" s="2" t="s">
        <v>1186</v>
      </c>
      <c r="Y368" s="13"/>
      <c r="Z368" s="14">
        <v>0.0</v>
      </c>
      <c r="AA368" s="14">
        <v>0.0</v>
      </c>
      <c r="AB368" s="14">
        <v>0.0</v>
      </c>
      <c r="AC368" s="14">
        <v>0.0</v>
      </c>
      <c r="AD368" s="2">
        <v>0.0</v>
      </c>
      <c r="AE368" s="2">
        <v>0.0</v>
      </c>
      <c r="AF368" s="2" t="s">
        <v>1186</v>
      </c>
      <c r="AG368" s="2" t="s">
        <v>1186</v>
      </c>
      <c r="AH368" s="2">
        <v>0.0</v>
      </c>
    </row>
    <row r="369" ht="15.75" customHeight="1">
      <c r="B369" s="12"/>
      <c r="C369" s="13"/>
      <c r="D369" s="14"/>
      <c r="E369" s="15"/>
      <c r="G369" s="15"/>
      <c r="O369" s="15"/>
      <c r="Q369" s="17"/>
      <c r="S369" s="17"/>
      <c r="T369" s="17"/>
      <c r="U369" s="14"/>
      <c r="V369" s="14" t="s">
        <v>1186</v>
      </c>
      <c r="W369" s="2" t="s">
        <v>1186</v>
      </c>
      <c r="X369" s="2" t="s">
        <v>1186</v>
      </c>
      <c r="Y369" s="13"/>
      <c r="Z369" s="14">
        <v>0.0</v>
      </c>
      <c r="AA369" s="14">
        <v>0.0</v>
      </c>
      <c r="AB369" s="14">
        <v>0.0</v>
      </c>
      <c r="AC369" s="14">
        <v>0.0</v>
      </c>
      <c r="AD369" s="2">
        <v>0.0</v>
      </c>
      <c r="AE369" s="2">
        <v>0.0</v>
      </c>
      <c r="AF369" s="2" t="s">
        <v>1186</v>
      </c>
      <c r="AG369" s="2" t="s">
        <v>1186</v>
      </c>
      <c r="AH369" s="2">
        <v>0.0</v>
      </c>
    </row>
    <row r="370" ht="15.75" customHeight="1">
      <c r="B370" s="12"/>
      <c r="C370" s="13"/>
      <c r="D370" s="14"/>
      <c r="E370" s="15"/>
      <c r="G370" s="15"/>
      <c r="O370" s="15"/>
      <c r="Q370" s="17"/>
      <c r="S370" s="17"/>
      <c r="T370" s="17"/>
      <c r="U370" s="14"/>
      <c r="V370" s="14" t="s">
        <v>1186</v>
      </c>
      <c r="W370" s="2" t="s">
        <v>1186</v>
      </c>
      <c r="X370" s="2" t="s">
        <v>1186</v>
      </c>
      <c r="Y370" s="13"/>
      <c r="Z370" s="14">
        <v>0.0</v>
      </c>
      <c r="AA370" s="14">
        <v>0.0</v>
      </c>
      <c r="AB370" s="14">
        <v>0.0</v>
      </c>
      <c r="AC370" s="14">
        <v>0.0</v>
      </c>
      <c r="AD370" s="2">
        <v>0.0</v>
      </c>
      <c r="AE370" s="2">
        <v>0.0</v>
      </c>
      <c r="AF370" s="2" t="s">
        <v>1186</v>
      </c>
      <c r="AG370" s="2" t="s">
        <v>1186</v>
      </c>
      <c r="AH370" s="2">
        <v>0.0</v>
      </c>
    </row>
    <row r="371" ht="15.75" customHeight="1">
      <c r="B371" s="12"/>
      <c r="C371" s="13"/>
      <c r="D371" s="14"/>
      <c r="E371" s="15"/>
      <c r="G371" s="15"/>
      <c r="O371" s="15"/>
      <c r="Q371" s="17"/>
      <c r="S371" s="17"/>
      <c r="T371" s="17"/>
      <c r="U371" s="14"/>
      <c r="V371" s="14" t="s">
        <v>1186</v>
      </c>
      <c r="W371" s="2" t="s">
        <v>1186</v>
      </c>
      <c r="X371" s="2" t="s">
        <v>1186</v>
      </c>
      <c r="Y371" s="13"/>
      <c r="Z371" s="14">
        <v>0.0</v>
      </c>
      <c r="AA371" s="14">
        <v>0.0</v>
      </c>
      <c r="AB371" s="14">
        <v>0.0</v>
      </c>
      <c r="AC371" s="14">
        <v>0.0</v>
      </c>
      <c r="AD371" s="2">
        <v>0.0</v>
      </c>
      <c r="AE371" s="2">
        <v>0.0</v>
      </c>
      <c r="AF371" s="2" t="s">
        <v>1186</v>
      </c>
      <c r="AG371" s="2" t="s">
        <v>1186</v>
      </c>
      <c r="AH371" s="2">
        <v>0.0</v>
      </c>
    </row>
    <row r="372" ht="15.75" customHeight="1">
      <c r="B372" s="12"/>
      <c r="C372" s="13"/>
      <c r="D372" s="14"/>
      <c r="E372" s="15"/>
      <c r="G372" s="15"/>
      <c r="O372" s="15"/>
      <c r="Q372" s="17"/>
      <c r="S372" s="17"/>
      <c r="T372" s="17"/>
      <c r="U372" s="14"/>
      <c r="V372" s="14" t="s">
        <v>1186</v>
      </c>
      <c r="W372" s="2" t="s">
        <v>1186</v>
      </c>
      <c r="X372" s="2" t="s">
        <v>1186</v>
      </c>
      <c r="Y372" s="13"/>
      <c r="Z372" s="14">
        <v>0.0</v>
      </c>
      <c r="AA372" s="14">
        <v>0.0</v>
      </c>
      <c r="AB372" s="14">
        <v>0.0</v>
      </c>
      <c r="AC372" s="14">
        <v>0.0</v>
      </c>
      <c r="AD372" s="2">
        <v>0.0</v>
      </c>
      <c r="AE372" s="2">
        <v>0.0</v>
      </c>
      <c r="AF372" s="2" t="s">
        <v>1186</v>
      </c>
      <c r="AG372" s="2" t="s">
        <v>1186</v>
      </c>
      <c r="AH372" s="2">
        <v>0.0</v>
      </c>
    </row>
    <row r="373" ht="15.75" customHeight="1">
      <c r="B373" s="12"/>
      <c r="C373" s="13"/>
      <c r="D373" s="14"/>
      <c r="E373" s="15"/>
      <c r="G373" s="15"/>
      <c r="O373" s="15"/>
      <c r="Q373" s="17"/>
      <c r="S373" s="17"/>
      <c r="T373" s="17"/>
      <c r="U373" s="14"/>
      <c r="V373" s="14" t="s">
        <v>1186</v>
      </c>
      <c r="W373" s="2" t="s">
        <v>1186</v>
      </c>
      <c r="X373" s="2" t="s">
        <v>1186</v>
      </c>
      <c r="Y373" s="13"/>
      <c r="Z373" s="14">
        <v>0.0</v>
      </c>
      <c r="AA373" s="14">
        <v>0.0</v>
      </c>
      <c r="AB373" s="14">
        <v>0.0</v>
      </c>
      <c r="AC373" s="14">
        <v>0.0</v>
      </c>
      <c r="AD373" s="2">
        <v>0.0</v>
      </c>
      <c r="AE373" s="2">
        <v>0.0</v>
      </c>
      <c r="AF373" s="2" t="s">
        <v>1186</v>
      </c>
      <c r="AG373" s="2" t="s">
        <v>1186</v>
      </c>
      <c r="AH373" s="2">
        <v>0.0</v>
      </c>
    </row>
    <row r="374" ht="15.75" customHeight="1">
      <c r="B374" s="12"/>
      <c r="C374" s="13"/>
      <c r="D374" s="14"/>
      <c r="E374" s="15"/>
      <c r="G374" s="15"/>
      <c r="O374" s="15"/>
      <c r="Q374" s="17"/>
      <c r="S374" s="17"/>
      <c r="T374" s="17"/>
      <c r="U374" s="14"/>
      <c r="V374" s="14" t="s">
        <v>1186</v>
      </c>
      <c r="W374" s="2" t="s">
        <v>1186</v>
      </c>
      <c r="X374" s="2" t="s">
        <v>1186</v>
      </c>
      <c r="Y374" s="13"/>
      <c r="Z374" s="14">
        <v>0.0</v>
      </c>
      <c r="AA374" s="14">
        <v>0.0</v>
      </c>
      <c r="AB374" s="14">
        <v>0.0</v>
      </c>
      <c r="AC374" s="14">
        <v>0.0</v>
      </c>
      <c r="AD374" s="2">
        <v>0.0</v>
      </c>
      <c r="AE374" s="2">
        <v>0.0</v>
      </c>
      <c r="AF374" s="2" t="s">
        <v>1186</v>
      </c>
      <c r="AG374" s="2" t="s">
        <v>1186</v>
      </c>
      <c r="AH374" s="2">
        <v>0.0</v>
      </c>
    </row>
    <row r="375" ht="15.75" customHeight="1">
      <c r="B375" s="12"/>
      <c r="C375" s="13"/>
      <c r="D375" s="14"/>
      <c r="E375" s="15"/>
      <c r="G375" s="15"/>
      <c r="O375" s="15"/>
      <c r="Q375" s="17"/>
      <c r="S375" s="17"/>
      <c r="T375" s="17"/>
      <c r="U375" s="14"/>
      <c r="V375" s="14" t="s">
        <v>1186</v>
      </c>
      <c r="W375" s="2" t="s">
        <v>1186</v>
      </c>
      <c r="X375" s="2" t="s">
        <v>1186</v>
      </c>
      <c r="Y375" s="13"/>
      <c r="Z375" s="14">
        <v>0.0</v>
      </c>
      <c r="AA375" s="14">
        <v>0.0</v>
      </c>
      <c r="AB375" s="14">
        <v>0.0</v>
      </c>
      <c r="AC375" s="14">
        <v>0.0</v>
      </c>
      <c r="AD375" s="2">
        <v>0.0</v>
      </c>
      <c r="AE375" s="2">
        <v>0.0</v>
      </c>
      <c r="AF375" s="2" t="s">
        <v>1186</v>
      </c>
      <c r="AG375" s="2" t="s">
        <v>1186</v>
      </c>
      <c r="AH375" s="2">
        <v>0.0</v>
      </c>
    </row>
    <row r="376" ht="15.75" customHeight="1">
      <c r="B376" s="12"/>
      <c r="C376" s="13"/>
      <c r="D376" s="14"/>
      <c r="E376" s="15"/>
      <c r="G376" s="15"/>
      <c r="O376" s="15"/>
      <c r="Q376" s="17"/>
      <c r="S376" s="17"/>
      <c r="T376" s="17"/>
      <c r="U376" s="14"/>
      <c r="V376" s="14" t="s">
        <v>1186</v>
      </c>
      <c r="W376" s="2" t="s">
        <v>1186</v>
      </c>
      <c r="X376" s="2" t="s">
        <v>1186</v>
      </c>
      <c r="Y376" s="13"/>
      <c r="Z376" s="14">
        <v>0.0</v>
      </c>
      <c r="AA376" s="14">
        <v>0.0</v>
      </c>
      <c r="AB376" s="14">
        <v>0.0</v>
      </c>
      <c r="AC376" s="14">
        <v>0.0</v>
      </c>
      <c r="AD376" s="2">
        <v>0.0</v>
      </c>
      <c r="AE376" s="2">
        <v>0.0</v>
      </c>
      <c r="AF376" s="2" t="s">
        <v>1186</v>
      </c>
      <c r="AG376" s="2" t="s">
        <v>1186</v>
      </c>
      <c r="AH376" s="2">
        <v>0.0</v>
      </c>
    </row>
    <row r="377" ht="15.75" customHeight="1">
      <c r="B377" s="12"/>
      <c r="C377" s="13"/>
      <c r="D377" s="14"/>
      <c r="E377" s="15"/>
      <c r="G377" s="15"/>
      <c r="O377" s="15"/>
      <c r="Q377" s="17"/>
      <c r="S377" s="17"/>
      <c r="T377" s="17"/>
      <c r="U377" s="14"/>
      <c r="V377" s="14" t="s">
        <v>1186</v>
      </c>
      <c r="W377" s="2" t="s">
        <v>1186</v>
      </c>
      <c r="X377" s="2" t="s">
        <v>1186</v>
      </c>
      <c r="Y377" s="13"/>
      <c r="Z377" s="14">
        <v>0.0</v>
      </c>
      <c r="AA377" s="14">
        <v>0.0</v>
      </c>
      <c r="AB377" s="14">
        <v>0.0</v>
      </c>
      <c r="AC377" s="14">
        <v>0.0</v>
      </c>
      <c r="AD377" s="2">
        <v>0.0</v>
      </c>
      <c r="AE377" s="2">
        <v>0.0</v>
      </c>
      <c r="AF377" s="2" t="s">
        <v>1186</v>
      </c>
      <c r="AG377" s="2" t="s">
        <v>1186</v>
      </c>
      <c r="AH377" s="2">
        <v>0.0</v>
      </c>
    </row>
    <row r="378" ht="15.75" customHeight="1">
      <c r="B378" s="12"/>
      <c r="C378" s="13"/>
      <c r="D378" s="14"/>
      <c r="E378" s="15"/>
      <c r="G378" s="15"/>
      <c r="O378" s="15"/>
      <c r="Q378" s="17"/>
      <c r="S378" s="17"/>
      <c r="T378" s="17"/>
      <c r="U378" s="14"/>
      <c r="V378" s="14" t="s">
        <v>1186</v>
      </c>
      <c r="W378" s="2" t="s">
        <v>1186</v>
      </c>
      <c r="X378" s="2" t="s">
        <v>1186</v>
      </c>
      <c r="Y378" s="13"/>
      <c r="Z378" s="14">
        <v>0.0</v>
      </c>
      <c r="AA378" s="14">
        <v>0.0</v>
      </c>
      <c r="AB378" s="14">
        <v>0.0</v>
      </c>
      <c r="AC378" s="14">
        <v>0.0</v>
      </c>
      <c r="AD378" s="2">
        <v>0.0</v>
      </c>
      <c r="AE378" s="2">
        <v>0.0</v>
      </c>
      <c r="AF378" s="2" t="s">
        <v>1186</v>
      </c>
      <c r="AG378" s="2" t="s">
        <v>1186</v>
      </c>
      <c r="AH378" s="2">
        <v>0.0</v>
      </c>
    </row>
    <row r="379" ht="15.75" customHeight="1">
      <c r="B379" s="12"/>
      <c r="C379" s="13"/>
      <c r="D379" s="14"/>
      <c r="E379" s="15"/>
      <c r="G379" s="15"/>
      <c r="O379" s="15"/>
      <c r="Q379" s="17"/>
      <c r="S379" s="17"/>
      <c r="T379" s="17"/>
      <c r="U379" s="14"/>
      <c r="V379" s="14" t="s">
        <v>1186</v>
      </c>
      <c r="W379" s="2" t="s">
        <v>1186</v>
      </c>
      <c r="X379" s="2" t="s">
        <v>1186</v>
      </c>
      <c r="Y379" s="13"/>
      <c r="Z379" s="14">
        <v>0.0</v>
      </c>
      <c r="AA379" s="14">
        <v>0.0</v>
      </c>
      <c r="AB379" s="14">
        <v>0.0</v>
      </c>
      <c r="AC379" s="14">
        <v>0.0</v>
      </c>
      <c r="AD379" s="2">
        <v>0.0</v>
      </c>
      <c r="AE379" s="2">
        <v>0.0</v>
      </c>
      <c r="AF379" s="2" t="s">
        <v>1186</v>
      </c>
      <c r="AG379" s="2" t="s">
        <v>1186</v>
      </c>
      <c r="AH379" s="2">
        <v>0.0</v>
      </c>
    </row>
    <row r="380" ht="15.75" customHeight="1">
      <c r="B380" s="12"/>
      <c r="C380" s="13"/>
      <c r="D380" s="14"/>
      <c r="E380" s="15"/>
      <c r="G380" s="15"/>
      <c r="O380" s="15"/>
      <c r="Q380" s="17"/>
      <c r="S380" s="17"/>
      <c r="T380" s="17"/>
      <c r="U380" s="14"/>
      <c r="V380" s="14" t="s">
        <v>1186</v>
      </c>
      <c r="W380" s="2" t="s">
        <v>1186</v>
      </c>
      <c r="X380" s="2" t="s">
        <v>1186</v>
      </c>
      <c r="Y380" s="13"/>
      <c r="Z380" s="14">
        <v>0.0</v>
      </c>
      <c r="AA380" s="14">
        <v>0.0</v>
      </c>
      <c r="AB380" s="14">
        <v>0.0</v>
      </c>
      <c r="AC380" s="14">
        <v>0.0</v>
      </c>
      <c r="AD380" s="2">
        <v>0.0</v>
      </c>
      <c r="AE380" s="2">
        <v>0.0</v>
      </c>
      <c r="AF380" s="2" t="s">
        <v>1186</v>
      </c>
      <c r="AG380" s="2" t="s">
        <v>1186</v>
      </c>
      <c r="AH380" s="2">
        <v>0.0</v>
      </c>
    </row>
    <row r="381" ht="15.75" customHeight="1">
      <c r="B381" s="12"/>
      <c r="C381" s="13"/>
      <c r="D381" s="14"/>
      <c r="E381" s="15"/>
      <c r="G381" s="15"/>
      <c r="O381" s="15"/>
      <c r="Q381" s="17"/>
      <c r="S381" s="17"/>
      <c r="T381" s="17"/>
      <c r="U381" s="14"/>
      <c r="V381" s="14" t="s">
        <v>1186</v>
      </c>
      <c r="W381" s="2" t="s">
        <v>1186</v>
      </c>
      <c r="X381" s="2" t="s">
        <v>1186</v>
      </c>
      <c r="Y381" s="13"/>
      <c r="Z381" s="14">
        <v>0.0</v>
      </c>
      <c r="AA381" s="14">
        <v>0.0</v>
      </c>
      <c r="AB381" s="14">
        <v>0.0</v>
      </c>
      <c r="AC381" s="14">
        <v>0.0</v>
      </c>
      <c r="AD381" s="2">
        <v>0.0</v>
      </c>
      <c r="AE381" s="2">
        <v>0.0</v>
      </c>
      <c r="AF381" s="2" t="s">
        <v>1186</v>
      </c>
      <c r="AG381" s="2" t="s">
        <v>1186</v>
      </c>
      <c r="AH381" s="2">
        <v>0.0</v>
      </c>
    </row>
    <row r="382" ht="15.75" customHeight="1">
      <c r="B382" s="12"/>
      <c r="C382" s="13"/>
      <c r="D382" s="14"/>
      <c r="E382" s="15"/>
      <c r="G382" s="15"/>
      <c r="O382" s="15"/>
      <c r="Q382" s="17"/>
      <c r="S382" s="17"/>
      <c r="T382" s="17"/>
      <c r="U382" s="14"/>
      <c r="V382" s="14" t="s">
        <v>1186</v>
      </c>
      <c r="W382" s="2" t="s">
        <v>1186</v>
      </c>
      <c r="X382" s="2" t="s">
        <v>1186</v>
      </c>
      <c r="Y382" s="13"/>
      <c r="Z382" s="14">
        <v>0.0</v>
      </c>
      <c r="AA382" s="14">
        <v>0.0</v>
      </c>
      <c r="AB382" s="14">
        <v>0.0</v>
      </c>
      <c r="AC382" s="14">
        <v>0.0</v>
      </c>
      <c r="AD382" s="2">
        <v>0.0</v>
      </c>
      <c r="AE382" s="2">
        <v>0.0</v>
      </c>
      <c r="AF382" s="2" t="s">
        <v>1186</v>
      </c>
      <c r="AG382" s="2" t="s">
        <v>1186</v>
      </c>
      <c r="AH382" s="2">
        <v>0.0</v>
      </c>
    </row>
    <row r="383" ht="15.75" customHeight="1">
      <c r="B383" s="12"/>
      <c r="C383" s="13"/>
      <c r="D383" s="14"/>
      <c r="E383" s="15"/>
      <c r="G383" s="15"/>
      <c r="O383" s="15"/>
      <c r="Q383" s="17"/>
      <c r="S383" s="17"/>
      <c r="T383" s="17"/>
      <c r="U383" s="14"/>
      <c r="V383" s="14" t="s">
        <v>1186</v>
      </c>
      <c r="W383" s="2" t="s">
        <v>1186</v>
      </c>
      <c r="X383" s="2" t="s">
        <v>1186</v>
      </c>
      <c r="Y383" s="13"/>
      <c r="Z383" s="14">
        <v>0.0</v>
      </c>
      <c r="AA383" s="14">
        <v>0.0</v>
      </c>
      <c r="AB383" s="14">
        <v>0.0</v>
      </c>
      <c r="AC383" s="14">
        <v>0.0</v>
      </c>
      <c r="AD383" s="2">
        <v>0.0</v>
      </c>
      <c r="AE383" s="2">
        <v>0.0</v>
      </c>
      <c r="AF383" s="2" t="s">
        <v>1186</v>
      </c>
      <c r="AG383" s="2" t="s">
        <v>1186</v>
      </c>
      <c r="AH383" s="2">
        <v>0.0</v>
      </c>
    </row>
    <row r="384" ht="15.75" customHeight="1">
      <c r="B384" s="12"/>
      <c r="C384" s="13"/>
      <c r="D384" s="14"/>
      <c r="E384" s="15"/>
      <c r="G384" s="15"/>
      <c r="O384" s="15"/>
      <c r="Q384" s="17"/>
      <c r="S384" s="17"/>
      <c r="T384" s="17"/>
      <c r="U384" s="14"/>
      <c r="V384" s="14" t="s">
        <v>1186</v>
      </c>
      <c r="W384" s="2" t="s">
        <v>1186</v>
      </c>
      <c r="X384" s="2" t="s">
        <v>1186</v>
      </c>
      <c r="Y384" s="13"/>
      <c r="Z384" s="14">
        <v>0.0</v>
      </c>
      <c r="AA384" s="14">
        <v>0.0</v>
      </c>
      <c r="AB384" s="14">
        <v>0.0</v>
      </c>
      <c r="AC384" s="14">
        <v>0.0</v>
      </c>
      <c r="AD384" s="2">
        <v>0.0</v>
      </c>
      <c r="AE384" s="2">
        <v>0.0</v>
      </c>
      <c r="AF384" s="2" t="s">
        <v>1186</v>
      </c>
      <c r="AG384" s="2" t="s">
        <v>1186</v>
      </c>
      <c r="AH384" s="2">
        <v>0.0</v>
      </c>
    </row>
    <row r="385" ht="15.75" customHeight="1">
      <c r="B385" s="12"/>
      <c r="C385" s="13"/>
      <c r="D385" s="14"/>
      <c r="E385" s="15"/>
      <c r="G385" s="15"/>
      <c r="O385" s="15"/>
      <c r="Q385" s="17"/>
      <c r="S385" s="17"/>
      <c r="T385" s="17"/>
      <c r="U385" s="14"/>
      <c r="V385" s="14" t="s">
        <v>1186</v>
      </c>
      <c r="W385" s="2" t="s">
        <v>1186</v>
      </c>
      <c r="X385" s="2" t="s">
        <v>1186</v>
      </c>
      <c r="Y385" s="13"/>
      <c r="Z385" s="14">
        <v>0.0</v>
      </c>
      <c r="AA385" s="14">
        <v>0.0</v>
      </c>
      <c r="AB385" s="14">
        <v>0.0</v>
      </c>
      <c r="AC385" s="14">
        <v>0.0</v>
      </c>
      <c r="AD385" s="2">
        <v>0.0</v>
      </c>
      <c r="AE385" s="2">
        <v>0.0</v>
      </c>
      <c r="AF385" s="2" t="s">
        <v>1186</v>
      </c>
      <c r="AG385" s="2" t="s">
        <v>1186</v>
      </c>
      <c r="AH385" s="2">
        <v>0.0</v>
      </c>
    </row>
    <row r="386" ht="15.75" customHeight="1">
      <c r="B386" s="12"/>
      <c r="C386" s="13"/>
      <c r="D386" s="14"/>
      <c r="E386" s="15"/>
      <c r="G386" s="15"/>
      <c r="O386" s="15"/>
      <c r="Q386" s="17"/>
      <c r="S386" s="17"/>
      <c r="T386" s="17"/>
      <c r="U386" s="14"/>
      <c r="V386" s="14" t="s">
        <v>1186</v>
      </c>
      <c r="W386" s="2" t="s">
        <v>1186</v>
      </c>
      <c r="X386" s="2" t="s">
        <v>1186</v>
      </c>
      <c r="Y386" s="13"/>
      <c r="Z386" s="14">
        <v>0.0</v>
      </c>
      <c r="AA386" s="14">
        <v>0.0</v>
      </c>
      <c r="AB386" s="14">
        <v>0.0</v>
      </c>
      <c r="AC386" s="14">
        <v>0.0</v>
      </c>
      <c r="AD386" s="2">
        <v>0.0</v>
      </c>
      <c r="AE386" s="2">
        <v>0.0</v>
      </c>
      <c r="AF386" s="2" t="s">
        <v>1186</v>
      </c>
      <c r="AG386" s="2" t="s">
        <v>1186</v>
      </c>
      <c r="AH386" s="2">
        <v>0.0</v>
      </c>
    </row>
    <row r="387" ht="15.75" customHeight="1">
      <c r="B387" s="12"/>
      <c r="C387" s="13"/>
      <c r="D387" s="14"/>
      <c r="E387" s="15"/>
      <c r="G387" s="15"/>
      <c r="O387" s="15"/>
      <c r="Q387" s="17"/>
      <c r="S387" s="17"/>
      <c r="T387" s="17"/>
      <c r="U387" s="14"/>
      <c r="V387" s="14" t="s">
        <v>1186</v>
      </c>
      <c r="W387" s="2" t="s">
        <v>1186</v>
      </c>
      <c r="X387" s="2" t="s">
        <v>1186</v>
      </c>
      <c r="Y387" s="13"/>
      <c r="Z387" s="14">
        <v>0.0</v>
      </c>
      <c r="AA387" s="14">
        <v>0.0</v>
      </c>
      <c r="AB387" s="14">
        <v>0.0</v>
      </c>
      <c r="AC387" s="14">
        <v>0.0</v>
      </c>
      <c r="AD387" s="2">
        <v>0.0</v>
      </c>
      <c r="AE387" s="2">
        <v>0.0</v>
      </c>
      <c r="AF387" s="2" t="s">
        <v>1186</v>
      </c>
      <c r="AG387" s="2" t="s">
        <v>1186</v>
      </c>
      <c r="AH387" s="2">
        <v>0.0</v>
      </c>
    </row>
    <row r="388" ht="15.75" customHeight="1">
      <c r="B388" s="12"/>
      <c r="C388" s="13"/>
      <c r="D388" s="14"/>
      <c r="E388" s="15"/>
      <c r="G388" s="15"/>
      <c r="O388" s="15"/>
      <c r="Q388" s="17"/>
      <c r="S388" s="17"/>
      <c r="T388" s="17"/>
      <c r="U388" s="14"/>
      <c r="V388" s="14" t="s">
        <v>1186</v>
      </c>
      <c r="W388" s="2" t="s">
        <v>1186</v>
      </c>
      <c r="X388" s="2" t="s">
        <v>1186</v>
      </c>
      <c r="Y388" s="13"/>
      <c r="Z388" s="14">
        <v>0.0</v>
      </c>
      <c r="AA388" s="14">
        <v>0.0</v>
      </c>
      <c r="AB388" s="14">
        <v>0.0</v>
      </c>
      <c r="AC388" s="14">
        <v>0.0</v>
      </c>
      <c r="AD388" s="2">
        <v>0.0</v>
      </c>
      <c r="AE388" s="2">
        <v>0.0</v>
      </c>
      <c r="AF388" s="2" t="s">
        <v>1186</v>
      </c>
      <c r="AG388" s="2" t="s">
        <v>1186</v>
      </c>
      <c r="AH388" s="2">
        <v>0.0</v>
      </c>
    </row>
    <row r="389" ht="15.75" customHeight="1">
      <c r="B389" s="12"/>
      <c r="C389" s="13"/>
      <c r="D389" s="14"/>
      <c r="E389" s="15"/>
      <c r="G389" s="15"/>
      <c r="O389" s="15"/>
      <c r="Q389" s="17"/>
      <c r="S389" s="17"/>
      <c r="T389" s="17"/>
      <c r="U389" s="14"/>
      <c r="V389" s="14" t="s">
        <v>1186</v>
      </c>
      <c r="W389" s="2" t="s">
        <v>1186</v>
      </c>
      <c r="X389" s="2" t="s">
        <v>1186</v>
      </c>
      <c r="Y389" s="13"/>
      <c r="Z389" s="14">
        <v>0.0</v>
      </c>
      <c r="AA389" s="14">
        <v>0.0</v>
      </c>
      <c r="AB389" s="14">
        <v>0.0</v>
      </c>
      <c r="AC389" s="14">
        <v>0.0</v>
      </c>
      <c r="AD389" s="2">
        <v>0.0</v>
      </c>
      <c r="AE389" s="2">
        <v>0.0</v>
      </c>
      <c r="AF389" s="2" t="s">
        <v>1186</v>
      </c>
      <c r="AG389" s="2" t="s">
        <v>1186</v>
      </c>
      <c r="AH389" s="2">
        <v>0.0</v>
      </c>
    </row>
    <row r="390" ht="15.75" customHeight="1">
      <c r="B390" s="12"/>
      <c r="C390" s="13"/>
      <c r="D390" s="14"/>
      <c r="E390" s="15"/>
      <c r="G390" s="15"/>
      <c r="O390" s="15"/>
      <c r="Q390" s="17"/>
      <c r="S390" s="17"/>
      <c r="T390" s="17"/>
      <c r="U390" s="14"/>
      <c r="V390" s="14" t="s">
        <v>1186</v>
      </c>
      <c r="W390" s="2" t="s">
        <v>1186</v>
      </c>
      <c r="X390" s="2" t="s">
        <v>1186</v>
      </c>
      <c r="Y390" s="13"/>
      <c r="Z390" s="14">
        <v>0.0</v>
      </c>
      <c r="AA390" s="14">
        <v>0.0</v>
      </c>
      <c r="AB390" s="14">
        <v>0.0</v>
      </c>
      <c r="AC390" s="14">
        <v>0.0</v>
      </c>
      <c r="AD390" s="2">
        <v>0.0</v>
      </c>
      <c r="AE390" s="2">
        <v>0.0</v>
      </c>
      <c r="AF390" s="2" t="s">
        <v>1186</v>
      </c>
      <c r="AG390" s="2" t="s">
        <v>1186</v>
      </c>
      <c r="AH390" s="2">
        <v>0.0</v>
      </c>
    </row>
    <row r="391" ht="15.75" customHeight="1">
      <c r="B391" s="12"/>
      <c r="C391" s="13"/>
      <c r="D391" s="14"/>
      <c r="E391" s="15"/>
      <c r="G391" s="15"/>
      <c r="O391" s="15"/>
      <c r="Q391" s="17"/>
      <c r="S391" s="17"/>
      <c r="T391" s="17"/>
      <c r="U391" s="14"/>
      <c r="V391" s="14" t="s">
        <v>1186</v>
      </c>
      <c r="W391" s="2" t="s">
        <v>1186</v>
      </c>
      <c r="X391" s="2" t="s">
        <v>1186</v>
      </c>
      <c r="Y391" s="13"/>
      <c r="Z391" s="14">
        <v>0.0</v>
      </c>
      <c r="AA391" s="14">
        <v>0.0</v>
      </c>
      <c r="AB391" s="14">
        <v>0.0</v>
      </c>
      <c r="AC391" s="14">
        <v>0.0</v>
      </c>
      <c r="AD391" s="2">
        <v>0.0</v>
      </c>
      <c r="AE391" s="2">
        <v>0.0</v>
      </c>
      <c r="AF391" s="2" t="s">
        <v>1186</v>
      </c>
      <c r="AG391" s="2" t="s">
        <v>1186</v>
      </c>
      <c r="AH391" s="2">
        <v>0.0</v>
      </c>
    </row>
    <row r="392" ht="15.75" customHeight="1">
      <c r="B392" s="12"/>
      <c r="C392" s="13"/>
      <c r="D392" s="14"/>
      <c r="E392" s="15"/>
      <c r="G392" s="15"/>
      <c r="O392" s="15"/>
      <c r="Q392" s="17"/>
      <c r="S392" s="17"/>
      <c r="T392" s="17"/>
      <c r="U392" s="14"/>
      <c r="V392" s="14" t="s">
        <v>1186</v>
      </c>
      <c r="W392" s="2" t="s">
        <v>1186</v>
      </c>
      <c r="X392" s="2" t="s">
        <v>1186</v>
      </c>
      <c r="Y392" s="13"/>
      <c r="Z392" s="14">
        <v>0.0</v>
      </c>
      <c r="AA392" s="14">
        <v>0.0</v>
      </c>
      <c r="AB392" s="14">
        <v>0.0</v>
      </c>
      <c r="AC392" s="14">
        <v>0.0</v>
      </c>
      <c r="AD392" s="2">
        <v>0.0</v>
      </c>
      <c r="AE392" s="2">
        <v>0.0</v>
      </c>
      <c r="AF392" s="2" t="s">
        <v>1186</v>
      </c>
      <c r="AG392" s="2" t="s">
        <v>1186</v>
      </c>
      <c r="AH392" s="2">
        <v>0.0</v>
      </c>
    </row>
    <row r="393" ht="15.75" customHeight="1">
      <c r="B393" s="12"/>
      <c r="C393" s="13"/>
      <c r="D393" s="14"/>
      <c r="E393" s="15"/>
      <c r="G393" s="15"/>
      <c r="O393" s="15"/>
      <c r="Q393" s="17"/>
      <c r="S393" s="17"/>
      <c r="T393" s="17"/>
      <c r="U393" s="14"/>
      <c r="V393" s="14" t="s">
        <v>1186</v>
      </c>
      <c r="W393" s="2" t="s">
        <v>1186</v>
      </c>
      <c r="X393" s="2" t="s">
        <v>1186</v>
      </c>
      <c r="Y393" s="13"/>
      <c r="Z393" s="14">
        <v>0.0</v>
      </c>
      <c r="AA393" s="14">
        <v>0.0</v>
      </c>
      <c r="AB393" s="14">
        <v>0.0</v>
      </c>
      <c r="AC393" s="14">
        <v>0.0</v>
      </c>
      <c r="AD393" s="2">
        <v>0.0</v>
      </c>
      <c r="AE393" s="2">
        <v>0.0</v>
      </c>
      <c r="AF393" s="2" t="s">
        <v>1186</v>
      </c>
      <c r="AG393" s="2" t="s">
        <v>1186</v>
      </c>
      <c r="AH393" s="2">
        <v>0.0</v>
      </c>
    </row>
    <row r="394" ht="15.75" customHeight="1">
      <c r="B394" s="12"/>
      <c r="C394" s="13"/>
      <c r="D394" s="14"/>
      <c r="E394" s="15"/>
      <c r="G394" s="15"/>
      <c r="O394" s="15"/>
      <c r="Q394" s="17"/>
      <c r="S394" s="17"/>
      <c r="T394" s="17"/>
      <c r="U394" s="14"/>
      <c r="V394" s="14" t="s">
        <v>1186</v>
      </c>
      <c r="W394" s="2" t="s">
        <v>1186</v>
      </c>
      <c r="X394" s="2" t="s">
        <v>1186</v>
      </c>
      <c r="Y394" s="13"/>
      <c r="Z394" s="14">
        <v>0.0</v>
      </c>
      <c r="AA394" s="14">
        <v>0.0</v>
      </c>
      <c r="AB394" s="14">
        <v>0.0</v>
      </c>
      <c r="AC394" s="14">
        <v>0.0</v>
      </c>
      <c r="AD394" s="2">
        <v>0.0</v>
      </c>
      <c r="AE394" s="2">
        <v>0.0</v>
      </c>
      <c r="AF394" s="2" t="s">
        <v>1186</v>
      </c>
      <c r="AG394" s="2" t="s">
        <v>1186</v>
      </c>
      <c r="AH394" s="2">
        <v>0.0</v>
      </c>
    </row>
    <row r="395" ht="15.75" customHeight="1">
      <c r="B395" s="12"/>
      <c r="C395" s="13"/>
      <c r="D395" s="14"/>
      <c r="E395" s="15"/>
      <c r="G395" s="15"/>
      <c r="O395" s="15"/>
      <c r="Q395" s="17"/>
      <c r="S395" s="17"/>
      <c r="T395" s="17"/>
      <c r="U395" s="14"/>
      <c r="V395" s="14" t="s">
        <v>1186</v>
      </c>
      <c r="W395" s="2" t="s">
        <v>1186</v>
      </c>
      <c r="X395" s="2" t="s">
        <v>1186</v>
      </c>
      <c r="Y395" s="13"/>
      <c r="Z395" s="14">
        <v>0.0</v>
      </c>
      <c r="AA395" s="14">
        <v>0.0</v>
      </c>
      <c r="AB395" s="14">
        <v>0.0</v>
      </c>
      <c r="AC395" s="14">
        <v>0.0</v>
      </c>
      <c r="AD395" s="2">
        <v>0.0</v>
      </c>
      <c r="AE395" s="2">
        <v>0.0</v>
      </c>
      <c r="AF395" s="2" t="s">
        <v>1186</v>
      </c>
      <c r="AG395" s="2" t="s">
        <v>1186</v>
      </c>
      <c r="AH395" s="2">
        <v>0.0</v>
      </c>
    </row>
    <row r="396" ht="15.75" customHeight="1">
      <c r="B396" s="12"/>
      <c r="C396" s="13"/>
      <c r="D396" s="14"/>
      <c r="E396" s="15"/>
      <c r="G396" s="15"/>
      <c r="O396" s="15"/>
      <c r="Q396" s="17"/>
      <c r="S396" s="17"/>
      <c r="T396" s="17"/>
      <c r="U396" s="14"/>
      <c r="V396" s="14" t="s">
        <v>1186</v>
      </c>
      <c r="W396" s="2" t="s">
        <v>1186</v>
      </c>
      <c r="X396" s="2" t="s">
        <v>1186</v>
      </c>
      <c r="Y396" s="13"/>
      <c r="Z396" s="14">
        <v>0.0</v>
      </c>
      <c r="AA396" s="14">
        <v>0.0</v>
      </c>
      <c r="AB396" s="14">
        <v>0.0</v>
      </c>
      <c r="AC396" s="14">
        <v>0.0</v>
      </c>
      <c r="AD396" s="2">
        <v>0.0</v>
      </c>
      <c r="AE396" s="2">
        <v>0.0</v>
      </c>
      <c r="AF396" s="2" t="s">
        <v>1186</v>
      </c>
      <c r="AG396" s="2" t="s">
        <v>1186</v>
      </c>
      <c r="AH396" s="2">
        <v>0.0</v>
      </c>
    </row>
    <row r="397" ht="15.75" customHeight="1">
      <c r="B397" s="12"/>
      <c r="C397" s="13"/>
      <c r="D397" s="14"/>
      <c r="E397" s="15"/>
      <c r="G397" s="15"/>
      <c r="O397" s="15"/>
      <c r="Q397" s="17"/>
      <c r="S397" s="17"/>
      <c r="T397" s="17"/>
      <c r="U397" s="14"/>
      <c r="V397" s="14" t="s">
        <v>1186</v>
      </c>
      <c r="W397" s="2" t="s">
        <v>1186</v>
      </c>
      <c r="X397" s="2" t="s">
        <v>1186</v>
      </c>
      <c r="Y397" s="13"/>
      <c r="Z397" s="14">
        <v>0.0</v>
      </c>
      <c r="AA397" s="14">
        <v>0.0</v>
      </c>
      <c r="AB397" s="14">
        <v>0.0</v>
      </c>
      <c r="AC397" s="14">
        <v>0.0</v>
      </c>
      <c r="AD397" s="2">
        <v>0.0</v>
      </c>
      <c r="AE397" s="2">
        <v>0.0</v>
      </c>
      <c r="AF397" s="2" t="s">
        <v>1186</v>
      </c>
      <c r="AG397" s="2" t="s">
        <v>1186</v>
      </c>
      <c r="AH397" s="2">
        <v>0.0</v>
      </c>
    </row>
    <row r="398" ht="15.75" customHeight="1">
      <c r="B398" s="12"/>
      <c r="C398" s="13"/>
      <c r="D398" s="14"/>
      <c r="E398" s="15"/>
      <c r="G398" s="15"/>
      <c r="O398" s="15"/>
      <c r="Q398" s="17"/>
      <c r="S398" s="17"/>
      <c r="T398" s="17"/>
      <c r="U398" s="14"/>
      <c r="V398" s="14" t="s">
        <v>1186</v>
      </c>
      <c r="W398" s="2" t="s">
        <v>1186</v>
      </c>
      <c r="X398" s="2" t="s">
        <v>1186</v>
      </c>
      <c r="Y398" s="13"/>
      <c r="Z398" s="14">
        <v>0.0</v>
      </c>
      <c r="AA398" s="14">
        <v>0.0</v>
      </c>
      <c r="AB398" s="14">
        <v>0.0</v>
      </c>
      <c r="AC398" s="14">
        <v>0.0</v>
      </c>
      <c r="AD398" s="2">
        <v>0.0</v>
      </c>
      <c r="AE398" s="2">
        <v>0.0</v>
      </c>
      <c r="AF398" s="2" t="s">
        <v>1186</v>
      </c>
      <c r="AG398" s="2" t="s">
        <v>1186</v>
      </c>
      <c r="AH398" s="2">
        <v>0.0</v>
      </c>
    </row>
    <row r="399" ht="15.75" customHeight="1">
      <c r="B399" s="12"/>
      <c r="C399" s="13"/>
      <c r="D399" s="14"/>
      <c r="E399" s="15"/>
      <c r="G399" s="15"/>
      <c r="O399" s="15"/>
      <c r="Q399" s="17"/>
      <c r="S399" s="17"/>
      <c r="T399" s="17"/>
      <c r="U399" s="14"/>
      <c r="V399" s="14" t="s">
        <v>1186</v>
      </c>
      <c r="W399" s="2" t="s">
        <v>1186</v>
      </c>
      <c r="X399" s="2" t="s">
        <v>1186</v>
      </c>
      <c r="Y399" s="13"/>
      <c r="Z399" s="14">
        <v>0.0</v>
      </c>
      <c r="AA399" s="14">
        <v>0.0</v>
      </c>
      <c r="AB399" s="14">
        <v>0.0</v>
      </c>
      <c r="AC399" s="14">
        <v>0.0</v>
      </c>
      <c r="AD399" s="2">
        <v>0.0</v>
      </c>
      <c r="AE399" s="2">
        <v>0.0</v>
      </c>
      <c r="AF399" s="2" t="s">
        <v>1186</v>
      </c>
      <c r="AG399" s="2" t="s">
        <v>1186</v>
      </c>
      <c r="AH399" s="2">
        <v>0.0</v>
      </c>
    </row>
    <row r="400" ht="15.75" customHeight="1">
      <c r="B400" s="12"/>
      <c r="C400" s="13"/>
      <c r="D400" s="14"/>
      <c r="E400" s="15"/>
      <c r="G400" s="15"/>
      <c r="O400" s="15"/>
      <c r="Q400" s="17"/>
      <c r="S400" s="17"/>
      <c r="T400" s="17"/>
      <c r="U400" s="14"/>
      <c r="V400" s="14" t="s">
        <v>1186</v>
      </c>
      <c r="W400" s="2" t="s">
        <v>1186</v>
      </c>
      <c r="X400" s="2" t="s">
        <v>1186</v>
      </c>
      <c r="Y400" s="13"/>
      <c r="Z400" s="14">
        <v>0.0</v>
      </c>
      <c r="AA400" s="14">
        <v>0.0</v>
      </c>
      <c r="AB400" s="14">
        <v>0.0</v>
      </c>
      <c r="AC400" s="14">
        <v>0.0</v>
      </c>
      <c r="AD400" s="2">
        <v>0.0</v>
      </c>
      <c r="AE400" s="2">
        <v>0.0</v>
      </c>
      <c r="AF400" s="2" t="s">
        <v>1186</v>
      </c>
      <c r="AG400" s="2" t="s">
        <v>1186</v>
      </c>
      <c r="AH400" s="2">
        <v>0.0</v>
      </c>
    </row>
    <row r="401" ht="15.75" customHeight="1">
      <c r="B401" s="12"/>
      <c r="C401" s="13"/>
      <c r="D401" s="14"/>
      <c r="E401" s="15"/>
      <c r="G401" s="15"/>
      <c r="O401" s="15"/>
      <c r="Q401" s="17"/>
      <c r="S401" s="17"/>
      <c r="T401" s="17"/>
      <c r="U401" s="14"/>
      <c r="V401" s="14" t="s">
        <v>1186</v>
      </c>
      <c r="W401" s="2" t="s">
        <v>1186</v>
      </c>
      <c r="X401" s="2" t="s">
        <v>1186</v>
      </c>
      <c r="Y401" s="13"/>
      <c r="Z401" s="14">
        <v>0.0</v>
      </c>
      <c r="AA401" s="14">
        <v>0.0</v>
      </c>
      <c r="AB401" s="14">
        <v>0.0</v>
      </c>
      <c r="AC401" s="14">
        <v>0.0</v>
      </c>
      <c r="AD401" s="2">
        <v>0.0</v>
      </c>
      <c r="AE401" s="2">
        <v>0.0</v>
      </c>
      <c r="AF401" s="2" t="s">
        <v>1186</v>
      </c>
      <c r="AG401" s="2" t="s">
        <v>1186</v>
      </c>
      <c r="AH401" s="2">
        <v>0.0</v>
      </c>
    </row>
    <row r="402" ht="15.75" customHeight="1">
      <c r="B402" s="12"/>
      <c r="C402" s="13"/>
      <c r="D402" s="14"/>
      <c r="E402" s="15"/>
      <c r="G402" s="15"/>
      <c r="O402" s="15"/>
      <c r="Q402" s="17"/>
      <c r="S402" s="17"/>
      <c r="T402" s="17"/>
      <c r="U402" s="14"/>
      <c r="V402" s="14" t="s">
        <v>1186</v>
      </c>
      <c r="W402" s="2" t="s">
        <v>1186</v>
      </c>
      <c r="X402" s="2" t="s">
        <v>1186</v>
      </c>
      <c r="Y402" s="13"/>
      <c r="Z402" s="14">
        <v>0.0</v>
      </c>
      <c r="AA402" s="14">
        <v>0.0</v>
      </c>
      <c r="AB402" s="14">
        <v>0.0</v>
      </c>
      <c r="AC402" s="14">
        <v>0.0</v>
      </c>
      <c r="AD402" s="2">
        <v>0.0</v>
      </c>
      <c r="AE402" s="2">
        <v>0.0</v>
      </c>
      <c r="AF402" s="2" t="s">
        <v>1186</v>
      </c>
      <c r="AG402" s="2" t="s">
        <v>1186</v>
      </c>
      <c r="AH402" s="2">
        <v>0.0</v>
      </c>
    </row>
    <row r="403" ht="15.75" customHeight="1">
      <c r="B403" s="12"/>
      <c r="C403" s="13"/>
      <c r="D403" s="14"/>
      <c r="E403" s="15"/>
      <c r="G403" s="15"/>
      <c r="O403" s="15"/>
      <c r="Q403" s="17"/>
      <c r="S403" s="17"/>
      <c r="T403" s="17"/>
      <c r="U403" s="14"/>
      <c r="V403" s="14" t="s">
        <v>1186</v>
      </c>
      <c r="W403" s="2" t="s">
        <v>1186</v>
      </c>
      <c r="X403" s="2" t="s">
        <v>1186</v>
      </c>
      <c r="Y403" s="13"/>
      <c r="Z403" s="14">
        <v>0.0</v>
      </c>
      <c r="AA403" s="14">
        <v>0.0</v>
      </c>
      <c r="AB403" s="14">
        <v>0.0</v>
      </c>
      <c r="AC403" s="14">
        <v>0.0</v>
      </c>
      <c r="AD403" s="2">
        <v>0.0</v>
      </c>
      <c r="AE403" s="2">
        <v>0.0</v>
      </c>
      <c r="AF403" s="2" t="s">
        <v>1186</v>
      </c>
      <c r="AG403" s="2" t="s">
        <v>1186</v>
      </c>
      <c r="AH403" s="2">
        <v>0.0</v>
      </c>
    </row>
    <row r="404" ht="15.75" customHeight="1">
      <c r="B404" s="12"/>
      <c r="C404" s="13"/>
      <c r="D404" s="14"/>
      <c r="E404" s="15"/>
      <c r="G404" s="15"/>
      <c r="O404" s="15"/>
      <c r="Q404" s="17"/>
      <c r="S404" s="17"/>
      <c r="T404" s="17"/>
      <c r="U404" s="14"/>
      <c r="V404" s="14" t="s">
        <v>1186</v>
      </c>
      <c r="W404" s="2" t="s">
        <v>1186</v>
      </c>
      <c r="X404" s="2" t="s">
        <v>1186</v>
      </c>
      <c r="Y404" s="13"/>
      <c r="Z404" s="14">
        <v>0.0</v>
      </c>
      <c r="AA404" s="14">
        <v>0.0</v>
      </c>
      <c r="AB404" s="14">
        <v>0.0</v>
      </c>
      <c r="AC404" s="14">
        <v>0.0</v>
      </c>
      <c r="AD404" s="2">
        <v>0.0</v>
      </c>
      <c r="AE404" s="2">
        <v>0.0</v>
      </c>
      <c r="AF404" s="2" t="s">
        <v>1186</v>
      </c>
      <c r="AG404" s="2" t="s">
        <v>1186</v>
      </c>
      <c r="AH404" s="2">
        <v>0.0</v>
      </c>
    </row>
    <row r="405" ht="15.75" customHeight="1">
      <c r="B405" s="12"/>
      <c r="C405" s="13"/>
      <c r="D405" s="14"/>
      <c r="E405" s="15"/>
      <c r="G405" s="15"/>
      <c r="O405" s="15"/>
      <c r="Q405" s="17"/>
      <c r="S405" s="17"/>
      <c r="T405" s="17"/>
      <c r="U405" s="14"/>
      <c r="V405" s="14" t="s">
        <v>1186</v>
      </c>
      <c r="W405" s="2" t="s">
        <v>1186</v>
      </c>
      <c r="X405" s="2" t="s">
        <v>1186</v>
      </c>
      <c r="Y405" s="13"/>
      <c r="Z405" s="14">
        <v>0.0</v>
      </c>
      <c r="AA405" s="14">
        <v>0.0</v>
      </c>
      <c r="AB405" s="14">
        <v>0.0</v>
      </c>
      <c r="AC405" s="14">
        <v>0.0</v>
      </c>
      <c r="AD405" s="2">
        <v>0.0</v>
      </c>
      <c r="AE405" s="2">
        <v>0.0</v>
      </c>
      <c r="AF405" s="2" t="s">
        <v>1186</v>
      </c>
      <c r="AG405" s="2" t="s">
        <v>1186</v>
      </c>
      <c r="AH405" s="2">
        <v>0.0</v>
      </c>
    </row>
    <row r="406" ht="15.75" customHeight="1">
      <c r="B406" s="12"/>
      <c r="C406" s="13"/>
      <c r="D406" s="14"/>
      <c r="E406" s="15"/>
      <c r="G406" s="15"/>
      <c r="O406" s="15"/>
      <c r="Q406" s="17"/>
      <c r="S406" s="17"/>
      <c r="T406" s="17"/>
      <c r="U406" s="14"/>
      <c r="V406" s="14" t="s">
        <v>1186</v>
      </c>
      <c r="W406" s="2" t="s">
        <v>1186</v>
      </c>
      <c r="X406" s="2" t="s">
        <v>1186</v>
      </c>
      <c r="Y406" s="13"/>
      <c r="Z406" s="14">
        <v>0.0</v>
      </c>
      <c r="AA406" s="14">
        <v>0.0</v>
      </c>
      <c r="AB406" s="14">
        <v>0.0</v>
      </c>
      <c r="AC406" s="14">
        <v>0.0</v>
      </c>
      <c r="AD406" s="2">
        <v>0.0</v>
      </c>
      <c r="AE406" s="2">
        <v>0.0</v>
      </c>
      <c r="AF406" s="2" t="s">
        <v>1186</v>
      </c>
      <c r="AG406" s="2" t="s">
        <v>1186</v>
      </c>
      <c r="AH406" s="2">
        <v>0.0</v>
      </c>
    </row>
    <row r="407" ht="15.75" customHeight="1">
      <c r="B407" s="12"/>
      <c r="C407" s="13"/>
      <c r="D407" s="14"/>
      <c r="E407" s="15"/>
      <c r="G407" s="15"/>
      <c r="O407" s="15"/>
      <c r="Q407" s="17"/>
      <c r="S407" s="17"/>
      <c r="T407" s="17"/>
      <c r="U407" s="14"/>
      <c r="V407" s="14" t="s">
        <v>1186</v>
      </c>
      <c r="W407" s="2" t="s">
        <v>1186</v>
      </c>
      <c r="X407" s="2" t="s">
        <v>1186</v>
      </c>
      <c r="Y407" s="13"/>
      <c r="Z407" s="14">
        <v>0.0</v>
      </c>
      <c r="AA407" s="14">
        <v>0.0</v>
      </c>
      <c r="AB407" s="14">
        <v>0.0</v>
      </c>
      <c r="AC407" s="14">
        <v>0.0</v>
      </c>
      <c r="AD407" s="2">
        <v>0.0</v>
      </c>
      <c r="AE407" s="2">
        <v>0.0</v>
      </c>
      <c r="AF407" s="2" t="s">
        <v>1186</v>
      </c>
      <c r="AG407" s="2" t="s">
        <v>1186</v>
      </c>
      <c r="AH407" s="2">
        <v>0.0</v>
      </c>
    </row>
    <row r="408" ht="15.75" customHeight="1">
      <c r="B408" s="12"/>
      <c r="C408" s="13"/>
      <c r="D408" s="14"/>
      <c r="E408" s="15"/>
      <c r="G408" s="15"/>
      <c r="O408" s="15"/>
      <c r="Q408" s="17"/>
      <c r="S408" s="17"/>
      <c r="T408" s="17"/>
      <c r="U408" s="14"/>
      <c r="V408" s="14" t="s">
        <v>1186</v>
      </c>
      <c r="W408" s="2" t="s">
        <v>1186</v>
      </c>
      <c r="X408" s="2" t="s">
        <v>1186</v>
      </c>
      <c r="Y408" s="13"/>
      <c r="Z408" s="14">
        <v>0.0</v>
      </c>
      <c r="AA408" s="14">
        <v>0.0</v>
      </c>
      <c r="AB408" s="14">
        <v>0.0</v>
      </c>
      <c r="AC408" s="14">
        <v>0.0</v>
      </c>
      <c r="AD408" s="2">
        <v>0.0</v>
      </c>
      <c r="AE408" s="2">
        <v>0.0</v>
      </c>
      <c r="AF408" s="2" t="s">
        <v>1186</v>
      </c>
      <c r="AG408" s="2" t="s">
        <v>1186</v>
      </c>
      <c r="AH408" s="2">
        <v>0.0</v>
      </c>
    </row>
    <row r="409" ht="15.75" customHeight="1">
      <c r="B409" s="12"/>
      <c r="C409" s="13"/>
      <c r="D409" s="14"/>
      <c r="E409" s="15"/>
      <c r="G409" s="15"/>
      <c r="O409" s="15"/>
      <c r="Q409" s="17"/>
      <c r="S409" s="17"/>
      <c r="T409" s="17"/>
      <c r="U409" s="14"/>
      <c r="V409" s="14" t="s">
        <v>1186</v>
      </c>
      <c r="W409" s="2" t="s">
        <v>1186</v>
      </c>
      <c r="X409" s="2" t="s">
        <v>1186</v>
      </c>
      <c r="Y409" s="13"/>
      <c r="Z409" s="14">
        <v>0.0</v>
      </c>
      <c r="AA409" s="14">
        <v>0.0</v>
      </c>
      <c r="AB409" s="14">
        <v>0.0</v>
      </c>
      <c r="AC409" s="14">
        <v>0.0</v>
      </c>
      <c r="AD409" s="2">
        <v>0.0</v>
      </c>
      <c r="AE409" s="2">
        <v>0.0</v>
      </c>
      <c r="AF409" s="2" t="s">
        <v>1186</v>
      </c>
      <c r="AG409" s="2" t="s">
        <v>1186</v>
      </c>
      <c r="AH409" s="2">
        <v>0.0</v>
      </c>
    </row>
    <row r="410" ht="15.75" customHeight="1">
      <c r="B410" s="12"/>
      <c r="C410" s="13"/>
      <c r="D410" s="14"/>
      <c r="E410" s="15"/>
      <c r="G410" s="15"/>
      <c r="O410" s="15"/>
      <c r="Q410" s="17"/>
      <c r="S410" s="17"/>
      <c r="T410" s="17"/>
      <c r="U410" s="14"/>
      <c r="V410" s="14" t="s">
        <v>1186</v>
      </c>
      <c r="W410" s="2" t="s">
        <v>1186</v>
      </c>
      <c r="X410" s="2" t="s">
        <v>1186</v>
      </c>
      <c r="Y410" s="13"/>
      <c r="Z410" s="14">
        <v>0.0</v>
      </c>
      <c r="AA410" s="14">
        <v>0.0</v>
      </c>
      <c r="AB410" s="14">
        <v>0.0</v>
      </c>
      <c r="AC410" s="14">
        <v>0.0</v>
      </c>
      <c r="AD410" s="2">
        <v>0.0</v>
      </c>
      <c r="AE410" s="2">
        <v>0.0</v>
      </c>
      <c r="AF410" s="2" t="s">
        <v>1186</v>
      </c>
      <c r="AG410" s="2" t="s">
        <v>1186</v>
      </c>
      <c r="AH410" s="2">
        <v>0.0</v>
      </c>
    </row>
    <row r="411" ht="15.75" customHeight="1">
      <c r="B411" s="12"/>
      <c r="C411" s="13"/>
      <c r="D411" s="14"/>
      <c r="E411" s="15"/>
      <c r="G411" s="15"/>
      <c r="O411" s="15"/>
      <c r="Q411" s="17"/>
      <c r="S411" s="17"/>
      <c r="T411" s="17"/>
      <c r="U411" s="14"/>
      <c r="V411" s="14" t="s">
        <v>1186</v>
      </c>
      <c r="W411" s="2" t="s">
        <v>1186</v>
      </c>
      <c r="X411" s="2" t="s">
        <v>1186</v>
      </c>
      <c r="Y411" s="13"/>
      <c r="Z411" s="14">
        <v>0.0</v>
      </c>
      <c r="AA411" s="14">
        <v>0.0</v>
      </c>
      <c r="AB411" s="14">
        <v>0.0</v>
      </c>
      <c r="AC411" s="14">
        <v>0.0</v>
      </c>
      <c r="AD411" s="2">
        <v>0.0</v>
      </c>
      <c r="AE411" s="2">
        <v>0.0</v>
      </c>
      <c r="AF411" s="2" t="s">
        <v>1186</v>
      </c>
      <c r="AG411" s="2" t="s">
        <v>1186</v>
      </c>
      <c r="AH411" s="2">
        <v>0.0</v>
      </c>
    </row>
    <row r="412" ht="15.75" customHeight="1">
      <c r="B412" s="12"/>
      <c r="C412" s="13"/>
      <c r="D412" s="14"/>
      <c r="E412" s="15"/>
      <c r="G412" s="15"/>
      <c r="O412" s="15"/>
      <c r="Q412" s="17"/>
      <c r="S412" s="17"/>
      <c r="T412" s="17"/>
      <c r="U412" s="14"/>
      <c r="V412" s="14" t="s">
        <v>1186</v>
      </c>
      <c r="W412" s="2" t="s">
        <v>1186</v>
      </c>
      <c r="X412" s="2" t="s">
        <v>1186</v>
      </c>
      <c r="Y412" s="13"/>
      <c r="Z412" s="14">
        <v>0.0</v>
      </c>
      <c r="AA412" s="14">
        <v>0.0</v>
      </c>
      <c r="AB412" s="14">
        <v>0.0</v>
      </c>
      <c r="AC412" s="14">
        <v>0.0</v>
      </c>
      <c r="AD412" s="2">
        <v>0.0</v>
      </c>
      <c r="AE412" s="2">
        <v>0.0</v>
      </c>
      <c r="AF412" s="2" t="s">
        <v>1186</v>
      </c>
      <c r="AG412" s="2" t="s">
        <v>1186</v>
      </c>
      <c r="AH412" s="2">
        <v>0.0</v>
      </c>
    </row>
    <row r="413" ht="15.75" customHeight="1">
      <c r="B413" s="12"/>
      <c r="C413" s="13"/>
      <c r="D413" s="14"/>
      <c r="E413" s="15"/>
      <c r="G413" s="15"/>
      <c r="O413" s="15"/>
      <c r="Q413" s="17"/>
      <c r="S413" s="17"/>
      <c r="T413" s="17"/>
      <c r="U413" s="14"/>
      <c r="V413" s="14" t="s">
        <v>1186</v>
      </c>
      <c r="W413" s="2" t="s">
        <v>1186</v>
      </c>
      <c r="X413" s="2" t="s">
        <v>1186</v>
      </c>
      <c r="Y413" s="13"/>
      <c r="Z413" s="14">
        <v>0.0</v>
      </c>
      <c r="AA413" s="14">
        <v>0.0</v>
      </c>
      <c r="AB413" s="14">
        <v>0.0</v>
      </c>
      <c r="AC413" s="14">
        <v>0.0</v>
      </c>
      <c r="AD413" s="2">
        <v>0.0</v>
      </c>
      <c r="AE413" s="2">
        <v>0.0</v>
      </c>
      <c r="AF413" s="2" t="s">
        <v>1186</v>
      </c>
      <c r="AG413" s="2" t="s">
        <v>1186</v>
      </c>
      <c r="AH413" s="2">
        <v>0.0</v>
      </c>
    </row>
    <row r="414" ht="15.75" customHeight="1">
      <c r="B414" s="12"/>
      <c r="C414" s="13"/>
      <c r="D414" s="14"/>
      <c r="E414" s="15"/>
      <c r="G414" s="15"/>
      <c r="O414" s="15"/>
      <c r="Q414" s="17"/>
      <c r="S414" s="17"/>
      <c r="T414" s="17"/>
      <c r="U414" s="14"/>
      <c r="V414" s="14" t="s">
        <v>1186</v>
      </c>
      <c r="W414" s="2" t="s">
        <v>1186</v>
      </c>
      <c r="X414" s="2" t="s">
        <v>1186</v>
      </c>
      <c r="Y414" s="13"/>
      <c r="Z414" s="14">
        <v>0.0</v>
      </c>
      <c r="AA414" s="14">
        <v>0.0</v>
      </c>
      <c r="AB414" s="14">
        <v>0.0</v>
      </c>
      <c r="AC414" s="14">
        <v>0.0</v>
      </c>
      <c r="AD414" s="2">
        <v>0.0</v>
      </c>
      <c r="AE414" s="2">
        <v>0.0</v>
      </c>
      <c r="AF414" s="2" t="s">
        <v>1186</v>
      </c>
      <c r="AG414" s="2" t="s">
        <v>1186</v>
      </c>
      <c r="AH414" s="2">
        <v>0.0</v>
      </c>
    </row>
    <row r="415" ht="15.75" customHeight="1">
      <c r="B415" s="12"/>
      <c r="C415" s="13"/>
      <c r="D415" s="14"/>
      <c r="E415" s="15"/>
      <c r="G415" s="15"/>
      <c r="O415" s="15"/>
      <c r="Q415" s="17"/>
      <c r="S415" s="17"/>
      <c r="T415" s="17"/>
      <c r="U415" s="14"/>
      <c r="V415" s="14" t="s">
        <v>1186</v>
      </c>
      <c r="W415" s="2" t="s">
        <v>1186</v>
      </c>
      <c r="X415" s="2" t="s">
        <v>1186</v>
      </c>
      <c r="Y415" s="13"/>
      <c r="Z415" s="14">
        <v>0.0</v>
      </c>
      <c r="AA415" s="14">
        <v>0.0</v>
      </c>
      <c r="AB415" s="14">
        <v>0.0</v>
      </c>
      <c r="AC415" s="14">
        <v>0.0</v>
      </c>
      <c r="AD415" s="2">
        <v>0.0</v>
      </c>
      <c r="AE415" s="2">
        <v>0.0</v>
      </c>
      <c r="AF415" s="2" t="s">
        <v>1186</v>
      </c>
      <c r="AG415" s="2" t="s">
        <v>1186</v>
      </c>
      <c r="AH415" s="2">
        <v>0.0</v>
      </c>
    </row>
    <row r="416" ht="15.75" customHeight="1">
      <c r="B416" s="12"/>
      <c r="C416" s="13"/>
      <c r="D416" s="14"/>
      <c r="E416" s="15"/>
      <c r="G416" s="15"/>
      <c r="O416" s="15"/>
      <c r="Q416" s="17"/>
      <c r="S416" s="17"/>
      <c r="T416" s="17"/>
      <c r="U416" s="14"/>
      <c r="V416" s="14" t="s">
        <v>1186</v>
      </c>
      <c r="W416" s="2" t="s">
        <v>1186</v>
      </c>
      <c r="X416" s="2" t="s">
        <v>1186</v>
      </c>
      <c r="Y416" s="13"/>
      <c r="Z416" s="14">
        <v>0.0</v>
      </c>
      <c r="AA416" s="14">
        <v>0.0</v>
      </c>
      <c r="AB416" s="14">
        <v>0.0</v>
      </c>
      <c r="AC416" s="14">
        <v>0.0</v>
      </c>
      <c r="AD416" s="2">
        <v>0.0</v>
      </c>
      <c r="AE416" s="2">
        <v>0.0</v>
      </c>
      <c r="AF416" s="2" t="s">
        <v>1186</v>
      </c>
      <c r="AG416" s="2" t="s">
        <v>1186</v>
      </c>
      <c r="AH416" s="2">
        <v>0.0</v>
      </c>
    </row>
    <row r="417" ht="15.75" customHeight="1">
      <c r="B417" s="12"/>
      <c r="C417" s="13"/>
      <c r="D417" s="14"/>
      <c r="E417" s="15"/>
      <c r="G417" s="15"/>
      <c r="O417" s="15"/>
      <c r="Q417" s="17"/>
      <c r="S417" s="17"/>
      <c r="T417" s="17"/>
      <c r="U417" s="14"/>
      <c r="V417" s="14" t="s">
        <v>1186</v>
      </c>
      <c r="W417" s="2" t="s">
        <v>1186</v>
      </c>
      <c r="X417" s="2" t="s">
        <v>1186</v>
      </c>
      <c r="Y417" s="13"/>
      <c r="Z417" s="14">
        <v>0.0</v>
      </c>
      <c r="AA417" s="14">
        <v>0.0</v>
      </c>
      <c r="AB417" s="14">
        <v>0.0</v>
      </c>
      <c r="AC417" s="14">
        <v>0.0</v>
      </c>
      <c r="AD417" s="2">
        <v>0.0</v>
      </c>
      <c r="AE417" s="2">
        <v>0.0</v>
      </c>
      <c r="AF417" s="2" t="s">
        <v>1186</v>
      </c>
      <c r="AG417" s="2" t="s">
        <v>1186</v>
      </c>
      <c r="AH417" s="2">
        <v>0.0</v>
      </c>
    </row>
    <row r="418" ht="15.75" customHeight="1">
      <c r="B418" s="12"/>
      <c r="C418" s="13"/>
      <c r="D418" s="14"/>
      <c r="E418" s="15"/>
      <c r="G418" s="15"/>
      <c r="O418" s="15"/>
      <c r="Q418" s="17"/>
      <c r="S418" s="17"/>
      <c r="T418" s="17"/>
      <c r="U418" s="14"/>
      <c r="V418" s="14" t="s">
        <v>1186</v>
      </c>
      <c r="W418" s="2" t="s">
        <v>1186</v>
      </c>
      <c r="X418" s="2" t="s">
        <v>1186</v>
      </c>
      <c r="Y418" s="13"/>
      <c r="Z418" s="14">
        <v>0.0</v>
      </c>
      <c r="AA418" s="14">
        <v>0.0</v>
      </c>
      <c r="AB418" s="14">
        <v>0.0</v>
      </c>
      <c r="AC418" s="14">
        <v>0.0</v>
      </c>
      <c r="AD418" s="2">
        <v>0.0</v>
      </c>
      <c r="AE418" s="2">
        <v>0.0</v>
      </c>
      <c r="AF418" s="2" t="s">
        <v>1186</v>
      </c>
      <c r="AG418" s="2" t="s">
        <v>1186</v>
      </c>
      <c r="AH418" s="2">
        <v>0.0</v>
      </c>
    </row>
    <row r="419" ht="15.75" customHeight="1">
      <c r="B419" s="12"/>
      <c r="C419" s="13"/>
      <c r="D419" s="14"/>
      <c r="E419" s="15"/>
      <c r="G419" s="15"/>
      <c r="O419" s="15"/>
      <c r="Q419" s="17"/>
      <c r="S419" s="17"/>
      <c r="T419" s="17"/>
      <c r="U419" s="14"/>
      <c r="V419" s="14" t="s">
        <v>1186</v>
      </c>
      <c r="W419" s="2" t="s">
        <v>1186</v>
      </c>
      <c r="X419" s="2" t="s">
        <v>1186</v>
      </c>
      <c r="Y419" s="13"/>
      <c r="Z419" s="14">
        <v>0.0</v>
      </c>
      <c r="AA419" s="14">
        <v>0.0</v>
      </c>
      <c r="AB419" s="14">
        <v>0.0</v>
      </c>
      <c r="AC419" s="14">
        <v>0.0</v>
      </c>
      <c r="AD419" s="2">
        <v>0.0</v>
      </c>
      <c r="AE419" s="2">
        <v>0.0</v>
      </c>
      <c r="AF419" s="2" t="s">
        <v>1186</v>
      </c>
      <c r="AG419" s="2" t="s">
        <v>1186</v>
      </c>
      <c r="AH419" s="2">
        <v>0.0</v>
      </c>
    </row>
    <row r="420" ht="15.75" customHeight="1">
      <c r="B420" s="12"/>
      <c r="C420" s="13"/>
      <c r="D420" s="14"/>
      <c r="E420" s="15"/>
      <c r="G420" s="15"/>
      <c r="O420" s="15"/>
      <c r="Q420" s="17"/>
      <c r="S420" s="17"/>
      <c r="T420" s="17"/>
      <c r="U420" s="14"/>
      <c r="V420" s="14" t="s">
        <v>1186</v>
      </c>
      <c r="W420" s="2" t="s">
        <v>1186</v>
      </c>
      <c r="X420" s="2" t="s">
        <v>1186</v>
      </c>
      <c r="Y420" s="13"/>
      <c r="Z420" s="14">
        <v>0.0</v>
      </c>
      <c r="AA420" s="14">
        <v>0.0</v>
      </c>
      <c r="AB420" s="14">
        <v>0.0</v>
      </c>
      <c r="AC420" s="14">
        <v>0.0</v>
      </c>
      <c r="AD420" s="2">
        <v>0.0</v>
      </c>
      <c r="AE420" s="2">
        <v>0.0</v>
      </c>
      <c r="AF420" s="2" t="s">
        <v>1186</v>
      </c>
      <c r="AG420" s="2" t="s">
        <v>1186</v>
      </c>
      <c r="AH420" s="2">
        <v>0.0</v>
      </c>
    </row>
    <row r="421" ht="15.75" customHeight="1">
      <c r="B421" s="12"/>
      <c r="C421" s="13"/>
      <c r="D421" s="14"/>
      <c r="E421" s="15"/>
      <c r="G421" s="15"/>
      <c r="O421" s="15"/>
      <c r="Q421" s="17"/>
      <c r="S421" s="17"/>
      <c r="T421" s="17"/>
      <c r="U421" s="14"/>
      <c r="V421" s="14" t="s">
        <v>1186</v>
      </c>
      <c r="W421" s="2" t="s">
        <v>1186</v>
      </c>
      <c r="X421" s="2" t="s">
        <v>1186</v>
      </c>
      <c r="Y421" s="13"/>
      <c r="Z421" s="14">
        <v>0.0</v>
      </c>
      <c r="AA421" s="14">
        <v>0.0</v>
      </c>
      <c r="AB421" s="14">
        <v>0.0</v>
      </c>
      <c r="AC421" s="14">
        <v>0.0</v>
      </c>
      <c r="AD421" s="2">
        <v>0.0</v>
      </c>
      <c r="AE421" s="2">
        <v>0.0</v>
      </c>
      <c r="AF421" s="2" t="s">
        <v>1186</v>
      </c>
      <c r="AG421" s="2" t="s">
        <v>1186</v>
      </c>
      <c r="AH421" s="2">
        <v>0.0</v>
      </c>
    </row>
    <row r="422" ht="15.75" customHeight="1">
      <c r="B422" s="12"/>
      <c r="C422" s="13"/>
      <c r="D422" s="14"/>
      <c r="E422" s="15"/>
      <c r="G422" s="15"/>
      <c r="O422" s="15"/>
      <c r="Q422" s="17"/>
      <c r="S422" s="17"/>
      <c r="T422" s="17"/>
      <c r="U422" s="14"/>
      <c r="V422" s="14" t="s">
        <v>1186</v>
      </c>
      <c r="W422" s="2" t="s">
        <v>1186</v>
      </c>
      <c r="X422" s="2" t="s">
        <v>1186</v>
      </c>
      <c r="Y422" s="13"/>
      <c r="Z422" s="14">
        <v>0.0</v>
      </c>
      <c r="AA422" s="14">
        <v>0.0</v>
      </c>
      <c r="AB422" s="14">
        <v>0.0</v>
      </c>
      <c r="AC422" s="14">
        <v>0.0</v>
      </c>
      <c r="AD422" s="2">
        <v>0.0</v>
      </c>
      <c r="AE422" s="2">
        <v>0.0</v>
      </c>
      <c r="AF422" s="2" t="s">
        <v>1186</v>
      </c>
      <c r="AG422" s="2" t="s">
        <v>1186</v>
      </c>
      <c r="AH422" s="2">
        <v>0.0</v>
      </c>
    </row>
    <row r="423" ht="15.75" customHeight="1">
      <c r="B423" s="12"/>
      <c r="C423" s="13"/>
      <c r="D423" s="14"/>
      <c r="E423" s="15"/>
      <c r="G423" s="15"/>
      <c r="O423" s="15"/>
      <c r="Q423" s="17"/>
      <c r="S423" s="17"/>
      <c r="T423" s="17"/>
      <c r="U423" s="14"/>
      <c r="V423" s="14" t="s">
        <v>1186</v>
      </c>
      <c r="W423" s="2" t="s">
        <v>1186</v>
      </c>
      <c r="X423" s="2" t="s">
        <v>1186</v>
      </c>
      <c r="Y423" s="13"/>
      <c r="Z423" s="14">
        <v>0.0</v>
      </c>
      <c r="AA423" s="14">
        <v>0.0</v>
      </c>
      <c r="AB423" s="14">
        <v>0.0</v>
      </c>
      <c r="AC423" s="14">
        <v>0.0</v>
      </c>
      <c r="AD423" s="2">
        <v>0.0</v>
      </c>
      <c r="AE423" s="2">
        <v>0.0</v>
      </c>
      <c r="AF423" s="2" t="s">
        <v>1186</v>
      </c>
      <c r="AG423" s="2" t="s">
        <v>1186</v>
      </c>
      <c r="AH423" s="2">
        <v>0.0</v>
      </c>
    </row>
    <row r="424" ht="15.75" customHeight="1">
      <c r="B424" s="12"/>
      <c r="C424" s="13"/>
      <c r="D424" s="14"/>
      <c r="E424" s="15"/>
      <c r="G424" s="15"/>
      <c r="O424" s="15"/>
      <c r="Q424" s="17"/>
      <c r="S424" s="17"/>
      <c r="T424" s="17"/>
      <c r="U424" s="14"/>
      <c r="V424" s="14" t="s">
        <v>1186</v>
      </c>
      <c r="W424" s="2" t="s">
        <v>1186</v>
      </c>
      <c r="X424" s="2" t="s">
        <v>1186</v>
      </c>
      <c r="Y424" s="13"/>
      <c r="Z424" s="14">
        <v>0.0</v>
      </c>
      <c r="AA424" s="14">
        <v>0.0</v>
      </c>
      <c r="AB424" s="14">
        <v>0.0</v>
      </c>
      <c r="AC424" s="14">
        <v>0.0</v>
      </c>
      <c r="AD424" s="2">
        <v>0.0</v>
      </c>
      <c r="AE424" s="2">
        <v>0.0</v>
      </c>
      <c r="AF424" s="2" t="s">
        <v>1186</v>
      </c>
      <c r="AG424" s="2" t="s">
        <v>1186</v>
      </c>
      <c r="AH424" s="2">
        <v>0.0</v>
      </c>
    </row>
    <row r="425" ht="15.75" customHeight="1">
      <c r="B425" s="12"/>
      <c r="C425" s="13"/>
      <c r="D425" s="14"/>
      <c r="E425" s="15"/>
      <c r="G425" s="15"/>
      <c r="O425" s="15"/>
      <c r="Q425" s="17"/>
      <c r="S425" s="17"/>
      <c r="T425" s="17"/>
      <c r="U425" s="14"/>
      <c r="V425" s="14" t="s">
        <v>1186</v>
      </c>
      <c r="W425" s="2" t="s">
        <v>1186</v>
      </c>
      <c r="X425" s="2" t="s">
        <v>1186</v>
      </c>
      <c r="Y425" s="13"/>
      <c r="Z425" s="14">
        <v>0.0</v>
      </c>
      <c r="AA425" s="14">
        <v>0.0</v>
      </c>
      <c r="AB425" s="14">
        <v>0.0</v>
      </c>
      <c r="AC425" s="14">
        <v>0.0</v>
      </c>
      <c r="AD425" s="2">
        <v>0.0</v>
      </c>
      <c r="AE425" s="2">
        <v>0.0</v>
      </c>
      <c r="AF425" s="2" t="s">
        <v>1186</v>
      </c>
      <c r="AG425" s="2" t="s">
        <v>1186</v>
      </c>
      <c r="AH425" s="2">
        <v>0.0</v>
      </c>
    </row>
    <row r="426" ht="15.75" customHeight="1">
      <c r="B426" s="12"/>
      <c r="C426" s="13"/>
      <c r="D426" s="14"/>
      <c r="E426" s="15"/>
      <c r="G426" s="15"/>
      <c r="O426" s="15"/>
      <c r="Q426" s="17"/>
      <c r="S426" s="17"/>
      <c r="T426" s="17"/>
      <c r="U426" s="14"/>
      <c r="V426" s="14" t="s">
        <v>1186</v>
      </c>
      <c r="W426" s="2" t="s">
        <v>1186</v>
      </c>
      <c r="X426" s="2" t="s">
        <v>1186</v>
      </c>
      <c r="Y426" s="13"/>
      <c r="Z426" s="14">
        <v>0.0</v>
      </c>
      <c r="AA426" s="14">
        <v>0.0</v>
      </c>
      <c r="AB426" s="14">
        <v>0.0</v>
      </c>
      <c r="AC426" s="14">
        <v>0.0</v>
      </c>
      <c r="AD426" s="2">
        <v>0.0</v>
      </c>
      <c r="AE426" s="2">
        <v>0.0</v>
      </c>
      <c r="AF426" s="2" t="s">
        <v>1186</v>
      </c>
      <c r="AG426" s="2" t="s">
        <v>1186</v>
      </c>
      <c r="AH426" s="2">
        <v>0.0</v>
      </c>
    </row>
    <row r="427" ht="15.75" customHeight="1">
      <c r="B427" s="12"/>
      <c r="C427" s="13"/>
      <c r="D427" s="14"/>
      <c r="E427" s="15"/>
      <c r="G427" s="15"/>
      <c r="O427" s="15"/>
      <c r="Q427" s="17"/>
      <c r="S427" s="17"/>
      <c r="T427" s="17"/>
      <c r="U427" s="14"/>
      <c r="V427" s="14" t="s">
        <v>1186</v>
      </c>
      <c r="W427" s="2" t="s">
        <v>1186</v>
      </c>
      <c r="X427" s="2" t="s">
        <v>1186</v>
      </c>
      <c r="Y427" s="13"/>
      <c r="Z427" s="14">
        <v>0.0</v>
      </c>
      <c r="AA427" s="14">
        <v>0.0</v>
      </c>
      <c r="AB427" s="14">
        <v>0.0</v>
      </c>
      <c r="AC427" s="14">
        <v>0.0</v>
      </c>
      <c r="AD427" s="2">
        <v>0.0</v>
      </c>
      <c r="AE427" s="2">
        <v>0.0</v>
      </c>
      <c r="AF427" s="2" t="s">
        <v>1186</v>
      </c>
      <c r="AG427" s="2" t="s">
        <v>1186</v>
      </c>
      <c r="AH427" s="2">
        <v>0.0</v>
      </c>
    </row>
    <row r="428" ht="15.75" customHeight="1">
      <c r="B428" s="12"/>
      <c r="C428" s="13"/>
      <c r="D428" s="14"/>
      <c r="E428" s="15"/>
      <c r="G428" s="15"/>
      <c r="O428" s="15"/>
      <c r="Q428" s="17"/>
      <c r="S428" s="17"/>
      <c r="T428" s="17"/>
      <c r="U428" s="14"/>
      <c r="V428" s="14" t="s">
        <v>1186</v>
      </c>
      <c r="W428" s="2" t="s">
        <v>1186</v>
      </c>
      <c r="X428" s="2" t="s">
        <v>1186</v>
      </c>
      <c r="Y428" s="13"/>
      <c r="Z428" s="14">
        <v>0.0</v>
      </c>
      <c r="AA428" s="14">
        <v>0.0</v>
      </c>
      <c r="AB428" s="14">
        <v>0.0</v>
      </c>
      <c r="AC428" s="14">
        <v>0.0</v>
      </c>
      <c r="AD428" s="2">
        <v>0.0</v>
      </c>
      <c r="AE428" s="2">
        <v>0.0</v>
      </c>
      <c r="AF428" s="2" t="s">
        <v>1186</v>
      </c>
      <c r="AG428" s="2" t="s">
        <v>1186</v>
      </c>
      <c r="AH428" s="2">
        <v>0.0</v>
      </c>
    </row>
    <row r="429" ht="15.75" customHeight="1">
      <c r="B429" s="12"/>
      <c r="C429" s="13"/>
      <c r="D429" s="14"/>
      <c r="E429" s="15"/>
      <c r="G429" s="15"/>
      <c r="O429" s="15"/>
      <c r="Q429" s="17"/>
      <c r="S429" s="17"/>
      <c r="T429" s="17"/>
      <c r="U429" s="14"/>
      <c r="V429" s="14" t="s">
        <v>1186</v>
      </c>
      <c r="W429" s="2" t="s">
        <v>1186</v>
      </c>
      <c r="X429" s="2" t="s">
        <v>1186</v>
      </c>
      <c r="Y429" s="13"/>
      <c r="Z429" s="14">
        <v>0.0</v>
      </c>
      <c r="AA429" s="14">
        <v>0.0</v>
      </c>
      <c r="AB429" s="14">
        <v>0.0</v>
      </c>
      <c r="AC429" s="14">
        <v>0.0</v>
      </c>
      <c r="AD429" s="2">
        <v>0.0</v>
      </c>
      <c r="AE429" s="2">
        <v>0.0</v>
      </c>
      <c r="AF429" s="2" t="s">
        <v>1186</v>
      </c>
      <c r="AG429" s="2" t="s">
        <v>1186</v>
      </c>
      <c r="AH429" s="2">
        <v>0.0</v>
      </c>
    </row>
    <row r="430" ht="15.75" customHeight="1">
      <c r="B430" s="12"/>
      <c r="C430" s="13"/>
      <c r="D430" s="14"/>
      <c r="E430" s="15"/>
      <c r="G430" s="15"/>
      <c r="O430" s="15"/>
      <c r="Q430" s="17"/>
      <c r="S430" s="17"/>
      <c r="T430" s="17"/>
      <c r="U430" s="14"/>
      <c r="V430" s="14" t="s">
        <v>1186</v>
      </c>
      <c r="W430" s="2" t="s">
        <v>1186</v>
      </c>
      <c r="X430" s="2" t="s">
        <v>1186</v>
      </c>
      <c r="Y430" s="13"/>
      <c r="Z430" s="14">
        <v>0.0</v>
      </c>
      <c r="AA430" s="14">
        <v>0.0</v>
      </c>
      <c r="AB430" s="14">
        <v>0.0</v>
      </c>
      <c r="AC430" s="14">
        <v>0.0</v>
      </c>
      <c r="AD430" s="2">
        <v>0.0</v>
      </c>
      <c r="AE430" s="2">
        <v>0.0</v>
      </c>
      <c r="AF430" s="2" t="s">
        <v>1186</v>
      </c>
      <c r="AG430" s="2" t="s">
        <v>1186</v>
      </c>
      <c r="AH430" s="2">
        <v>0.0</v>
      </c>
    </row>
    <row r="431" ht="15.75" customHeight="1">
      <c r="B431" s="12"/>
      <c r="C431" s="13"/>
      <c r="D431" s="14"/>
      <c r="E431" s="15"/>
      <c r="G431" s="15"/>
      <c r="O431" s="15"/>
      <c r="Q431" s="17"/>
      <c r="S431" s="17"/>
      <c r="T431" s="17"/>
      <c r="U431" s="14"/>
      <c r="V431" s="14" t="s">
        <v>1186</v>
      </c>
      <c r="W431" s="2" t="s">
        <v>1186</v>
      </c>
      <c r="X431" s="2" t="s">
        <v>1186</v>
      </c>
      <c r="Y431" s="13"/>
      <c r="Z431" s="14">
        <v>0.0</v>
      </c>
      <c r="AA431" s="14">
        <v>0.0</v>
      </c>
      <c r="AB431" s="14">
        <v>0.0</v>
      </c>
      <c r="AC431" s="14">
        <v>0.0</v>
      </c>
      <c r="AD431" s="2">
        <v>0.0</v>
      </c>
      <c r="AE431" s="2">
        <v>0.0</v>
      </c>
      <c r="AF431" s="2" t="s">
        <v>1186</v>
      </c>
      <c r="AG431" s="2" t="s">
        <v>1186</v>
      </c>
      <c r="AH431" s="2">
        <v>0.0</v>
      </c>
    </row>
    <row r="432" ht="15.75" customHeight="1">
      <c r="B432" s="12"/>
      <c r="C432" s="13"/>
      <c r="D432" s="14"/>
      <c r="E432" s="15"/>
      <c r="G432" s="15"/>
      <c r="O432" s="15"/>
      <c r="Q432" s="17"/>
      <c r="S432" s="17"/>
      <c r="T432" s="17"/>
      <c r="U432" s="14"/>
      <c r="V432" s="14" t="s">
        <v>1186</v>
      </c>
      <c r="W432" s="2" t="s">
        <v>1186</v>
      </c>
      <c r="X432" s="2" t="s">
        <v>1186</v>
      </c>
      <c r="Y432" s="13"/>
      <c r="Z432" s="14">
        <v>0.0</v>
      </c>
      <c r="AA432" s="14">
        <v>0.0</v>
      </c>
      <c r="AB432" s="14">
        <v>0.0</v>
      </c>
      <c r="AC432" s="14">
        <v>0.0</v>
      </c>
      <c r="AD432" s="2">
        <v>0.0</v>
      </c>
      <c r="AE432" s="2">
        <v>0.0</v>
      </c>
      <c r="AF432" s="2" t="s">
        <v>1186</v>
      </c>
      <c r="AG432" s="2" t="s">
        <v>1186</v>
      </c>
      <c r="AH432" s="2">
        <v>0.0</v>
      </c>
    </row>
    <row r="433" ht="15.75" customHeight="1">
      <c r="B433" s="12"/>
      <c r="C433" s="13"/>
      <c r="D433" s="14"/>
      <c r="E433" s="15"/>
      <c r="G433" s="15"/>
      <c r="O433" s="15"/>
      <c r="Q433" s="17"/>
      <c r="S433" s="17"/>
      <c r="T433" s="17"/>
      <c r="U433" s="14"/>
      <c r="V433" s="14" t="s">
        <v>1186</v>
      </c>
      <c r="W433" s="2" t="s">
        <v>1186</v>
      </c>
      <c r="X433" s="2" t="s">
        <v>1186</v>
      </c>
      <c r="Y433" s="13"/>
      <c r="Z433" s="14">
        <v>0.0</v>
      </c>
      <c r="AA433" s="14">
        <v>0.0</v>
      </c>
      <c r="AB433" s="14">
        <v>0.0</v>
      </c>
      <c r="AC433" s="14">
        <v>0.0</v>
      </c>
      <c r="AD433" s="2">
        <v>0.0</v>
      </c>
      <c r="AE433" s="2">
        <v>0.0</v>
      </c>
      <c r="AF433" s="2" t="s">
        <v>1186</v>
      </c>
      <c r="AG433" s="2" t="s">
        <v>1186</v>
      </c>
      <c r="AH433" s="2">
        <v>0.0</v>
      </c>
    </row>
    <row r="434" ht="15.75" customHeight="1">
      <c r="B434" s="12"/>
      <c r="C434" s="13"/>
      <c r="D434" s="14"/>
      <c r="E434" s="15"/>
      <c r="G434" s="15"/>
      <c r="O434" s="15"/>
      <c r="Q434" s="17"/>
      <c r="S434" s="17"/>
      <c r="T434" s="17"/>
      <c r="U434" s="14"/>
      <c r="V434" s="14" t="s">
        <v>1186</v>
      </c>
      <c r="W434" s="2" t="s">
        <v>1186</v>
      </c>
      <c r="X434" s="2" t="s">
        <v>1186</v>
      </c>
      <c r="Y434" s="13"/>
      <c r="Z434" s="14">
        <v>0.0</v>
      </c>
      <c r="AA434" s="14">
        <v>0.0</v>
      </c>
      <c r="AB434" s="14">
        <v>0.0</v>
      </c>
      <c r="AC434" s="14">
        <v>0.0</v>
      </c>
      <c r="AD434" s="2">
        <v>0.0</v>
      </c>
      <c r="AE434" s="2">
        <v>0.0</v>
      </c>
      <c r="AF434" s="2" t="s">
        <v>1186</v>
      </c>
      <c r="AG434" s="2" t="s">
        <v>1186</v>
      </c>
      <c r="AH434" s="2">
        <v>0.0</v>
      </c>
    </row>
    <row r="435" ht="15.75" customHeight="1">
      <c r="B435" s="12"/>
      <c r="C435" s="13"/>
      <c r="D435" s="14"/>
      <c r="E435" s="15"/>
      <c r="G435" s="15"/>
      <c r="O435" s="15"/>
      <c r="Q435" s="17"/>
      <c r="S435" s="17"/>
      <c r="T435" s="17"/>
      <c r="U435" s="14"/>
      <c r="V435" s="14" t="s">
        <v>1186</v>
      </c>
      <c r="W435" s="2" t="s">
        <v>1186</v>
      </c>
      <c r="X435" s="2" t="s">
        <v>1186</v>
      </c>
      <c r="Y435" s="13"/>
      <c r="Z435" s="14">
        <v>0.0</v>
      </c>
      <c r="AA435" s="14">
        <v>0.0</v>
      </c>
      <c r="AB435" s="14">
        <v>0.0</v>
      </c>
      <c r="AC435" s="14">
        <v>0.0</v>
      </c>
      <c r="AD435" s="2">
        <v>0.0</v>
      </c>
      <c r="AE435" s="2">
        <v>0.0</v>
      </c>
      <c r="AF435" s="2" t="s">
        <v>1186</v>
      </c>
      <c r="AG435" s="2" t="s">
        <v>1186</v>
      </c>
      <c r="AH435" s="2">
        <v>0.0</v>
      </c>
    </row>
    <row r="436" ht="15.75" customHeight="1">
      <c r="B436" s="12"/>
      <c r="C436" s="13"/>
      <c r="D436" s="14"/>
      <c r="E436" s="15"/>
      <c r="G436" s="15"/>
      <c r="O436" s="15"/>
      <c r="Q436" s="17"/>
      <c r="S436" s="17"/>
      <c r="T436" s="17"/>
      <c r="U436" s="14"/>
      <c r="V436" s="14" t="s">
        <v>1186</v>
      </c>
      <c r="W436" s="2" t="s">
        <v>1186</v>
      </c>
      <c r="X436" s="2" t="s">
        <v>1186</v>
      </c>
      <c r="Y436" s="13"/>
      <c r="Z436" s="14">
        <v>0.0</v>
      </c>
      <c r="AA436" s="14">
        <v>0.0</v>
      </c>
      <c r="AB436" s="14">
        <v>0.0</v>
      </c>
      <c r="AC436" s="14">
        <v>0.0</v>
      </c>
      <c r="AD436" s="2">
        <v>0.0</v>
      </c>
      <c r="AE436" s="2">
        <v>0.0</v>
      </c>
      <c r="AF436" s="2" t="s">
        <v>1186</v>
      </c>
      <c r="AG436" s="2" t="s">
        <v>1186</v>
      </c>
      <c r="AH436" s="2">
        <v>0.0</v>
      </c>
    </row>
    <row r="437" ht="15.75" customHeight="1">
      <c r="B437" s="12"/>
      <c r="C437" s="13"/>
      <c r="D437" s="14"/>
      <c r="E437" s="15"/>
      <c r="G437" s="15"/>
      <c r="O437" s="15"/>
      <c r="Q437" s="17"/>
      <c r="S437" s="17"/>
      <c r="T437" s="17"/>
      <c r="U437" s="14"/>
      <c r="V437" s="14" t="s">
        <v>1186</v>
      </c>
      <c r="W437" s="2" t="s">
        <v>1186</v>
      </c>
      <c r="X437" s="2" t="s">
        <v>1186</v>
      </c>
      <c r="Y437" s="13"/>
      <c r="Z437" s="14">
        <v>0.0</v>
      </c>
      <c r="AA437" s="14">
        <v>0.0</v>
      </c>
      <c r="AB437" s="14">
        <v>0.0</v>
      </c>
      <c r="AC437" s="14">
        <v>0.0</v>
      </c>
      <c r="AD437" s="2">
        <v>0.0</v>
      </c>
      <c r="AE437" s="2">
        <v>0.0</v>
      </c>
      <c r="AF437" s="2" t="s">
        <v>1186</v>
      </c>
      <c r="AG437" s="2" t="s">
        <v>1186</v>
      </c>
      <c r="AH437" s="2">
        <v>0.0</v>
      </c>
    </row>
    <row r="438" ht="15.75" customHeight="1">
      <c r="B438" s="12"/>
      <c r="C438" s="13"/>
      <c r="D438" s="14"/>
      <c r="E438" s="15"/>
      <c r="G438" s="15"/>
      <c r="O438" s="15"/>
      <c r="Q438" s="17"/>
      <c r="S438" s="17"/>
      <c r="T438" s="17"/>
      <c r="U438" s="14"/>
      <c r="V438" s="14" t="s">
        <v>1186</v>
      </c>
      <c r="W438" s="2" t="s">
        <v>1186</v>
      </c>
      <c r="X438" s="2" t="s">
        <v>1186</v>
      </c>
      <c r="Y438" s="13"/>
      <c r="Z438" s="14">
        <v>0.0</v>
      </c>
      <c r="AA438" s="14">
        <v>0.0</v>
      </c>
      <c r="AB438" s="14">
        <v>0.0</v>
      </c>
      <c r="AC438" s="14">
        <v>0.0</v>
      </c>
      <c r="AD438" s="2">
        <v>0.0</v>
      </c>
      <c r="AE438" s="2">
        <v>0.0</v>
      </c>
      <c r="AF438" s="2" t="s">
        <v>1186</v>
      </c>
      <c r="AG438" s="2" t="s">
        <v>1186</v>
      </c>
      <c r="AH438" s="2">
        <v>0.0</v>
      </c>
    </row>
    <row r="439" ht="15.75" customHeight="1">
      <c r="B439" s="12"/>
      <c r="C439" s="13"/>
      <c r="D439" s="14"/>
      <c r="E439" s="15"/>
      <c r="G439" s="15"/>
      <c r="O439" s="15"/>
      <c r="Q439" s="17"/>
      <c r="S439" s="17"/>
      <c r="T439" s="17"/>
      <c r="U439" s="14"/>
      <c r="V439" s="14" t="s">
        <v>1186</v>
      </c>
      <c r="W439" s="2" t="s">
        <v>1186</v>
      </c>
      <c r="X439" s="2" t="s">
        <v>1186</v>
      </c>
      <c r="Y439" s="13"/>
      <c r="Z439" s="14">
        <v>0.0</v>
      </c>
      <c r="AA439" s="14">
        <v>0.0</v>
      </c>
      <c r="AB439" s="14">
        <v>0.0</v>
      </c>
      <c r="AC439" s="14">
        <v>0.0</v>
      </c>
      <c r="AD439" s="2">
        <v>0.0</v>
      </c>
      <c r="AE439" s="2">
        <v>0.0</v>
      </c>
      <c r="AF439" s="2" t="s">
        <v>1186</v>
      </c>
      <c r="AG439" s="2" t="s">
        <v>1186</v>
      </c>
      <c r="AH439" s="2">
        <v>0.0</v>
      </c>
    </row>
    <row r="440" ht="15.75" customHeight="1">
      <c r="B440" s="12"/>
      <c r="C440" s="13"/>
      <c r="D440" s="14"/>
      <c r="E440" s="15"/>
      <c r="G440" s="15"/>
      <c r="O440" s="15"/>
      <c r="Q440" s="17"/>
      <c r="S440" s="17"/>
      <c r="T440" s="17"/>
      <c r="U440" s="14"/>
      <c r="V440" s="14" t="s">
        <v>1186</v>
      </c>
      <c r="W440" s="2" t="s">
        <v>1186</v>
      </c>
      <c r="X440" s="2" t="s">
        <v>1186</v>
      </c>
      <c r="Y440" s="13"/>
      <c r="Z440" s="14">
        <v>0.0</v>
      </c>
      <c r="AA440" s="14">
        <v>0.0</v>
      </c>
      <c r="AB440" s="14">
        <v>0.0</v>
      </c>
      <c r="AC440" s="14">
        <v>0.0</v>
      </c>
      <c r="AD440" s="2">
        <v>0.0</v>
      </c>
      <c r="AE440" s="2">
        <v>0.0</v>
      </c>
      <c r="AF440" s="2" t="s">
        <v>1186</v>
      </c>
      <c r="AG440" s="2" t="s">
        <v>1186</v>
      </c>
      <c r="AH440" s="2">
        <v>0.0</v>
      </c>
    </row>
    <row r="441" ht="15.75" customHeight="1">
      <c r="B441" s="12"/>
      <c r="C441" s="13"/>
      <c r="D441" s="14"/>
      <c r="E441" s="15"/>
      <c r="G441" s="15"/>
      <c r="O441" s="15"/>
      <c r="Q441" s="17"/>
      <c r="S441" s="17"/>
      <c r="T441" s="17"/>
      <c r="U441" s="14"/>
      <c r="V441" s="14" t="s">
        <v>1186</v>
      </c>
      <c r="W441" s="2" t="s">
        <v>1186</v>
      </c>
      <c r="X441" s="2" t="s">
        <v>1186</v>
      </c>
      <c r="Y441" s="13"/>
      <c r="Z441" s="14">
        <v>0.0</v>
      </c>
      <c r="AA441" s="14">
        <v>0.0</v>
      </c>
      <c r="AB441" s="14">
        <v>0.0</v>
      </c>
      <c r="AC441" s="14">
        <v>0.0</v>
      </c>
      <c r="AD441" s="2">
        <v>0.0</v>
      </c>
      <c r="AE441" s="2">
        <v>0.0</v>
      </c>
      <c r="AF441" s="2" t="s">
        <v>1186</v>
      </c>
      <c r="AG441" s="2" t="s">
        <v>1186</v>
      </c>
      <c r="AH441" s="2">
        <v>0.0</v>
      </c>
    </row>
    <row r="442" ht="15.75" customHeight="1">
      <c r="B442" s="12"/>
      <c r="C442" s="13"/>
      <c r="D442" s="14"/>
      <c r="E442" s="15"/>
      <c r="G442" s="15"/>
      <c r="O442" s="15"/>
      <c r="Q442" s="17"/>
      <c r="S442" s="17"/>
      <c r="T442" s="17"/>
      <c r="U442" s="14"/>
      <c r="V442" s="14" t="s">
        <v>1186</v>
      </c>
      <c r="W442" s="2" t="s">
        <v>1186</v>
      </c>
      <c r="X442" s="2" t="s">
        <v>1186</v>
      </c>
      <c r="Y442" s="13"/>
      <c r="Z442" s="14">
        <v>0.0</v>
      </c>
      <c r="AA442" s="14">
        <v>0.0</v>
      </c>
      <c r="AB442" s="14">
        <v>0.0</v>
      </c>
      <c r="AC442" s="14">
        <v>0.0</v>
      </c>
      <c r="AD442" s="2">
        <v>0.0</v>
      </c>
      <c r="AE442" s="2">
        <v>0.0</v>
      </c>
      <c r="AF442" s="2" t="s">
        <v>1186</v>
      </c>
      <c r="AG442" s="2" t="s">
        <v>1186</v>
      </c>
      <c r="AH442" s="2">
        <v>0.0</v>
      </c>
    </row>
    <row r="443" ht="15.75" customHeight="1">
      <c r="B443" s="12"/>
      <c r="C443" s="13"/>
      <c r="D443" s="14"/>
      <c r="E443" s="15"/>
      <c r="G443" s="15"/>
      <c r="O443" s="15"/>
      <c r="Q443" s="17"/>
      <c r="S443" s="17"/>
      <c r="T443" s="17"/>
      <c r="U443" s="14"/>
      <c r="V443" s="14" t="s">
        <v>1186</v>
      </c>
      <c r="W443" s="2" t="s">
        <v>1186</v>
      </c>
      <c r="X443" s="2" t="s">
        <v>1186</v>
      </c>
      <c r="Y443" s="13"/>
      <c r="Z443" s="14">
        <v>0.0</v>
      </c>
      <c r="AA443" s="14">
        <v>0.0</v>
      </c>
      <c r="AB443" s="14">
        <v>0.0</v>
      </c>
      <c r="AC443" s="14">
        <v>0.0</v>
      </c>
      <c r="AD443" s="2">
        <v>0.0</v>
      </c>
      <c r="AE443" s="2">
        <v>0.0</v>
      </c>
      <c r="AF443" s="2" t="s">
        <v>1186</v>
      </c>
      <c r="AG443" s="2" t="s">
        <v>1186</v>
      </c>
      <c r="AH443" s="2">
        <v>0.0</v>
      </c>
    </row>
    <row r="444" ht="15.75" customHeight="1">
      <c r="B444" s="12"/>
      <c r="C444" s="13"/>
      <c r="D444" s="14"/>
      <c r="E444" s="15"/>
      <c r="G444" s="15"/>
      <c r="O444" s="15"/>
      <c r="Q444" s="17"/>
      <c r="S444" s="17"/>
      <c r="T444" s="17"/>
      <c r="U444" s="14"/>
      <c r="V444" s="14" t="s">
        <v>1186</v>
      </c>
      <c r="W444" s="2" t="s">
        <v>1186</v>
      </c>
      <c r="X444" s="2" t="s">
        <v>1186</v>
      </c>
      <c r="Y444" s="13"/>
      <c r="Z444" s="14">
        <v>0.0</v>
      </c>
      <c r="AA444" s="14">
        <v>0.0</v>
      </c>
      <c r="AB444" s="14">
        <v>0.0</v>
      </c>
      <c r="AC444" s="14">
        <v>0.0</v>
      </c>
      <c r="AD444" s="2">
        <v>0.0</v>
      </c>
      <c r="AE444" s="2">
        <v>0.0</v>
      </c>
      <c r="AF444" s="2" t="s">
        <v>1186</v>
      </c>
      <c r="AG444" s="2" t="s">
        <v>1186</v>
      </c>
      <c r="AH444" s="2">
        <v>0.0</v>
      </c>
    </row>
    <row r="445" ht="15.75" customHeight="1">
      <c r="B445" s="12"/>
      <c r="C445" s="13"/>
      <c r="D445" s="14"/>
      <c r="E445" s="15"/>
      <c r="G445" s="15"/>
      <c r="O445" s="15"/>
      <c r="Q445" s="17"/>
      <c r="S445" s="17"/>
      <c r="T445" s="17"/>
      <c r="U445" s="14"/>
      <c r="V445" s="14" t="s">
        <v>1186</v>
      </c>
      <c r="W445" s="2" t="s">
        <v>1186</v>
      </c>
      <c r="X445" s="2" t="s">
        <v>1186</v>
      </c>
      <c r="Y445" s="13"/>
      <c r="Z445" s="14">
        <v>0.0</v>
      </c>
      <c r="AA445" s="14">
        <v>0.0</v>
      </c>
      <c r="AB445" s="14">
        <v>0.0</v>
      </c>
      <c r="AC445" s="14">
        <v>0.0</v>
      </c>
      <c r="AD445" s="2">
        <v>0.0</v>
      </c>
      <c r="AE445" s="2">
        <v>0.0</v>
      </c>
      <c r="AF445" s="2" t="s">
        <v>1186</v>
      </c>
      <c r="AG445" s="2" t="s">
        <v>1186</v>
      </c>
      <c r="AH445" s="2">
        <v>0.0</v>
      </c>
    </row>
    <row r="446" ht="15.75" customHeight="1">
      <c r="B446" s="12"/>
      <c r="C446" s="13"/>
      <c r="D446" s="14"/>
      <c r="E446" s="15"/>
      <c r="G446" s="15"/>
      <c r="O446" s="15"/>
      <c r="Q446" s="17"/>
      <c r="S446" s="17"/>
      <c r="T446" s="17"/>
      <c r="U446" s="14"/>
      <c r="V446" s="14" t="s">
        <v>1186</v>
      </c>
      <c r="W446" s="2" t="s">
        <v>1186</v>
      </c>
      <c r="X446" s="2" t="s">
        <v>1186</v>
      </c>
      <c r="Y446" s="13"/>
      <c r="Z446" s="14">
        <v>0.0</v>
      </c>
      <c r="AA446" s="14">
        <v>0.0</v>
      </c>
      <c r="AB446" s="14">
        <v>0.0</v>
      </c>
      <c r="AC446" s="14">
        <v>0.0</v>
      </c>
      <c r="AD446" s="2">
        <v>0.0</v>
      </c>
      <c r="AE446" s="2">
        <v>0.0</v>
      </c>
      <c r="AF446" s="2" t="s">
        <v>1186</v>
      </c>
      <c r="AG446" s="2" t="s">
        <v>1186</v>
      </c>
      <c r="AH446" s="2">
        <v>0.0</v>
      </c>
    </row>
    <row r="447" ht="15.75" customHeight="1">
      <c r="B447" s="12"/>
      <c r="C447" s="13"/>
      <c r="D447" s="14"/>
      <c r="E447" s="15"/>
      <c r="G447" s="15"/>
      <c r="O447" s="15"/>
      <c r="Q447" s="17"/>
      <c r="S447" s="17"/>
      <c r="T447" s="17"/>
      <c r="U447" s="14"/>
      <c r="V447" s="14" t="s">
        <v>1186</v>
      </c>
      <c r="W447" s="2" t="s">
        <v>1186</v>
      </c>
      <c r="X447" s="2" t="s">
        <v>1186</v>
      </c>
      <c r="Y447" s="13"/>
      <c r="Z447" s="14">
        <v>0.0</v>
      </c>
      <c r="AA447" s="14">
        <v>0.0</v>
      </c>
      <c r="AB447" s="14">
        <v>0.0</v>
      </c>
      <c r="AC447" s="14">
        <v>0.0</v>
      </c>
      <c r="AD447" s="2">
        <v>0.0</v>
      </c>
      <c r="AE447" s="2">
        <v>0.0</v>
      </c>
      <c r="AF447" s="2" t="s">
        <v>1186</v>
      </c>
      <c r="AG447" s="2" t="s">
        <v>1186</v>
      </c>
      <c r="AH447" s="2">
        <v>0.0</v>
      </c>
    </row>
    <row r="448" ht="15.75" customHeight="1">
      <c r="B448" s="12"/>
      <c r="C448" s="13"/>
      <c r="D448" s="14"/>
      <c r="E448" s="15"/>
      <c r="G448" s="15"/>
      <c r="O448" s="15"/>
      <c r="Q448" s="17"/>
      <c r="S448" s="17"/>
      <c r="T448" s="17"/>
      <c r="U448" s="14"/>
      <c r="V448" s="14" t="s">
        <v>1186</v>
      </c>
      <c r="W448" s="2" t="s">
        <v>1186</v>
      </c>
      <c r="X448" s="2" t="s">
        <v>1186</v>
      </c>
      <c r="Y448" s="13"/>
      <c r="Z448" s="14">
        <v>0.0</v>
      </c>
      <c r="AA448" s="14">
        <v>0.0</v>
      </c>
      <c r="AB448" s="14">
        <v>0.0</v>
      </c>
      <c r="AC448" s="14">
        <v>0.0</v>
      </c>
      <c r="AD448" s="2">
        <v>0.0</v>
      </c>
      <c r="AE448" s="2">
        <v>0.0</v>
      </c>
      <c r="AF448" s="2" t="s">
        <v>1186</v>
      </c>
      <c r="AG448" s="2" t="s">
        <v>1186</v>
      </c>
      <c r="AH448" s="2">
        <v>0.0</v>
      </c>
    </row>
    <row r="449" ht="15.75" customHeight="1">
      <c r="B449" s="12"/>
      <c r="C449" s="13"/>
      <c r="D449" s="14"/>
      <c r="E449" s="15"/>
      <c r="G449" s="15"/>
      <c r="O449" s="15"/>
      <c r="Q449" s="17"/>
      <c r="S449" s="17"/>
      <c r="T449" s="17"/>
      <c r="U449" s="14"/>
      <c r="V449" s="14" t="s">
        <v>1186</v>
      </c>
      <c r="W449" s="2" t="s">
        <v>1186</v>
      </c>
      <c r="X449" s="2" t="s">
        <v>1186</v>
      </c>
      <c r="Y449" s="13"/>
      <c r="Z449" s="14">
        <v>0.0</v>
      </c>
      <c r="AA449" s="14">
        <v>0.0</v>
      </c>
      <c r="AB449" s="14">
        <v>0.0</v>
      </c>
      <c r="AC449" s="14">
        <v>0.0</v>
      </c>
      <c r="AD449" s="2">
        <v>0.0</v>
      </c>
      <c r="AE449" s="2">
        <v>0.0</v>
      </c>
      <c r="AF449" s="2" t="s">
        <v>1186</v>
      </c>
      <c r="AG449" s="2" t="s">
        <v>1186</v>
      </c>
      <c r="AH449" s="2">
        <v>0.0</v>
      </c>
    </row>
    <row r="450" ht="15.75" customHeight="1">
      <c r="B450" s="12"/>
      <c r="C450" s="13"/>
      <c r="D450" s="14"/>
      <c r="E450" s="15"/>
      <c r="G450" s="15"/>
      <c r="O450" s="15"/>
      <c r="Q450" s="17"/>
      <c r="S450" s="17"/>
      <c r="T450" s="17"/>
      <c r="U450" s="14"/>
      <c r="V450" s="14" t="s">
        <v>1186</v>
      </c>
      <c r="W450" s="2" t="s">
        <v>1186</v>
      </c>
      <c r="X450" s="2" t="s">
        <v>1186</v>
      </c>
      <c r="Y450" s="13"/>
      <c r="Z450" s="14">
        <v>0.0</v>
      </c>
      <c r="AA450" s="14">
        <v>0.0</v>
      </c>
      <c r="AB450" s="14">
        <v>0.0</v>
      </c>
      <c r="AC450" s="14">
        <v>0.0</v>
      </c>
      <c r="AD450" s="2">
        <v>0.0</v>
      </c>
      <c r="AE450" s="2">
        <v>0.0</v>
      </c>
      <c r="AF450" s="2" t="s">
        <v>1186</v>
      </c>
      <c r="AG450" s="2" t="s">
        <v>1186</v>
      </c>
      <c r="AH450" s="2">
        <v>0.0</v>
      </c>
    </row>
    <row r="451" ht="15.75" customHeight="1">
      <c r="B451" s="12"/>
      <c r="C451" s="13"/>
      <c r="D451" s="14"/>
      <c r="E451" s="15"/>
      <c r="G451" s="15"/>
      <c r="O451" s="15"/>
      <c r="Q451" s="17"/>
      <c r="S451" s="17"/>
      <c r="T451" s="17"/>
      <c r="U451" s="14"/>
      <c r="V451" s="14" t="s">
        <v>1186</v>
      </c>
      <c r="W451" s="2" t="s">
        <v>1186</v>
      </c>
      <c r="X451" s="2" t="s">
        <v>1186</v>
      </c>
      <c r="Y451" s="13"/>
      <c r="Z451" s="14">
        <v>0.0</v>
      </c>
      <c r="AA451" s="14">
        <v>0.0</v>
      </c>
      <c r="AB451" s="14">
        <v>0.0</v>
      </c>
      <c r="AC451" s="14">
        <v>0.0</v>
      </c>
      <c r="AD451" s="2">
        <v>0.0</v>
      </c>
      <c r="AE451" s="2">
        <v>0.0</v>
      </c>
      <c r="AF451" s="2" t="s">
        <v>1186</v>
      </c>
      <c r="AG451" s="2" t="s">
        <v>1186</v>
      </c>
      <c r="AH451" s="2">
        <v>0.0</v>
      </c>
    </row>
    <row r="452" ht="15.75" customHeight="1">
      <c r="B452" s="12"/>
      <c r="C452" s="13"/>
      <c r="D452" s="14"/>
      <c r="E452" s="15"/>
      <c r="G452" s="15"/>
      <c r="O452" s="15"/>
      <c r="Q452" s="17"/>
      <c r="S452" s="17"/>
      <c r="T452" s="17"/>
      <c r="U452" s="14"/>
      <c r="V452" s="14" t="s">
        <v>1186</v>
      </c>
      <c r="W452" s="2" t="s">
        <v>1186</v>
      </c>
      <c r="X452" s="2" t="s">
        <v>1186</v>
      </c>
      <c r="Y452" s="13"/>
      <c r="Z452" s="14">
        <v>0.0</v>
      </c>
      <c r="AA452" s="14">
        <v>0.0</v>
      </c>
      <c r="AB452" s="14">
        <v>0.0</v>
      </c>
      <c r="AC452" s="14">
        <v>0.0</v>
      </c>
      <c r="AD452" s="2">
        <v>0.0</v>
      </c>
      <c r="AE452" s="2">
        <v>0.0</v>
      </c>
      <c r="AF452" s="2" t="s">
        <v>1186</v>
      </c>
      <c r="AG452" s="2" t="s">
        <v>1186</v>
      </c>
      <c r="AH452" s="2">
        <v>0.0</v>
      </c>
    </row>
    <row r="453" ht="15.75" customHeight="1">
      <c r="B453" s="12"/>
      <c r="C453" s="13"/>
      <c r="D453" s="14"/>
      <c r="E453" s="15"/>
      <c r="G453" s="15"/>
      <c r="O453" s="15"/>
      <c r="Q453" s="17"/>
      <c r="S453" s="17"/>
      <c r="T453" s="17"/>
      <c r="U453" s="14"/>
      <c r="V453" s="14" t="s">
        <v>1186</v>
      </c>
      <c r="W453" s="2" t="s">
        <v>1186</v>
      </c>
      <c r="X453" s="2" t="s">
        <v>1186</v>
      </c>
      <c r="Y453" s="13"/>
      <c r="Z453" s="14">
        <v>0.0</v>
      </c>
      <c r="AA453" s="14">
        <v>0.0</v>
      </c>
      <c r="AB453" s="14">
        <v>0.0</v>
      </c>
      <c r="AC453" s="14">
        <v>0.0</v>
      </c>
      <c r="AD453" s="2">
        <v>0.0</v>
      </c>
      <c r="AE453" s="2">
        <v>0.0</v>
      </c>
      <c r="AF453" s="2" t="s">
        <v>1186</v>
      </c>
      <c r="AG453" s="2" t="s">
        <v>1186</v>
      </c>
      <c r="AH453" s="2">
        <v>0.0</v>
      </c>
    </row>
    <row r="454" ht="15.75" customHeight="1">
      <c r="B454" s="12"/>
      <c r="C454" s="13"/>
      <c r="D454" s="14"/>
      <c r="E454" s="15"/>
      <c r="G454" s="15"/>
      <c r="O454" s="15"/>
      <c r="Q454" s="17"/>
      <c r="S454" s="17"/>
      <c r="T454" s="17"/>
      <c r="U454" s="14"/>
      <c r="V454" s="14" t="s">
        <v>1186</v>
      </c>
      <c r="W454" s="2" t="s">
        <v>1186</v>
      </c>
      <c r="X454" s="2" t="s">
        <v>1186</v>
      </c>
      <c r="Y454" s="13"/>
      <c r="Z454" s="14">
        <v>0.0</v>
      </c>
      <c r="AA454" s="14">
        <v>0.0</v>
      </c>
      <c r="AB454" s="14">
        <v>0.0</v>
      </c>
      <c r="AC454" s="14">
        <v>0.0</v>
      </c>
      <c r="AD454" s="2">
        <v>0.0</v>
      </c>
      <c r="AE454" s="2">
        <v>0.0</v>
      </c>
      <c r="AF454" s="2" t="s">
        <v>1186</v>
      </c>
      <c r="AG454" s="2" t="s">
        <v>1186</v>
      </c>
      <c r="AH454" s="2">
        <v>0.0</v>
      </c>
    </row>
    <row r="455" ht="15.75" customHeight="1">
      <c r="B455" s="12"/>
      <c r="C455" s="13"/>
      <c r="D455" s="14"/>
      <c r="E455" s="15"/>
      <c r="G455" s="15"/>
      <c r="O455" s="15"/>
      <c r="Q455" s="17"/>
      <c r="S455" s="17"/>
      <c r="T455" s="17"/>
      <c r="U455" s="14"/>
      <c r="V455" s="14" t="s">
        <v>1186</v>
      </c>
      <c r="W455" s="2" t="s">
        <v>1186</v>
      </c>
      <c r="X455" s="2" t="s">
        <v>1186</v>
      </c>
      <c r="Y455" s="13"/>
      <c r="Z455" s="14">
        <v>0.0</v>
      </c>
      <c r="AA455" s="14">
        <v>0.0</v>
      </c>
      <c r="AB455" s="14">
        <v>0.0</v>
      </c>
      <c r="AC455" s="14">
        <v>0.0</v>
      </c>
      <c r="AD455" s="2">
        <v>0.0</v>
      </c>
      <c r="AE455" s="2">
        <v>0.0</v>
      </c>
      <c r="AF455" s="2" t="s">
        <v>1186</v>
      </c>
      <c r="AG455" s="2" t="s">
        <v>1186</v>
      </c>
      <c r="AH455" s="2">
        <v>0.0</v>
      </c>
    </row>
    <row r="456" ht="15.75" customHeight="1">
      <c r="B456" s="12"/>
      <c r="C456" s="13"/>
      <c r="D456" s="14"/>
      <c r="E456" s="15"/>
      <c r="G456" s="15"/>
      <c r="O456" s="15"/>
      <c r="Q456" s="17"/>
      <c r="S456" s="17"/>
      <c r="T456" s="17"/>
      <c r="U456" s="14"/>
      <c r="V456" s="14" t="s">
        <v>1186</v>
      </c>
      <c r="W456" s="2" t="s">
        <v>1186</v>
      </c>
      <c r="X456" s="2" t="s">
        <v>1186</v>
      </c>
      <c r="Y456" s="13"/>
      <c r="Z456" s="14">
        <v>0.0</v>
      </c>
      <c r="AA456" s="14">
        <v>0.0</v>
      </c>
      <c r="AB456" s="14">
        <v>0.0</v>
      </c>
      <c r="AC456" s="14">
        <v>0.0</v>
      </c>
      <c r="AD456" s="2">
        <v>0.0</v>
      </c>
      <c r="AE456" s="2">
        <v>0.0</v>
      </c>
      <c r="AF456" s="2" t="s">
        <v>1186</v>
      </c>
      <c r="AG456" s="2" t="s">
        <v>1186</v>
      </c>
      <c r="AH456" s="2">
        <v>0.0</v>
      </c>
    </row>
    <row r="457" ht="15.75" customHeight="1">
      <c r="B457" s="12"/>
      <c r="C457" s="13"/>
      <c r="D457" s="14"/>
      <c r="E457" s="15"/>
      <c r="G457" s="15"/>
      <c r="O457" s="15"/>
      <c r="Q457" s="17"/>
      <c r="S457" s="17"/>
      <c r="T457" s="17"/>
      <c r="U457" s="14"/>
      <c r="V457" s="14" t="s">
        <v>1186</v>
      </c>
      <c r="W457" s="2" t="s">
        <v>1186</v>
      </c>
      <c r="X457" s="2" t="s">
        <v>1186</v>
      </c>
      <c r="Y457" s="13"/>
      <c r="Z457" s="14">
        <v>0.0</v>
      </c>
      <c r="AA457" s="14">
        <v>0.0</v>
      </c>
      <c r="AB457" s="14">
        <v>0.0</v>
      </c>
      <c r="AC457" s="14">
        <v>0.0</v>
      </c>
      <c r="AD457" s="2">
        <v>0.0</v>
      </c>
      <c r="AE457" s="2">
        <v>0.0</v>
      </c>
      <c r="AF457" s="2" t="s">
        <v>1186</v>
      </c>
      <c r="AG457" s="2" t="s">
        <v>1186</v>
      </c>
      <c r="AH457" s="2">
        <v>0.0</v>
      </c>
    </row>
    <row r="458" ht="15.75" customHeight="1">
      <c r="B458" s="12"/>
      <c r="C458" s="13"/>
      <c r="D458" s="14"/>
      <c r="E458" s="15"/>
      <c r="G458" s="15"/>
      <c r="O458" s="15"/>
      <c r="Q458" s="17"/>
      <c r="S458" s="17"/>
      <c r="T458" s="17"/>
      <c r="U458" s="14"/>
      <c r="V458" s="14" t="s">
        <v>1186</v>
      </c>
      <c r="W458" s="2" t="s">
        <v>1186</v>
      </c>
      <c r="X458" s="2" t="s">
        <v>1186</v>
      </c>
      <c r="Y458" s="13"/>
      <c r="Z458" s="14">
        <v>0.0</v>
      </c>
      <c r="AA458" s="14">
        <v>0.0</v>
      </c>
      <c r="AB458" s="14">
        <v>0.0</v>
      </c>
      <c r="AC458" s="14">
        <v>0.0</v>
      </c>
      <c r="AD458" s="2">
        <v>0.0</v>
      </c>
      <c r="AE458" s="2">
        <v>0.0</v>
      </c>
      <c r="AF458" s="2" t="s">
        <v>1186</v>
      </c>
      <c r="AG458" s="2" t="s">
        <v>1186</v>
      </c>
      <c r="AH458" s="2">
        <v>0.0</v>
      </c>
    </row>
    <row r="459" ht="15.75" customHeight="1">
      <c r="B459" s="12"/>
      <c r="C459" s="13"/>
      <c r="D459" s="14"/>
      <c r="E459" s="15"/>
      <c r="G459" s="15"/>
      <c r="O459" s="15"/>
      <c r="Q459" s="17"/>
      <c r="S459" s="17"/>
      <c r="T459" s="17"/>
      <c r="U459" s="14"/>
      <c r="V459" s="14" t="s">
        <v>1186</v>
      </c>
      <c r="W459" s="2" t="s">
        <v>1186</v>
      </c>
      <c r="X459" s="2" t="s">
        <v>1186</v>
      </c>
      <c r="Y459" s="13"/>
      <c r="Z459" s="14">
        <v>0.0</v>
      </c>
      <c r="AA459" s="14">
        <v>0.0</v>
      </c>
      <c r="AB459" s="14">
        <v>0.0</v>
      </c>
      <c r="AC459" s="14">
        <v>0.0</v>
      </c>
      <c r="AD459" s="2">
        <v>0.0</v>
      </c>
      <c r="AE459" s="2">
        <v>0.0</v>
      </c>
      <c r="AF459" s="2" t="s">
        <v>1186</v>
      </c>
      <c r="AG459" s="2" t="s">
        <v>1186</v>
      </c>
      <c r="AH459" s="2">
        <v>0.0</v>
      </c>
    </row>
    <row r="460" ht="15.75" customHeight="1">
      <c r="B460" s="12"/>
      <c r="C460" s="13"/>
      <c r="D460" s="14"/>
      <c r="E460" s="15"/>
      <c r="G460" s="15"/>
      <c r="O460" s="15"/>
      <c r="Q460" s="17"/>
      <c r="S460" s="17"/>
      <c r="T460" s="17"/>
      <c r="U460" s="14"/>
      <c r="V460" s="14" t="s">
        <v>1186</v>
      </c>
      <c r="W460" s="2" t="s">
        <v>1186</v>
      </c>
      <c r="X460" s="2" t="s">
        <v>1186</v>
      </c>
      <c r="Y460" s="13"/>
      <c r="Z460" s="14">
        <v>0.0</v>
      </c>
      <c r="AA460" s="14">
        <v>0.0</v>
      </c>
      <c r="AB460" s="14">
        <v>0.0</v>
      </c>
      <c r="AC460" s="14">
        <v>0.0</v>
      </c>
      <c r="AD460" s="2">
        <v>0.0</v>
      </c>
      <c r="AE460" s="2">
        <v>0.0</v>
      </c>
      <c r="AF460" s="2" t="s">
        <v>1186</v>
      </c>
      <c r="AG460" s="2" t="s">
        <v>1186</v>
      </c>
      <c r="AH460" s="2">
        <v>0.0</v>
      </c>
    </row>
    <row r="461" ht="15.75" customHeight="1">
      <c r="B461" s="12"/>
      <c r="C461" s="13"/>
      <c r="D461" s="14"/>
      <c r="E461" s="15"/>
      <c r="G461" s="15"/>
      <c r="O461" s="15"/>
      <c r="Q461" s="17"/>
      <c r="S461" s="17"/>
      <c r="T461" s="17"/>
      <c r="U461" s="14"/>
      <c r="V461" s="14" t="s">
        <v>1186</v>
      </c>
      <c r="W461" s="2" t="s">
        <v>1186</v>
      </c>
      <c r="X461" s="2" t="s">
        <v>1186</v>
      </c>
      <c r="Y461" s="13"/>
      <c r="Z461" s="14">
        <v>0.0</v>
      </c>
      <c r="AA461" s="14">
        <v>0.0</v>
      </c>
      <c r="AB461" s="14">
        <v>0.0</v>
      </c>
      <c r="AC461" s="14">
        <v>0.0</v>
      </c>
      <c r="AD461" s="2">
        <v>0.0</v>
      </c>
      <c r="AE461" s="2">
        <v>0.0</v>
      </c>
      <c r="AF461" s="2" t="s">
        <v>1186</v>
      </c>
      <c r="AG461" s="2" t="s">
        <v>1186</v>
      </c>
      <c r="AH461" s="2">
        <v>0.0</v>
      </c>
    </row>
    <row r="462" ht="15.75" customHeight="1">
      <c r="B462" s="12"/>
      <c r="C462" s="13"/>
      <c r="D462" s="14"/>
      <c r="E462" s="15"/>
      <c r="G462" s="15"/>
      <c r="O462" s="15"/>
      <c r="Q462" s="17"/>
      <c r="S462" s="17"/>
      <c r="T462" s="17"/>
      <c r="U462" s="14"/>
      <c r="V462" s="14" t="s">
        <v>1186</v>
      </c>
      <c r="W462" s="2" t="s">
        <v>1186</v>
      </c>
      <c r="X462" s="2" t="s">
        <v>1186</v>
      </c>
      <c r="Y462" s="13"/>
      <c r="Z462" s="14">
        <v>0.0</v>
      </c>
      <c r="AA462" s="14">
        <v>0.0</v>
      </c>
      <c r="AB462" s="14">
        <v>0.0</v>
      </c>
      <c r="AC462" s="14">
        <v>0.0</v>
      </c>
      <c r="AD462" s="2">
        <v>0.0</v>
      </c>
      <c r="AE462" s="2">
        <v>0.0</v>
      </c>
      <c r="AF462" s="2" t="s">
        <v>1186</v>
      </c>
      <c r="AG462" s="2" t="s">
        <v>1186</v>
      </c>
      <c r="AH462" s="2">
        <v>0.0</v>
      </c>
    </row>
    <row r="463" ht="15.75" customHeight="1">
      <c r="B463" s="12"/>
      <c r="C463" s="13"/>
      <c r="D463" s="14"/>
      <c r="E463" s="15"/>
      <c r="G463" s="15"/>
      <c r="O463" s="15"/>
      <c r="Q463" s="17"/>
      <c r="S463" s="17"/>
      <c r="T463" s="17"/>
      <c r="U463" s="14"/>
      <c r="V463" s="14" t="s">
        <v>1186</v>
      </c>
      <c r="W463" s="2" t="s">
        <v>1186</v>
      </c>
      <c r="X463" s="2" t="s">
        <v>1186</v>
      </c>
      <c r="Y463" s="13"/>
      <c r="Z463" s="14">
        <v>0.0</v>
      </c>
      <c r="AA463" s="14">
        <v>0.0</v>
      </c>
      <c r="AB463" s="14">
        <v>0.0</v>
      </c>
      <c r="AC463" s="14">
        <v>0.0</v>
      </c>
      <c r="AD463" s="2">
        <v>0.0</v>
      </c>
      <c r="AE463" s="2">
        <v>0.0</v>
      </c>
      <c r="AF463" s="2" t="s">
        <v>1186</v>
      </c>
      <c r="AG463" s="2" t="s">
        <v>1186</v>
      </c>
      <c r="AH463" s="2">
        <v>0.0</v>
      </c>
    </row>
    <row r="464" ht="15.75" customHeight="1">
      <c r="B464" s="12"/>
      <c r="C464" s="13"/>
      <c r="D464" s="14"/>
      <c r="E464" s="15"/>
      <c r="G464" s="15"/>
      <c r="O464" s="15"/>
      <c r="Q464" s="17"/>
      <c r="S464" s="17"/>
      <c r="T464" s="17"/>
      <c r="U464" s="14"/>
      <c r="V464" s="14" t="s">
        <v>1186</v>
      </c>
      <c r="W464" s="2" t="s">
        <v>1186</v>
      </c>
      <c r="X464" s="2" t="s">
        <v>1186</v>
      </c>
      <c r="Y464" s="13"/>
      <c r="Z464" s="14">
        <v>0.0</v>
      </c>
      <c r="AA464" s="14">
        <v>0.0</v>
      </c>
      <c r="AB464" s="14">
        <v>0.0</v>
      </c>
      <c r="AC464" s="14">
        <v>0.0</v>
      </c>
      <c r="AD464" s="2">
        <v>0.0</v>
      </c>
      <c r="AE464" s="2">
        <v>0.0</v>
      </c>
      <c r="AF464" s="2" t="s">
        <v>1186</v>
      </c>
      <c r="AG464" s="2" t="s">
        <v>1186</v>
      </c>
      <c r="AH464" s="2">
        <v>0.0</v>
      </c>
    </row>
    <row r="465" ht="15.75" customHeight="1">
      <c r="B465" s="12"/>
      <c r="C465" s="13"/>
      <c r="D465" s="14"/>
      <c r="E465" s="15"/>
      <c r="G465" s="15"/>
      <c r="O465" s="15"/>
      <c r="Q465" s="17"/>
      <c r="S465" s="17"/>
      <c r="T465" s="17"/>
      <c r="U465" s="14"/>
      <c r="V465" s="14" t="s">
        <v>1186</v>
      </c>
      <c r="W465" s="2" t="s">
        <v>1186</v>
      </c>
      <c r="X465" s="2" t="s">
        <v>1186</v>
      </c>
      <c r="Y465" s="13"/>
      <c r="Z465" s="14">
        <v>0.0</v>
      </c>
      <c r="AA465" s="14">
        <v>0.0</v>
      </c>
      <c r="AB465" s="14">
        <v>0.0</v>
      </c>
      <c r="AC465" s="14">
        <v>0.0</v>
      </c>
      <c r="AD465" s="2">
        <v>0.0</v>
      </c>
      <c r="AE465" s="2">
        <v>0.0</v>
      </c>
      <c r="AF465" s="2" t="s">
        <v>1186</v>
      </c>
      <c r="AG465" s="2" t="s">
        <v>1186</v>
      </c>
      <c r="AH465" s="2">
        <v>0.0</v>
      </c>
    </row>
    <row r="466" ht="15.75" customHeight="1">
      <c r="B466" s="12"/>
      <c r="C466" s="13"/>
      <c r="D466" s="14"/>
      <c r="E466" s="15"/>
      <c r="G466" s="15"/>
      <c r="O466" s="15"/>
      <c r="Q466" s="17"/>
      <c r="S466" s="17"/>
      <c r="T466" s="17"/>
      <c r="U466" s="14"/>
      <c r="V466" s="14" t="s">
        <v>1186</v>
      </c>
      <c r="W466" s="2" t="s">
        <v>1186</v>
      </c>
      <c r="X466" s="2" t="s">
        <v>1186</v>
      </c>
      <c r="Y466" s="13"/>
      <c r="Z466" s="14">
        <v>0.0</v>
      </c>
      <c r="AA466" s="14">
        <v>0.0</v>
      </c>
      <c r="AB466" s="14">
        <v>0.0</v>
      </c>
      <c r="AC466" s="14">
        <v>0.0</v>
      </c>
      <c r="AD466" s="2">
        <v>0.0</v>
      </c>
      <c r="AE466" s="2">
        <v>0.0</v>
      </c>
      <c r="AF466" s="2" t="s">
        <v>1186</v>
      </c>
      <c r="AG466" s="2" t="s">
        <v>1186</v>
      </c>
      <c r="AH466" s="2">
        <v>0.0</v>
      </c>
    </row>
    <row r="467" ht="15.75" customHeight="1">
      <c r="B467" s="12"/>
      <c r="C467" s="13"/>
      <c r="D467" s="14"/>
      <c r="E467" s="15"/>
      <c r="G467" s="15"/>
      <c r="O467" s="15"/>
      <c r="Q467" s="17"/>
      <c r="S467" s="17"/>
      <c r="T467" s="17"/>
      <c r="U467" s="14"/>
      <c r="V467" s="14" t="s">
        <v>1186</v>
      </c>
      <c r="W467" s="2" t="s">
        <v>1186</v>
      </c>
      <c r="X467" s="2" t="s">
        <v>1186</v>
      </c>
      <c r="Y467" s="13"/>
      <c r="Z467" s="14">
        <v>0.0</v>
      </c>
      <c r="AA467" s="14">
        <v>0.0</v>
      </c>
      <c r="AB467" s="14">
        <v>0.0</v>
      </c>
      <c r="AC467" s="14">
        <v>0.0</v>
      </c>
      <c r="AD467" s="2">
        <v>0.0</v>
      </c>
      <c r="AE467" s="2">
        <v>0.0</v>
      </c>
      <c r="AF467" s="2" t="s">
        <v>1186</v>
      </c>
      <c r="AG467" s="2" t="s">
        <v>1186</v>
      </c>
      <c r="AH467" s="2">
        <v>0.0</v>
      </c>
    </row>
    <row r="468" ht="15.75" customHeight="1">
      <c r="B468" s="12"/>
      <c r="C468" s="13"/>
      <c r="D468" s="14"/>
      <c r="E468" s="15"/>
      <c r="G468" s="15"/>
      <c r="O468" s="15"/>
      <c r="Q468" s="17"/>
      <c r="S468" s="17"/>
      <c r="T468" s="17"/>
      <c r="U468" s="14"/>
      <c r="V468" s="14" t="s">
        <v>1186</v>
      </c>
      <c r="W468" s="2" t="s">
        <v>1186</v>
      </c>
      <c r="X468" s="2" t="s">
        <v>1186</v>
      </c>
      <c r="Y468" s="13"/>
      <c r="Z468" s="14">
        <v>0.0</v>
      </c>
      <c r="AA468" s="14">
        <v>0.0</v>
      </c>
      <c r="AB468" s="14">
        <v>0.0</v>
      </c>
      <c r="AC468" s="14">
        <v>0.0</v>
      </c>
      <c r="AD468" s="2">
        <v>0.0</v>
      </c>
      <c r="AE468" s="2">
        <v>0.0</v>
      </c>
      <c r="AF468" s="2" t="s">
        <v>1186</v>
      </c>
      <c r="AG468" s="2" t="s">
        <v>1186</v>
      </c>
      <c r="AH468" s="2">
        <v>0.0</v>
      </c>
    </row>
    <row r="469" ht="15.75" customHeight="1">
      <c r="B469" s="12"/>
      <c r="C469" s="13"/>
      <c r="D469" s="14"/>
      <c r="E469" s="15"/>
      <c r="G469" s="15"/>
      <c r="O469" s="15"/>
      <c r="Q469" s="17"/>
      <c r="S469" s="17"/>
      <c r="T469" s="17"/>
      <c r="U469" s="14"/>
      <c r="V469" s="14" t="s">
        <v>1186</v>
      </c>
      <c r="W469" s="2" t="s">
        <v>1186</v>
      </c>
      <c r="X469" s="2" t="s">
        <v>1186</v>
      </c>
      <c r="Y469" s="13"/>
      <c r="Z469" s="14">
        <v>0.0</v>
      </c>
      <c r="AA469" s="14">
        <v>0.0</v>
      </c>
      <c r="AB469" s="14">
        <v>0.0</v>
      </c>
      <c r="AC469" s="14">
        <v>0.0</v>
      </c>
      <c r="AD469" s="2">
        <v>0.0</v>
      </c>
      <c r="AE469" s="2">
        <v>0.0</v>
      </c>
      <c r="AF469" s="2" t="s">
        <v>1186</v>
      </c>
      <c r="AG469" s="2" t="s">
        <v>1186</v>
      </c>
      <c r="AH469" s="2">
        <v>0.0</v>
      </c>
    </row>
    <row r="470" ht="15.75" customHeight="1">
      <c r="B470" s="12"/>
      <c r="C470" s="13"/>
      <c r="D470" s="14"/>
      <c r="E470" s="15"/>
      <c r="G470" s="15"/>
      <c r="O470" s="15"/>
      <c r="Q470" s="17"/>
      <c r="S470" s="17"/>
      <c r="T470" s="17"/>
      <c r="U470" s="14"/>
      <c r="V470" s="14" t="s">
        <v>1186</v>
      </c>
      <c r="W470" s="2" t="s">
        <v>1186</v>
      </c>
      <c r="X470" s="2" t="s">
        <v>1186</v>
      </c>
      <c r="Y470" s="13"/>
      <c r="Z470" s="14">
        <v>0.0</v>
      </c>
      <c r="AA470" s="14">
        <v>0.0</v>
      </c>
      <c r="AB470" s="14">
        <v>0.0</v>
      </c>
      <c r="AC470" s="14">
        <v>0.0</v>
      </c>
      <c r="AD470" s="2">
        <v>0.0</v>
      </c>
      <c r="AE470" s="2">
        <v>0.0</v>
      </c>
      <c r="AF470" s="2" t="s">
        <v>1186</v>
      </c>
      <c r="AG470" s="2" t="s">
        <v>1186</v>
      </c>
      <c r="AH470" s="2">
        <v>0.0</v>
      </c>
    </row>
    <row r="471" ht="15.75" customHeight="1">
      <c r="B471" s="12"/>
      <c r="C471" s="13"/>
      <c r="D471" s="14"/>
      <c r="E471" s="15"/>
      <c r="G471" s="15"/>
      <c r="O471" s="15"/>
      <c r="Q471" s="17"/>
      <c r="S471" s="17"/>
      <c r="T471" s="17"/>
      <c r="U471" s="14"/>
      <c r="V471" s="14" t="s">
        <v>1186</v>
      </c>
      <c r="W471" s="2" t="s">
        <v>1186</v>
      </c>
      <c r="X471" s="2" t="s">
        <v>1186</v>
      </c>
      <c r="Y471" s="13"/>
      <c r="Z471" s="14">
        <v>0.0</v>
      </c>
      <c r="AA471" s="14">
        <v>0.0</v>
      </c>
      <c r="AB471" s="14">
        <v>0.0</v>
      </c>
      <c r="AC471" s="14">
        <v>0.0</v>
      </c>
      <c r="AD471" s="2">
        <v>0.0</v>
      </c>
      <c r="AE471" s="2">
        <v>0.0</v>
      </c>
      <c r="AF471" s="2" t="s">
        <v>1186</v>
      </c>
      <c r="AG471" s="2" t="s">
        <v>1186</v>
      </c>
      <c r="AH471" s="2">
        <v>0.0</v>
      </c>
    </row>
    <row r="472" ht="15.75" customHeight="1">
      <c r="B472" s="12"/>
      <c r="C472" s="13"/>
      <c r="D472" s="14"/>
      <c r="E472" s="15"/>
      <c r="G472" s="15"/>
      <c r="O472" s="15"/>
      <c r="Q472" s="17"/>
      <c r="S472" s="17"/>
      <c r="T472" s="17"/>
      <c r="U472" s="14"/>
      <c r="V472" s="14" t="s">
        <v>1186</v>
      </c>
      <c r="W472" s="2" t="s">
        <v>1186</v>
      </c>
      <c r="X472" s="2" t="s">
        <v>1186</v>
      </c>
      <c r="Y472" s="13"/>
      <c r="Z472" s="14">
        <v>0.0</v>
      </c>
      <c r="AA472" s="14">
        <v>0.0</v>
      </c>
      <c r="AB472" s="14">
        <v>0.0</v>
      </c>
      <c r="AC472" s="14">
        <v>0.0</v>
      </c>
      <c r="AD472" s="2">
        <v>0.0</v>
      </c>
      <c r="AE472" s="2">
        <v>0.0</v>
      </c>
      <c r="AF472" s="2" t="s">
        <v>1186</v>
      </c>
      <c r="AG472" s="2" t="s">
        <v>1186</v>
      </c>
      <c r="AH472" s="2">
        <v>0.0</v>
      </c>
    </row>
    <row r="473" ht="15.75" customHeight="1">
      <c r="B473" s="12"/>
      <c r="C473" s="13"/>
      <c r="D473" s="14"/>
      <c r="E473" s="15"/>
      <c r="G473" s="15"/>
      <c r="O473" s="15"/>
      <c r="Q473" s="17"/>
      <c r="S473" s="17"/>
      <c r="T473" s="17"/>
      <c r="U473" s="14"/>
      <c r="V473" s="14" t="s">
        <v>1186</v>
      </c>
      <c r="W473" s="2" t="s">
        <v>1186</v>
      </c>
      <c r="X473" s="2" t="s">
        <v>1186</v>
      </c>
      <c r="Y473" s="13"/>
      <c r="Z473" s="14">
        <v>0.0</v>
      </c>
      <c r="AA473" s="14">
        <v>0.0</v>
      </c>
      <c r="AB473" s="14">
        <v>0.0</v>
      </c>
      <c r="AC473" s="14">
        <v>0.0</v>
      </c>
      <c r="AD473" s="2">
        <v>0.0</v>
      </c>
      <c r="AE473" s="2">
        <v>0.0</v>
      </c>
      <c r="AF473" s="2" t="s">
        <v>1186</v>
      </c>
      <c r="AG473" s="2" t="s">
        <v>1186</v>
      </c>
      <c r="AH473" s="2">
        <v>0.0</v>
      </c>
    </row>
    <row r="474" ht="15.75" customHeight="1">
      <c r="B474" s="12"/>
      <c r="C474" s="13"/>
      <c r="D474" s="14"/>
      <c r="E474" s="15"/>
      <c r="G474" s="15"/>
      <c r="O474" s="15"/>
      <c r="Q474" s="17"/>
      <c r="S474" s="17"/>
      <c r="T474" s="17"/>
      <c r="U474" s="14"/>
      <c r="V474" s="14" t="s">
        <v>1186</v>
      </c>
      <c r="W474" s="2" t="s">
        <v>1186</v>
      </c>
      <c r="X474" s="2" t="s">
        <v>1186</v>
      </c>
      <c r="Y474" s="13"/>
      <c r="Z474" s="14">
        <v>0.0</v>
      </c>
      <c r="AA474" s="14">
        <v>0.0</v>
      </c>
      <c r="AB474" s="14">
        <v>0.0</v>
      </c>
      <c r="AC474" s="14">
        <v>0.0</v>
      </c>
      <c r="AD474" s="2">
        <v>0.0</v>
      </c>
      <c r="AE474" s="2">
        <v>0.0</v>
      </c>
      <c r="AF474" s="2" t="s">
        <v>1186</v>
      </c>
      <c r="AG474" s="2" t="s">
        <v>1186</v>
      </c>
      <c r="AH474" s="2">
        <v>0.0</v>
      </c>
    </row>
    <row r="475" ht="15.75" customHeight="1">
      <c r="B475" s="12"/>
      <c r="C475" s="13"/>
      <c r="D475" s="14"/>
      <c r="E475" s="15"/>
      <c r="G475" s="15"/>
      <c r="O475" s="15"/>
      <c r="Q475" s="17"/>
      <c r="S475" s="17"/>
      <c r="T475" s="17"/>
      <c r="U475" s="14"/>
      <c r="V475" s="14" t="s">
        <v>1186</v>
      </c>
      <c r="W475" s="2" t="s">
        <v>1186</v>
      </c>
      <c r="X475" s="2" t="s">
        <v>1186</v>
      </c>
      <c r="Y475" s="13"/>
      <c r="Z475" s="14">
        <v>0.0</v>
      </c>
      <c r="AA475" s="14">
        <v>0.0</v>
      </c>
      <c r="AB475" s="14">
        <v>0.0</v>
      </c>
      <c r="AC475" s="14">
        <v>0.0</v>
      </c>
      <c r="AD475" s="2">
        <v>0.0</v>
      </c>
      <c r="AE475" s="2">
        <v>0.0</v>
      </c>
      <c r="AF475" s="2" t="s">
        <v>1186</v>
      </c>
      <c r="AG475" s="2" t="s">
        <v>1186</v>
      </c>
      <c r="AH475" s="2">
        <v>0.0</v>
      </c>
    </row>
    <row r="476" ht="15.75" customHeight="1">
      <c r="B476" s="12"/>
      <c r="C476" s="13"/>
      <c r="D476" s="14"/>
      <c r="E476" s="15"/>
      <c r="G476" s="15"/>
      <c r="O476" s="15"/>
      <c r="Q476" s="17"/>
      <c r="S476" s="17"/>
      <c r="T476" s="17"/>
      <c r="U476" s="14"/>
      <c r="V476" s="14" t="s">
        <v>1186</v>
      </c>
      <c r="W476" s="2" t="s">
        <v>1186</v>
      </c>
      <c r="X476" s="2" t="s">
        <v>1186</v>
      </c>
      <c r="Y476" s="13"/>
      <c r="Z476" s="14">
        <v>0.0</v>
      </c>
      <c r="AA476" s="14">
        <v>0.0</v>
      </c>
      <c r="AB476" s="14">
        <v>0.0</v>
      </c>
      <c r="AC476" s="14">
        <v>0.0</v>
      </c>
      <c r="AD476" s="2">
        <v>0.0</v>
      </c>
      <c r="AE476" s="2">
        <v>0.0</v>
      </c>
      <c r="AF476" s="2" t="s">
        <v>1186</v>
      </c>
      <c r="AG476" s="2" t="s">
        <v>1186</v>
      </c>
      <c r="AH476" s="2">
        <v>0.0</v>
      </c>
    </row>
    <row r="477" ht="15.75" customHeight="1">
      <c r="B477" s="12"/>
      <c r="C477" s="13"/>
      <c r="D477" s="14"/>
      <c r="E477" s="15"/>
      <c r="G477" s="15"/>
      <c r="O477" s="15"/>
      <c r="Q477" s="17"/>
      <c r="S477" s="17"/>
      <c r="T477" s="17"/>
      <c r="U477" s="14"/>
      <c r="V477" s="14" t="s">
        <v>1186</v>
      </c>
      <c r="W477" s="2" t="s">
        <v>1186</v>
      </c>
      <c r="X477" s="2" t="s">
        <v>1186</v>
      </c>
      <c r="Y477" s="13"/>
      <c r="Z477" s="14">
        <v>0.0</v>
      </c>
      <c r="AA477" s="14">
        <v>0.0</v>
      </c>
      <c r="AB477" s="14">
        <v>0.0</v>
      </c>
      <c r="AC477" s="14">
        <v>0.0</v>
      </c>
      <c r="AD477" s="2">
        <v>0.0</v>
      </c>
      <c r="AE477" s="2">
        <v>0.0</v>
      </c>
      <c r="AF477" s="2" t="s">
        <v>1186</v>
      </c>
      <c r="AG477" s="2" t="s">
        <v>1186</v>
      </c>
      <c r="AH477" s="2">
        <v>0.0</v>
      </c>
    </row>
    <row r="478" ht="15.75" customHeight="1">
      <c r="B478" s="12"/>
      <c r="C478" s="13"/>
      <c r="D478" s="14"/>
      <c r="E478" s="15"/>
      <c r="G478" s="15"/>
      <c r="O478" s="15"/>
      <c r="Q478" s="17"/>
      <c r="S478" s="17"/>
      <c r="T478" s="17"/>
      <c r="U478" s="14"/>
      <c r="V478" s="14" t="s">
        <v>1186</v>
      </c>
      <c r="W478" s="2" t="s">
        <v>1186</v>
      </c>
      <c r="X478" s="2" t="s">
        <v>1186</v>
      </c>
      <c r="Y478" s="13"/>
      <c r="Z478" s="14">
        <v>0.0</v>
      </c>
      <c r="AA478" s="14">
        <v>0.0</v>
      </c>
      <c r="AB478" s="14">
        <v>0.0</v>
      </c>
      <c r="AC478" s="14">
        <v>0.0</v>
      </c>
      <c r="AD478" s="2">
        <v>0.0</v>
      </c>
      <c r="AE478" s="2">
        <v>0.0</v>
      </c>
      <c r="AF478" s="2" t="s">
        <v>1186</v>
      </c>
      <c r="AG478" s="2" t="s">
        <v>1186</v>
      </c>
      <c r="AH478" s="2">
        <v>0.0</v>
      </c>
    </row>
    <row r="479" ht="15.75" customHeight="1">
      <c r="B479" s="12"/>
      <c r="C479" s="13"/>
      <c r="D479" s="14"/>
      <c r="E479" s="15"/>
      <c r="G479" s="15"/>
      <c r="O479" s="15"/>
      <c r="Q479" s="17"/>
      <c r="S479" s="17"/>
      <c r="T479" s="17"/>
      <c r="U479" s="14"/>
      <c r="V479" s="14" t="s">
        <v>1186</v>
      </c>
      <c r="W479" s="2" t="s">
        <v>1186</v>
      </c>
      <c r="X479" s="2" t="s">
        <v>1186</v>
      </c>
      <c r="Y479" s="13"/>
      <c r="Z479" s="14">
        <v>0.0</v>
      </c>
      <c r="AA479" s="14">
        <v>0.0</v>
      </c>
      <c r="AB479" s="14">
        <v>0.0</v>
      </c>
      <c r="AC479" s="14">
        <v>0.0</v>
      </c>
      <c r="AD479" s="2">
        <v>0.0</v>
      </c>
      <c r="AE479" s="2">
        <v>0.0</v>
      </c>
      <c r="AF479" s="2" t="s">
        <v>1186</v>
      </c>
      <c r="AG479" s="2" t="s">
        <v>1186</v>
      </c>
      <c r="AH479" s="2">
        <v>0.0</v>
      </c>
    </row>
    <row r="480" ht="15.75" customHeight="1">
      <c r="B480" s="12"/>
      <c r="C480" s="13"/>
      <c r="D480" s="14"/>
      <c r="E480" s="15"/>
      <c r="G480" s="15"/>
      <c r="O480" s="15"/>
      <c r="Q480" s="17"/>
      <c r="S480" s="17"/>
      <c r="T480" s="17"/>
      <c r="U480" s="14"/>
      <c r="V480" s="14" t="s">
        <v>1186</v>
      </c>
      <c r="W480" s="2" t="s">
        <v>1186</v>
      </c>
      <c r="X480" s="2" t="s">
        <v>1186</v>
      </c>
      <c r="Y480" s="13"/>
      <c r="Z480" s="14">
        <v>0.0</v>
      </c>
      <c r="AA480" s="14">
        <v>0.0</v>
      </c>
      <c r="AB480" s="14">
        <v>0.0</v>
      </c>
      <c r="AC480" s="14">
        <v>0.0</v>
      </c>
      <c r="AD480" s="2">
        <v>0.0</v>
      </c>
      <c r="AE480" s="2">
        <v>0.0</v>
      </c>
      <c r="AF480" s="2" t="s">
        <v>1186</v>
      </c>
      <c r="AG480" s="2" t="s">
        <v>1186</v>
      </c>
      <c r="AH480" s="2">
        <v>0.0</v>
      </c>
    </row>
    <row r="481" ht="15.75" customHeight="1">
      <c r="B481" s="12"/>
      <c r="C481" s="13"/>
      <c r="D481" s="14"/>
      <c r="E481" s="15"/>
      <c r="G481" s="15"/>
      <c r="O481" s="15"/>
      <c r="Q481" s="17"/>
      <c r="S481" s="17"/>
      <c r="T481" s="17"/>
      <c r="U481" s="14"/>
      <c r="V481" s="14" t="s">
        <v>1186</v>
      </c>
      <c r="W481" s="2" t="s">
        <v>1186</v>
      </c>
      <c r="X481" s="2" t="s">
        <v>1186</v>
      </c>
      <c r="Y481" s="13"/>
      <c r="Z481" s="14">
        <v>0.0</v>
      </c>
      <c r="AA481" s="14">
        <v>0.0</v>
      </c>
      <c r="AB481" s="14">
        <v>0.0</v>
      </c>
      <c r="AC481" s="14">
        <v>0.0</v>
      </c>
      <c r="AD481" s="2">
        <v>0.0</v>
      </c>
      <c r="AE481" s="2">
        <v>0.0</v>
      </c>
      <c r="AF481" s="2" t="s">
        <v>1186</v>
      </c>
      <c r="AG481" s="2" t="s">
        <v>1186</v>
      </c>
      <c r="AH481" s="2">
        <v>0.0</v>
      </c>
    </row>
    <row r="482" ht="15.75" customHeight="1">
      <c r="B482" s="12"/>
      <c r="C482" s="13"/>
      <c r="D482" s="14"/>
      <c r="E482" s="15"/>
      <c r="G482" s="15"/>
      <c r="O482" s="15"/>
      <c r="Q482" s="17"/>
      <c r="S482" s="17"/>
      <c r="T482" s="17"/>
      <c r="U482" s="14"/>
      <c r="V482" s="14" t="s">
        <v>1186</v>
      </c>
      <c r="W482" s="2" t="s">
        <v>1186</v>
      </c>
      <c r="X482" s="2" t="s">
        <v>1186</v>
      </c>
      <c r="Y482" s="13"/>
      <c r="Z482" s="14">
        <v>0.0</v>
      </c>
      <c r="AA482" s="14">
        <v>0.0</v>
      </c>
      <c r="AB482" s="14">
        <v>0.0</v>
      </c>
      <c r="AC482" s="14">
        <v>0.0</v>
      </c>
      <c r="AD482" s="2">
        <v>0.0</v>
      </c>
      <c r="AE482" s="2">
        <v>0.0</v>
      </c>
      <c r="AF482" s="2" t="s">
        <v>1186</v>
      </c>
      <c r="AG482" s="2" t="s">
        <v>1186</v>
      </c>
      <c r="AH482" s="2">
        <v>0.0</v>
      </c>
    </row>
    <row r="483" ht="15.75" customHeight="1">
      <c r="B483" s="12"/>
      <c r="C483" s="13"/>
      <c r="D483" s="14"/>
      <c r="E483" s="15"/>
      <c r="G483" s="15"/>
      <c r="O483" s="15"/>
      <c r="Q483" s="17"/>
      <c r="S483" s="17"/>
      <c r="T483" s="17"/>
      <c r="U483" s="14"/>
      <c r="V483" s="14" t="s">
        <v>1186</v>
      </c>
      <c r="W483" s="2" t="s">
        <v>1186</v>
      </c>
      <c r="X483" s="2" t="s">
        <v>1186</v>
      </c>
      <c r="Y483" s="13"/>
      <c r="Z483" s="14">
        <v>0.0</v>
      </c>
      <c r="AA483" s="14">
        <v>0.0</v>
      </c>
      <c r="AB483" s="14">
        <v>0.0</v>
      </c>
      <c r="AC483" s="14">
        <v>0.0</v>
      </c>
      <c r="AD483" s="2">
        <v>0.0</v>
      </c>
      <c r="AE483" s="2">
        <v>0.0</v>
      </c>
      <c r="AF483" s="2" t="s">
        <v>1186</v>
      </c>
      <c r="AG483" s="2" t="s">
        <v>1186</v>
      </c>
      <c r="AH483" s="2">
        <v>0.0</v>
      </c>
    </row>
    <row r="484" ht="15.75" customHeight="1">
      <c r="B484" s="12"/>
      <c r="C484" s="13"/>
      <c r="D484" s="14"/>
      <c r="E484" s="15"/>
      <c r="G484" s="15"/>
      <c r="O484" s="15"/>
      <c r="Q484" s="17"/>
      <c r="S484" s="17"/>
      <c r="T484" s="17"/>
      <c r="U484" s="14"/>
      <c r="V484" s="14" t="s">
        <v>1186</v>
      </c>
      <c r="W484" s="2" t="s">
        <v>1186</v>
      </c>
      <c r="X484" s="2" t="s">
        <v>1186</v>
      </c>
      <c r="Y484" s="13"/>
      <c r="Z484" s="14">
        <v>0.0</v>
      </c>
      <c r="AA484" s="14">
        <v>0.0</v>
      </c>
      <c r="AB484" s="14">
        <v>0.0</v>
      </c>
      <c r="AC484" s="14">
        <v>0.0</v>
      </c>
      <c r="AD484" s="2">
        <v>0.0</v>
      </c>
      <c r="AE484" s="2">
        <v>0.0</v>
      </c>
      <c r="AF484" s="2" t="s">
        <v>1186</v>
      </c>
      <c r="AG484" s="2" t="s">
        <v>1186</v>
      </c>
      <c r="AH484" s="2">
        <v>0.0</v>
      </c>
    </row>
    <row r="485" ht="15.75" customHeight="1">
      <c r="B485" s="12"/>
      <c r="C485" s="13"/>
      <c r="D485" s="14"/>
      <c r="E485" s="15"/>
      <c r="G485" s="15"/>
      <c r="O485" s="15"/>
      <c r="Q485" s="17"/>
      <c r="S485" s="17"/>
      <c r="T485" s="17"/>
      <c r="U485" s="14"/>
      <c r="V485" s="14" t="s">
        <v>1186</v>
      </c>
      <c r="W485" s="2" t="s">
        <v>1186</v>
      </c>
      <c r="X485" s="2" t="s">
        <v>1186</v>
      </c>
      <c r="Y485" s="13"/>
      <c r="Z485" s="14">
        <v>0.0</v>
      </c>
      <c r="AA485" s="14">
        <v>0.0</v>
      </c>
      <c r="AB485" s="14">
        <v>0.0</v>
      </c>
      <c r="AC485" s="14">
        <v>0.0</v>
      </c>
      <c r="AD485" s="2">
        <v>0.0</v>
      </c>
      <c r="AE485" s="2">
        <v>0.0</v>
      </c>
      <c r="AF485" s="2" t="s">
        <v>1186</v>
      </c>
      <c r="AG485" s="2" t="s">
        <v>1186</v>
      </c>
      <c r="AH485" s="2">
        <v>0.0</v>
      </c>
    </row>
    <row r="486" ht="15.75" customHeight="1">
      <c r="B486" s="12"/>
      <c r="C486" s="13"/>
      <c r="D486" s="14"/>
      <c r="E486" s="15"/>
      <c r="G486" s="15"/>
      <c r="O486" s="15"/>
      <c r="Q486" s="17"/>
      <c r="S486" s="17"/>
      <c r="T486" s="17"/>
      <c r="U486" s="14"/>
      <c r="V486" s="14" t="s">
        <v>1186</v>
      </c>
      <c r="W486" s="2" t="s">
        <v>1186</v>
      </c>
      <c r="X486" s="2" t="s">
        <v>1186</v>
      </c>
      <c r="Y486" s="13"/>
      <c r="Z486" s="14">
        <v>0.0</v>
      </c>
      <c r="AA486" s="14">
        <v>0.0</v>
      </c>
      <c r="AB486" s="14">
        <v>0.0</v>
      </c>
      <c r="AC486" s="14">
        <v>0.0</v>
      </c>
      <c r="AD486" s="2">
        <v>0.0</v>
      </c>
      <c r="AE486" s="2">
        <v>0.0</v>
      </c>
      <c r="AF486" s="2" t="s">
        <v>1186</v>
      </c>
      <c r="AG486" s="2" t="s">
        <v>1186</v>
      </c>
      <c r="AH486" s="2">
        <v>0.0</v>
      </c>
    </row>
    <row r="487" ht="15.75" customHeight="1">
      <c r="B487" s="12"/>
      <c r="C487" s="13"/>
      <c r="D487" s="14"/>
      <c r="E487" s="15"/>
      <c r="G487" s="15"/>
      <c r="O487" s="15"/>
      <c r="Q487" s="17"/>
      <c r="S487" s="17"/>
      <c r="T487" s="17"/>
      <c r="U487" s="14"/>
      <c r="V487" s="14" t="s">
        <v>1186</v>
      </c>
      <c r="W487" s="2" t="s">
        <v>1186</v>
      </c>
      <c r="X487" s="2" t="s">
        <v>1186</v>
      </c>
      <c r="Y487" s="13"/>
      <c r="Z487" s="14">
        <v>0.0</v>
      </c>
      <c r="AA487" s="14">
        <v>0.0</v>
      </c>
      <c r="AB487" s="14">
        <v>0.0</v>
      </c>
      <c r="AC487" s="14">
        <v>0.0</v>
      </c>
      <c r="AD487" s="2">
        <v>0.0</v>
      </c>
      <c r="AE487" s="2">
        <v>0.0</v>
      </c>
      <c r="AF487" s="2" t="s">
        <v>1186</v>
      </c>
      <c r="AG487" s="2" t="s">
        <v>1186</v>
      </c>
      <c r="AH487" s="2">
        <v>0.0</v>
      </c>
    </row>
    <row r="488" ht="15.75" customHeight="1">
      <c r="B488" s="12"/>
      <c r="C488" s="13"/>
      <c r="D488" s="14"/>
      <c r="E488" s="15"/>
      <c r="G488" s="15"/>
      <c r="O488" s="15"/>
      <c r="Q488" s="17"/>
      <c r="S488" s="17"/>
      <c r="T488" s="17"/>
      <c r="U488" s="14"/>
      <c r="V488" s="14" t="s">
        <v>1186</v>
      </c>
      <c r="W488" s="2" t="s">
        <v>1186</v>
      </c>
      <c r="X488" s="2" t="s">
        <v>1186</v>
      </c>
      <c r="Y488" s="13"/>
      <c r="Z488" s="14">
        <v>0.0</v>
      </c>
      <c r="AA488" s="14">
        <v>0.0</v>
      </c>
      <c r="AB488" s="14">
        <v>0.0</v>
      </c>
      <c r="AC488" s="14">
        <v>0.0</v>
      </c>
      <c r="AD488" s="2">
        <v>0.0</v>
      </c>
      <c r="AE488" s="2">
        <v>0.0</v>
      </c>
      <c r="AF488" s="2" t="s">
        <v>1186</v>
      </c>
      <c r="AG488" s="2" t="s">
        <v>1186</v>
      </c>
      <c r="AH488" s="2">
        <v>0.0</v>
      </c>
    </row>
    <row r="489" ht="15.75" customHeight="1">
      <c r="B489" s="12"/>
      <c r="C489" s="13"/>
      <c r="D489" s="14"/>
      <c r="E489" s="15"/>
      <c r="G489" s="15"/>
      <c r="O489" s="15"/>
      <c r="Q489" s="17"/>
      <c r="S489" s="17"/>
      <c r="T489" s="17"/>
      <c r="U489" s="14"/>
      <c r="V489" s="14" t="s">
        <v>1186</v>
      </c>
      <c r="W489" s="2" t="s">
        <v>1186</v>
      </c>
      <c r="X489" s="2" t="s">
        <v>1186</v>
      </c>
      <c r="Y489" s="13"/>
      <c r="Z489" s="14">
        <v>0.0</v>
      </c>
      <c r="AA489" s="14">
        <v>0.0</v>
      </c>
      <c r="AB489" s="14">
        <v>0.0</v>
      </c>
      <c r="AC489" s="14">
        <v>0.0</v>
      </c>
      <c r="AD489" s="2">
        <v>0.0</v>
      </c>
      <c r="AE489" s="2">
        <v>0.0</v>
      </c>
      <c r="AF489" s="2" t="s">
        <v>1186</v>
      </c>
      <c r="AG489" s="2" t="s">
        <v>1186</v>
      </c>
      <c r="AH489" s="2">
        <v>0.0</v>
      </c>
    </row>
    <row r="490" ht="15.75" customHeight="1">
      <c r="B490" s="12"/>
      <c r="C490" s="13"/>
      <c r="D490" s="14"/>
      <c r="E490" s="15"/>
      <c r="G490" s="15"/>
      <c r="O490" s="15"/>
      <c r="Q490" s="17"/>
      <c r="S490" s="17"/>
      <c r="T490" s="17"/>
      <c r="U490" s="14"/>
      <c r="V490" s="14" t="s">
        <v>1186</v>
      </c>
      <c r="W490" s="2" t="s">
        <v>1186</v>
      </c>
      <c r="X490" s="2" t="s">
        <v>1186</v>
      </c>
      <c r="Y490" s="13"/>
      <c r="Z490" s="14">
        <v>0.0</v>
      </c>
      <c r="AA490" s="14">
        <v>0.0</v>
      </c>
      <c r="AB490" s="14">
        <v>0.0</v>
      </c>
      <c r="AC490" s="14">
        <v>0.0</v>
      </c>
      <c r="AD490" s="2">
        <v>0.0</v>
      </c>
      <c r="AE490" s="2">
        <v>0.0</v>
      </c>
      <c r="AF490" s="2" t="s">
        <v>1186</v>
      </c>
      <c r="AG490" s="2" t="s">
        <v>1186</v>
      </c>
      <c r="AH490" s="2">
        <v>0.0</v>
      </c>
    </row>
    <row r="491" ht="15.75" customHeight="1">
      <c r="B491" s="12"/>
      <c r="C491" s="13"/>
      <c r="D491" s="14"/>
      <c r="E491" s="15"/>
      <c r="G491" s="15"/>
      <c r="O491" s="15"/>
      <c r="Q491" s="17"/>
      <c r="S491" s="17"/>
      <c r="T491" s="17"/>
      <c r="U491" s="14"/>
      <c r="V491" s="14" t="s">
        <v>1186</v>
      </c>
      <c r="W491" s="2" t="s">
        <v>1186</v>
      </c>
      <c r="X491" s="2" t="s">
        <v>1186</v>
      </c>
      <c r="Y491" s="13"/>
      <c r="Z491" s="14">
        <v>0.0</v>
      </c>
      <c r="AA491" s="14">
        <v>0.0</v>
      </c>
      <c r="AB491" s="14">
        <v>0.0</v>
      </c>
      <c r="AC491" s="14">
        <v>0.0</v>
      </c>
      <c r="AD491" s="2">
        <v>0.0</v>
      </c>
      <c r="AE491" s="2">
        <v>0.0</v>
      </c>
      <c r="AF491" s="2" t="s">
        <v>1186</v>
      </c>
      <c r="AG491" s="2" t="s">
        <v>1186</v>
      </c>
      <c r="AH491" s="2">
        <v>0.0</v>
      </c>
    </row>
    <row r="492" ht="15.75" customHeight="1">
      <c r="B492" s="12"/>
      <c r="C492" s="13"/>
      <c r="D492" s="14"/>
      <c r="E492" s="15"/>
      <c r="G492" s="15"/>
      <c r="O492" s="15"/>
      <c r="Q492" s="17"/>
      <c r="S492" s="17"/>
      <c r="T492" s="17"/>
      <c r="U492" s="14"/>
      <c r="V492" s="14" t="s">
        <v>1186</v>
      </c>
      <c r="W492" s="2" t="s">
        <v>1186</v>
      </c>
      <c r="X492" s="2" t="s">
        <v>1186</v>
      </c>
      <c r="Y492" s="13"/>
      <c r="Z492" s="14">
        <v>0.0</v>
      </c>
      <c r="AA492" s="14">
        <v>0.0</v>
      </c>
      <c r="AB492" s="14">
        <v>0.0</v>
      </c>
      <c r="AC492" s="14">
        <v>0.0</v>
      </c>
      <c r="AD492" s="2">
        <v>0.0</v>
      </c>
      <c r="AE492" s="2">
        <v>0.0</v>
      </c>
      <c r="AF492" s="2" t="s">
        <v>1186</v>
      </c>
      <c r="AG492" s="2" t="s">
        <v>1186</v>
      </c>
      <c r="AH492" s="2">
        <v>0.0</v>
      </c>
    </row>
    <row r="493" ht="15.75" customHeight="1">
      <c r="B493" s="12"/>
      <c r="C493" s="13"/>
      <c r="D493" s="14"/>
      <c r="E493" s="15"/>
      <c r="G493" s="15"/>
      <c r="O493" s="15"/>
      <c r="Q493" s="17"/>
      <c r="S493" s="17"/>
      <c r="T493" s="17"/>
      <c r="U493" s="14"/>
      <c r="V493" s="14" t="s">
        <v>1186</v>
      </c>
      <c r="W493" s="2" t="s">
        <v>1186</v>
      </c>
      <c r="X493" s="2" t="s">
        <v>1186</v>
      </c>
      <c r="Y493" s="13"/>
      <c r="Z493" s="14">
        <v>0.0</v>
      </c>
      <c r="AA493" s="14">
        <v>0.0</v>
      </c>
      <c r="AB493" s="14">
        <v>0.0</v>
      </c>
      <c r="AC493" s="14">
        <v>0.0</v>
      </c>
      <c r="AD493" s="2">
        <v>0.0</v>
      </c>
      <c r="AE493" s="2">
        <v>0.0</v>
      </c>
      <c r="AF493" s="2" t="s">
        <v>1186</v>
      </c>
      <c r="AG493" s="2" t="s">
        <v>1186</v>
      </c>
      <c r="AH493" s="2">
        <v>0.0</v>
      </c>
    </row>
    <row r="494" ht="15.75" customHeight="1">
      <c r="B494" s="12"/>
      <c r="C494" s="13"/>
      <c r="D494" s="14"/>
      <c r="E494" s="15"/>
      <c r="G494" s="15"/>
      <c r="O494" s="15"/>
      <c r="Q494" s="17"/>
      <c r="S494" s="17"/>
      <c r="T494" s="17"/>
      <c r="U494" s="14"/>
      <c r="V494" s="14" t="s">
        <v>1186</v>
      </c>
      <c r="W494" s="2" t="s">
        <v>1186</v>
      </c>
      <c r="X494" s="2" t="s">
        <v>1186</v>
      </c>
      <c r="Y494" s="13"/>
      <c r="Z494" s="14">
        <v>0.0</v>
      </c>
      <c r="AA494" s="14">
        <v>0.0</v>
      </c>
      <c r="AB494" s="14">
        <v>0.0</v>
      </c>
      <c r="AC494" s="14">
        <v>0.0</v>
      </c>
      <c r="AD494" s="2">
        <v>0.0</v>
      </c>
      <c r="AE494" s="2">
        <v>0.0</v>
      </c>
      <c r="AF494" s="2" t="s">
        <v>1186</v>
      </c>
      <c r="AG494" s="2" t="s">
        <v>1186</v>
      </c>
      <c r="AH494" s="2">
        <v>0.0</v>
      </c>
    </row>
    <row r="495" ht="15.75" customHeight="1">
      <c r="B495" s="12"/>
      <c r="C495" s="13"/>
      <c r="D495" s="14"/>
      <c r="E495" s="15"/>
      <c r="G495" s="15"/>
      <c r="O495" s="15"/>
      <c r="Q495" s="17"/>
      <c r="S495" s="17"/>
      <c r="T495" s="17"/>
      <c r="U495" s="14"/>
      <c r="V495" s="14" t="s">
        <v>1186</v>
      </c>
      <c r="W495" s="2" t="s">
        <v>1186</v>
      </c>
      <c r="X495" s="2" t="s">
        <v>1186</v>
      </c>
      <c r="Y495" s="13"/>
      <c r="Z495" s="14">
        <v>0.0</v>
      </c>
      <c r="AA495" s="14">
        <v>0.0</v>
      </c>
      <c r="AB495" s="14">
        <v>0.0</v>
      </c>
      <c r="AC495" s="14">
        <v>0.0</v>
      </c>
      <c r="AD495" s="2">
        <v>0.0</v>
      </c>
      <c r="AE495" s="2">
        <v>0.0</v>
      </c>
      <c r="AF495" s="2" t="s">
        <v>1186</v>
      </c>
      <c r="AG495" s="2" t="s">
        <v>1186</v>
      </c>
      <c r="AH495" s="2">
        <v>0.0</v>
      </c>
    </row>
    <row r="496" ht="15.75" customHeight="1">
      <c r="B496" s="12"/>
      <c r="C496" s="13"/>
      <c r="D496" s="14"/>
      <c r="E496" s="15"/>
      <c r="G496" s="15"/>
      <c r="O496" s="15"/>
      <c r="Q496" s="17"/>
      <c r="S496" s="17"/>
      <c r="T496" s="17"/>
      <c r="U496" s="14"/>
      <c r="V496" s="14" t="s">
        <v>1186</v>
      </c>
      <c r="W496" s="2" t="s">
        <v>1186</v>
      </c>
      <c r="X496" s="2" t="s">
        <v>1186</v>
      </c>
      <c r="Y496" s="13"/>
      <c r="Z496" s="14">
        <v>0.0</v>
      </c>
      <c r="AA496" s="14">
        <v>0.0</v>
      </c>
      <c r="AB496" s="14">
        <v>0.0</v>
      </c>
      <c r="AC496" s="14">
        <v>0.0</v>
      </c>
      <c r="AD496" s="2">
        <v>0.0</v>
      </c>
      <c r="AE496" s="2">
        <v>0.0</v>
      </c>
      <c r="AF496" s="2" t="s">
        <v>1186</v>
      </c>
      <c r="AG496" s="2" t="s">
        <v>1186</v>
      </c>
      <c r="AH496" s="2">
        <v>0.0</v>
      </c>
    </row>
    <row r="497" ht="15.75" customHeight="1">
      <c r="B497" s="12"/>
      <c r="C497" s="13"/>
      <c r="D497" s="14"/>
      <c r="E497" s="15"/>
      <c r="G497" s="15"/>
      <c r="O497" s="15"/>
      <c r="Q497" s="17"/>
      <c r="S497" s="17"/>
      <c r="T497" s="17"/>
      <c r="U497" s="14"/>
      <c r="V497" s="14" t="s">
        <v>1186</v>
      </c>
      <c r="W497" s="2" t="s">
        <v>1186</v>
      </c>
      <c r="X497" s="2" t="s">
        <v>1186</v>
      </c>
      <c r="Y497" s="13"/>
      <c r="Z497" s="14">
        <v>0.0</v>
      </c>
      <c r="AA497" s="14">
        <v>0.0</v>
      </c>
      <c r="AB497" s="14">
        <v>0.0</v>
      </c>
      <c r="AC497" s="14">
        <v>0.0</v>
      </c>
      <c r="AD497" s="2">
        <v>0.0</v>
      </c>
      <c r="AE497" s="2">
        <v>0.0</v>
      </c>
      <c r="AF497" s="2" t="s">
        <v>1186</v>
      </c>
      <c r="AG497" s="2" t="s">
        <v>1186</v>
      </c>
      <c r="AH497" s="2">
        <v>0.0</v>
      </c>
    </row>
    <row r="498" ht="15.75" customHeight="1">
      <c r="B498" s="12"/>
      <c r="C498" s="13"/>
      <c r="D498" s="14"/>
      <c r="E498" s="15"/>
      <c r="G498" s="15"/>
      <c r="O498" s="15"/>
      <c r="Q498" s="17"/>
      <c r="S498" s="17"/>
      <c r="T498" s="17"/>
      <c r="U498" s="14"/>
      <c r="V498" s="14" t="s">
        <v>1186</v>
      </c>
      <c r="W498" s="2" t="s">
        <v>1186</v>
      </c>
      <c r="X498" s="2" t="s">
        <v>1186</v>
      </c>
      <c r="Y498" s="13"/>
      <c r="Z498" s="14">
        <v>0.0</v>
      </c>
      <c r="AA498" s="14">
        <v>0.0</v>
      </c>
      <c r="AB498" s="14">
        <v>0.0</v>
      </c>
      <c r="AC498" s="14">
        <v>0.0</v>
      </c>
      <c r="AD498" s="2">
        <v>0.0</v>
      </c>
      <c r="AE498" s="2">
        <v>0.0</v>
      </c>
      <c r="AF498" s="2" t="s">
        <v>1186</v>
      </c>
      <c r="AG498" s="2" t="s">
        <v>1186</v>
      </c>
      <c r="AH498" s="2">
        <v>0.0</v>
      </c>
    </row>
    <row r="499" ht="15.75" customHeight="1">
      <c r="B499" s="12"/>
      <c r="C499" s="13"/>
      <c r="D499" s="14"/>
      <c r="E499" s="15"/>
      <c r="G499" s="15"/>
      <c r="O499" s="15"/>
      <c r="Q499" s="17"/>
      <c r="S499" s="17"/>
      <c r="T499" s="17"/>
      <c r="U499" s="14"/>
      <c r="V499" s="14" t="s">
        <v>1186</v>
      </c>
      <c r="W499" s="2" t="s">
        <v>1186</v>
      </c>
      <c r="X499" s="2" t="s">
        <v>1186</v>
      </c>
      <c r="Y499" s="13"/>
      <c r="Z499" s="14">
        <v>0.0</v>
      </c>
      <c r="AA499" s="14">
        <v>0.0</v>
      </c>
      <c r="AB499" s="14">
        <v>0.0</v>
      </c>
      <c r="AC499" s="14">
        <v>0.0</v>
      </c>
      <c r="AD499" s="2">
        <v>0.0</v>
      </c>
      <c r="AE499" s="2">
        <v>0.0</v>
      </c>
      <c r="AF499" s="2" t="s">
        <v>1186</v>
      </c>
      <c r="AG499" s="2" t="s">
        <v>1186</v>
      </c>
      <c r="AH499" s="2">
        <v>0.0</v>
      </c>
    </row>
    <row r="500" ht="15.75" customHeight="1">
      <c r="B500" s="12"/>
      <c r="C500" s="13"/>
      <c r="D500" s="14"/>
      <c r="E500" s="15"/>
      <c r="G500" s="15"/>
      <c r="O500" s="15"/>
      <c r="Q500" s="17"/>
      <c r="S500" s="17"/>
      <c r="T500" s="17"/>
      <c r="U500" s="14"/>
      <c r="V500" s="14" t="s">
        <v>1186</v>
      </c>
      <c r="W500" s="2" t="s">
        <v>1186</v>
      </c>
      <c r="X500" s="2" t="s">
        <v>1186</v>
      </c>
      <c r="Y500" s="13"/>
      <c r="Z500" s="14">
        <v>0.0</v>
      </c>
      <c r="AA500" s="14">
        <v>0.0</v>
      </c>
      <c r="AB500" s="14">
        <v>0.0</v>
      </c>
      <c r="AC500" s="14">
        <v>0.0</v>
      </c>
      <c r="AD500" s="2">
        <v>0.0</v>
      </c>
      <c r="AE500" s="2">
        <v>0.0</v>
      </c>
      <c r="AF500" s="2" t="s">
        <v>1186</v>
      </c>
      <c r="AG500" s="2" t="s">
        <v>1186</v>
      </c>
      <c r="AH500" s="2">
        <v>0.0</v>
      </c>
    </row>
    <row r="501" ht="15.75" customHeight="1">
      <c r="B501" s="12"/>
      <c r="C501" s="13"/>
      <c r="D501" s="14"/>
      <c r="E501" s="15"/>
      <c r="G501" s="15"/>
      <c r="O501" s="15"/>
      <c r="Q501" s="17"/>
      <c r="S501" s="17"/>
      <c r="T501" s="17"/>
      <c r="U501" s="14"/>
      <c r="V501" s="14" t="s">
        <v>1186</v>
      </c>
      <c r="W501" s="2" t="s">
        <v>1186</v>
      </c>
      <c r="X501" s="2" t="s">
        <v>1186</v>
      </c>
      <c r="Y501" s="13"/>
      <c r="Z501" s="14">
        <v>0.0</v>
      </c>
      <c r="AA501" s="14">
        <v>0.0</v>
      </c>
      <c r="AB501" s="14">
        <v>0.0</v>
      </c>
      <c r="AC501" s="14">
        <v>0.0</v>
      </c>
      <c r="AD501" s="2">
        <v>0.0</v>
      </c>
      <c r="AE501" s="2">
        <v>0.0</v>
      </c>
      <c r="AF501" s="2" t="s">
        <v>1186</v>
      </c>
      <c r="AG501" s="2" t="s">
        <v>1186</v>
      </c>
      <c r="AH501" s="2">
        <v>0.0</v>
      </c>
    </row>
    <row r="502" ht="15.75" customHeight="1">
      <c r="B502" s="12"/>
      <c r="C502" s="13"/>
      <c r="D502" s="14"/>
      <c r="E502" s="15"/>
      <c r="G502" s="15"/>
      <c r="O502" s="15"/>
      <c r="Q502" s="17"/>
      <c r="S502" s="17"/>
      <c r="T502" s="17"/>
      <c r="U502" s="14"/>
      <c r="V502" s="14" t="s">
        <v>1186</v>
      </c>
      <c r="W502" s="2" t="s">
        <v>1186</v>
      </c>
      <c r="X502" s="2" t="s">
        <v>1186</v>
      </c>
      <c r="Y502" s="13"/>
      <c r="Z502" s="14">
        <v>0.0</v>
      </c>
      <c r="AA502" s="14">
        <v>0.0</v>
      </c>
      <c r="AB502" s="14">
        <v>0.0</v>
      </c>
      <c r="AC502" s="14">
        <v>0.0</v>
      </c>
      <c r="AD502" s="2">
        <v>0.0</v>
      </c>
      <c r="AE502" s="2">
        <v>0.0</v>
      </c>
      <c r="AF502" s="2" t="s">
        <v>1186</v>
      </c>
      <c r="AG502" s="2" t="s">
        <v>1186</v>
      </c>
      <c r="AH502" s="2">
        <v>0.0</v>
      </c>
    </row>
    <row r="503" ht="15.75" customHeight="1">
      <c r="B503" s="12"/>
      <c r="C503" s="13"/>
      <c r="D503" s="14"/>
      <c r="E503" s="15"/>
      <c r="G503" s="15"/>
      <c r="O503" s="15"/>
      <c r="Q503" s="17"/>
      <c r="S503" s="17"/>
      <c r="T503" s="17"/>
      <c r="U503" s="14"/>
      <c r="V503" s="14" t="s">
        <v>1186</v>
      </c>
      <c r="W503" s="2" t="s">
        <v>1186</v>
      </c>
      <c r="X503" s="2" t="s">
        <v>1186</v>
      </c>
      <c r="Y503" s="13"/>
      <c r="Z503" s="14">
        <v>0.0</v>
      </c>
      <c r="AA503" s="14">
        <v>0.0</v>
      </c>
      <c r="AB503" s="14">
        <v>0.0</v>
      </c>
      <c r="AC503" s="14">
        <v>0.0</v>
      </c>
      <c r="AD503" s="2">
        <v>0.0</v>
      </c>
      <c r="AE503" s="2">
        <v>0.0</v>
      </c>
      <c r="AF503" s="2" t="s">
        <v>1186</v>
      </c>
      <c r="AG503" s="2" t="s">
        <v>1186</v>
      </c>
      <c r="AH503" s="2">
        <v>0.0</v>
      </c>
    </row>
    <row r="504" ht="15.75" customHeight="1">
      <c r="B504" s="12"/>
      <c r="C504" s="13"/>
      <c r="D504" s="14"/>
      <c r="E504" s="15"/>
      <c r="G504" s="15"/>
      <c r="O504" s="15"/>
      <c r="Q504" s="17"/>
      <c r="S504" s="17"/>
      <c r="T504" s="17"/>
      <c r="U504" s="14"/>
      <c r="V504" s="14" t="s">
        <v>1186</v>
      </c>
      <c r="W504" s="2" t="s">
        <v>1186</v>
      </c>
      <c r="X504" s="2" t="s">
        <v>1186</v>
      </c>
      <c r="Y504" s="13"/>
      <c r="Z504" s="14">
        <v>0.0</v>
      </c>
      <c r="AA504" s="14">
        <v>0.0</v>
      </c>
      <c r="AB504" s="14">
        <v>0.0</v>
      </c>
      <c r="AC504" s="14">
        <v>0.0</v>
      </c>
      <c r="AD504" s="2">
        <v>0.0</v>
      </c>
      <c r="AE504" s="2">
        <v>0.0</v>
      </c>
      <c r="AF504" s="2" t="s">
        <v>1186</v>
      </c>
      <c r="AG504" s="2" t="s">
        <v>1186</v>
      </c>
      <c r="AH504" s="2">
        <v>0.0</v>
      </c>
    </row>
    <row r="505" ht="15.75" customHeight="1">
      <c r="B505" s="12"/>
      <c r="C505" s="13"/>
      <c r="D505" s="14"/>
      <c r="E505" s="15"/>
      <c r="G505" s="15"/>
      <c r="O505" s="15"/>
      <c r="Q505" s="17"/>
      <c r="S505" s="17"/>
      <c r="T505" s="17"/>
      <c r="U505" s="14"/>
      <c r="V505" s="14" t="s">
        <v>1186</v>
      </c>
      <c r="W505" s="2" t="s">
        <v>1186</v>
      </c>
      <c r="X505" s="2" t="s">
        <v>1186</v>
      </c>
      <c r="Y505" s="13"/>
      <c r="Z505" s="14">
        <v>0.0</v>
      </c>
      <c r="AA505" s="14">
        <v>0.0</v>
      </c>
      <c r="AB505" s="14">
        <v>0.0</v>
      </c>
      <c r="AC505" s="14">
        <v>0.0</v>
      </c>
      <c r="AD505" s="2">
        <v>0.0</v>
      </c>
      <c r="AE505" s="2">
        <v>0.0</v>
      </c>
      <c r="AF505" s="2" t="s">
        <v>1186</v>
      </c>
      <c r="AG505" s="2" t="s">
        <v>1186</v>
      </c>
      <c r="AH505" s="2">
        <v>0.0</v>
      </c>
    </row>
    <row r="506" ht="15.75" customHeight="1">
      <c r="B506" s="12"/>
      <c r="C506" s="13"/>
      <c r="D506" s="14"/>
      <c r="E506" s="15"/>
      <c r="G506" s="15"/>
      <c r="O506" s="15"/>
      <c r="Q506" s="17"/>
      <c r="S506" s="17"/>
      <c r="T506" s="17"/>
      <c r="U506" s="14"/>
      <c r="V506" s="14" t="s">
        <v>1186</v>
      </c>
      <c r="W506" s="2" t="s">
        <v>1186</v>
      </c>
      <c r="X506" s="2" t="s">
        <v>1186</v>
      </c>
      <c r="Y506" s="13"/>
      <c r="Z506" s="14">
        <v>0.0</v>
      </c>
      <c r="AA506" s="14">
        <v>0.0</v>
      </c>
      <c r="AB506" s="14">
        <v>0.0</v>
      </c>
      <c r="AC506" s="14">
        <v>0.0</v>
      </c>
      <c r="AD506" s="2">
        <v>0.0</v>
      </c>
      <c r="AE506" s="2">
        <v>0.0</v>
      </c>
      <c r="AF506" s="2" t="s">
        <v>1186</v>
      </c>
      <c r="AG506" s="2" t="s">
        <v>1186</v>
      </c>
      <c r="AH506" s="2">
        <v>0.0</v>
      </c>
    </row>
    <row r="507" ht="15.75" customHeight="1">
      <c r="B507" s="12"/>
      <c r="C507" s="13"/>
      <c r="D507" s="14"/>
      <c r="E507" s="15"/>
      <c r="G507" s="15"/>
      <c r="O507" s="15"/>
      <c r="Q507" s="17"/>
      <c r="S507" s="17"/>
      <c r="T507" s="17"/>
      <c r="U507" s="14"/>
      <c r="V507" s="14" t="s">
        <v>1186</v>
      </c>
      <c r="W507" s="2" t="s">
        <v>1186</v>
      </c>
      <c r="X507" s="2" t="s">
        <v>1186</v>
      </c>
      <c r="Y507" s="13"/>
      <c r="Z507" s="14">
        <v>0.0</v>
      </c>
      <c r="AA507" s="14">
        <v>0.0</v>
      </c>
      <c r="AB507" s="14">
        <v>0.0</v>
      </c>
      <c r="AC507" s="14">
        <v>0.0</v>
      </c>
      <c r="AD507" s="2">
        <v>0.0</v>
      </c>
      <c r="AE507" s="2">
        <v>0.0</v>
      </c>
      <c r="AF507" s="2" t="s">
        <v>1186</v>
      </c>
      <c r="AG507" s="2" t="s">
        <v>1186</v>
      </c>
      <c r="AH507" s="2">
        <v>0.0</v>
      </c>
    </row>
    <row r="508" ht="15.75" customHeight="1">
      <c r="B508" s="12"/>
      <c r="C508" s="13"/>
      <c r="D508" s="14"/>
      <c r="E508" s="15"/>
      <c r="G508" s="15"/>
      <c r="O508" s="15"/>
      <c r="Q508" s="17"/>
      <c r="S508" s="17"/>
      <c r="T508" s="17"/>
      <c r="U508" s="14"/>
      <c r="V508" s="14" t="s">
        <v>1186</v>
      </c>
      <c r="W508" s="2" t="s">
        <v>1186</v>
      </c>
      <c r="X508" s="2" t="s">
        <v>1186</v>
      </c>
      <c r="Y508" s="13"/>
      <c r="Z508" s="14">
        <v>0.0</v>
      </c>
      <c r="AA508" s="14">
        <v>0.0</v>
      </c>
      <c r="AB508" s="14">
        <v>0.0</v>
      </c>
      <c r="AC508" s="14">
        <v>0.0</v>
      </c>
      <c r="AD508" s="2">
        <v>0.0</v>
      </c>
      <c r="AE508" s="2">
        <v>0.0</v>
      </c>
      <c r="AF508" s="2" t="s">
        <v>1186</v>
      </c>
      <c r="AG508" s="2" t="s">
        <v>1186</v>
      </c>
      <c r="AH508" s="2">
        <v>0.0</v>
      </c>
    </row>
    <row r="509" ht="15.75" customHeight="1">
      <c r="B509" s="12"/>
      <c r="C509" s="13"/>
      <c r="D509" s="14"/>
      <c r="E509" s="15"/>
      <c r="G509" s="15"/>
      <c r="O509" s="15"/>
      <c r="Q509" s="17"/>
      <c r="S509" s="17"/>
      <c r="T509" s="17"/>
      <c r="U509" s="14"/>
      <c r="V509" s="14" t="s">
        <v>1186</v>
      </c>
      <c r="W509" s="2" t="s">
        <v>1186</v>
      </c>
      <c r="X509" s="2" t="s">
        <v>1186</v>
      </c>
      <c r="Y509" s="13"/>
      <c r="Z509" s="14">
        <v>0.0</v>
      </c>
      <c r="AA509" s="14">
        <v>0.0</v>
      </c>
      <c r="AB509" s="14">
        <v>0.0</v>
      </c>
      <c r="AC509" s="14">
        <v>0.0</v>
      </c>
      <c r="AD509" s="2">
        <v>0.0</v>
      </c>
      <c r="AE509" s="2">
        <v>0.0</v>
      </c>
      <c r="AF509" s="2" t="s">
        <v>1186</v>
      </c>
      <c r="AG509" s="2" t="s">
        <v>1186</v>
      </c>
      <c r="AH509" s="2">
        <v>0.0</v>
      </c>
    </row>
    <row r="510" ht="15.75" customHeight="1">
      <c r="B510" s="12"/>
      <c r="C510" s="13"/>
      <c r="D510" s="14"/>
      <c r="E510" s="15"/>
      <c r="G510" s="15"/>
      <c r="O510" s="15"/>
      <c r="Q510" s="17"/>
      <c r="S510" s="17"/>
      <c r="T510" s="17"/>
      <c r="U510" s="14"/>
      <c r="V510" s="14" t="s">
        <v>1186</v>
      </c>
      <c r="W510" s="2" t="s">
        <v>1186</v>
      </c>
      <c r="X510" s="2" t="s">
        <v>1186</v>
      </c>
      <c r="Y510" s="13"/>
      <c r="Z510" s="14">
        <v>0.0</v>
      </c>
      <c r="AA510" s="14">
        <v>0.0</v>
      </c>
      <c r="AB510" s="14">
        <v>0.0</v>
      </c>
      <c r="AC510" s="14">
        <v>0.0</v>
      </c>
      <c r="AD510" s="2">
        <v>0.0</v>
      </c>
      <c r="AE510" s="2">
        <v>0.0</v>
      </c>
      <c r="AF510" s="2" t="s">
        <v>1186</v>
      </c>
      <c r="AG510" s="2" t="s">
        <v>1186</v>
      </c>
      <c r="AH510" s="2">
        <v>0.0</v>
      </c>
    </row>
    <row r="511" ht="15.75" customHeight="1">
      <c r="B511" s="12"/>
      <c r="C511" s="13"/>
      <c r="D511" s="14"/>
      <c r="E511" s="15"/>
      <c r="G511" s="15"/>
      <c r="O511" s="15"/>
      <c r="Q511" s="17"/>
      <c r="S511" s="17"/>
      <c r="T511" s="17"/>
      <c r="U511" s="14"/>
      <c r="V511" s="14" t="s">
        <v>1186</v>
      </c>
      <c r="W511" s="2" t="s">
        <v>1186</v>
      </c>
      <c r="X511" s="2" t="s">
        <v>1186</v>
      </c>
      <c r="Y511" s="13"/>
      <c r="Z511" s="14">
        <v>0.0</v>
      </c>
      <c r="AA511" s="14">
        <v>0.0</v>
      </c>
      <c r="AB511" s="14">
        <v>0.0</v>
      </c>
      <c r="AC511" s="14">
        <v>0.0</v>
      </c>
      <c r="AD511" s="2">
        <v>0.0</v>
      </c>
      <c r="AE511" s="2">
        <v>0.0</v>
      </c>
      <c r="AF511" s="2" t="s">
        <v>1186</v>
      </c>
      <c r="AG511" s="2" t="s">
        <v>1186</v>
      </c>
      <c r="AH511" s="2">
        <v>0.0</v>
      </c>
    </row>
    <row r="512" ht="15.75" customHeight="1">
      <c r="B512" s="12"/>
      <c r="C512" s="13"/>
      <c r="D512" s="14"/>
      <c r="E512" s="15"/>
      <c r="G512" s="15"/>
      <c r="O512" s="15"/>
      <c r="Q512" s="17"/>
      <c r="S512" s="17"/>
      <c r="T512" s="17"/>
      <c r="U512" s="14"/>
      <c r="V512" s="14" t="s">
        <v>1186</v>
      </c>
      <c r="W512" s="2" t="s">
        <v>1186</v>
      </c>
      <c r="X512" s="2" t="s">
        <v>1186</v>
      </c>
      <c r="Y512" s="13"/>
      <c r="Z512" s="14">
        <v>0.0</v>
      </c>
      <c r="AA512" s="14">
        <v>0.0</v>
      </c>
      <c r="AB512" s="14">
        <v>0.0</v>
      </c>
      <c r="AC512" s="14">
        <v>0.0</v>
      </c>
      <c r="AD512" s="2">
        <v>0.0</v>
      </c>
      <c r="AE512" s="2">
        <v>0.0</v>
      </c>
      <c r="AF512" s="2" t="s">
        <v>1186</v>
      </c>
      <c r="AG512" s="2" t="s">
        <v>1186</v>
      </c>
      <c r="AH512" s="2">
        <v>0.0</v>
      </c>
    </row>
    <row r="513" ht="15.75" customHeight="1">
      <c r="B513" s="12"/>
      <c r="C513" s="13"/>
      <c r="D513" s="14"/>
      <c r="E513" s="15"/>
      <c r="G513" s="15"/>
      <c r="O513" s="15"/>
      <c r="Q513" s="17"/>
      <c r="S513" s="17"/>
      <c r="T513" s="17"/>
      <c r="U513" s="14"/>
      <c r="V513" s="14" t="s">
        <v>1186</v>
      </c>
      <c r="W513" s="2" t="s">
        <v>1186</v>
      </c>
      <c r="X513" s="2" t="s">
        <v>1186</v>
      </c>
      <c r="Y513" s="13"/>
      <c r="Z513" s="14">
        <v>0.0</v>
      </c>
      <c r="AA513" s="14">
        <v>0.0</v>
      </c>
      <c r="AB513" s="14">
        <v>0.0</v>
      </c>
      <c r="AC513" s="14">
        <v>0.0</v>
      </c>
      <c r="AD513" s="2">
        <v>0.0</v>
      </c>
      <c r="AE513" s="2">
        <v>0.0</v>
      </c>
      <c r="AF513" s="2" t="s">
        <v>1186</v>
      </c>
      <c r="AG513" s="2" t="s">
        <v>1186</v>
      </c>
      <c r="AH513" s="2">
        <v>0.0</v>
      </c>
    </row>
    <row r="514" ht="15.75" customHeight="1">
      <c r="B514" s="12"/>
      <c r="C514" s="13"/>
      <c r="D514" s="14"/>
      <c r="E514" s="15"/>
      <c r="G514" s="15"/>
      <c r="O514" s="15"/>
      <c r="Q514" s="17"/>
      <c r="S514" s="17"/>
      <c r="T514" s="17"/>
      <c r="U514" s="14"/>
      <c r="V514" s="14" t="s">
        <v>1186</v>
      </c>
      <c r="W514" s="2" t="s">
        <v>1186</v>
      </c>
      <c r="X514" s="2" t="s">
        <v>1186</v>
      </c>
      <c r="Y514" s="13"/>
      <c r="Z514" s="14">
        <v>0.0</v>
      </c>
      <c r="AA514" s="14">
        <v>0.0</v>
      </c>
      <c r="AB514" s="14">
        <v>0.0</v>
      </c>
      <c r="AC514" s="14">
        <v>0.0</v>
      </c>
      <c r="AD514" s="2">
        <v>0.0</v>
      </c>
      <c r="AE514" s="2">
        <v>0.0</v>
      </c>
      <c r="AF514" s="2" t="s">
        <v>1186</v>
      </c>
      <c r="AG514" s="2" t="s">
        <v>1186</v>
      </c>
      <c r="AH514" s="2">
        <v>0.0</v>
      </c>
    </row>
    <row r="515" ht="15.75" customHeight="1">
      <c r="B515" s="12"/>
      <c r="C515" s="13"/>
      <c r="D515" s="14"/>
      <c r="E515" s="15"/>
      <c r="G515" s="15"/>
      <c r="O515" s="15"/>
      <c r="Q515" s="17"/>
      <c r="S515" s="17"/>
      <c r="T515" s="17"/>
      <c r="U515" s="14"/>
      <c r="V515" s="14" t="s">
        <v>1186</v>
      </c>
      <c r="W515" s="2" t="s">
        <v>1186</v>
      </c>
      <c r="X515" s="2" t="s">
        <v>1186</v>
      </c>
      <c r="Y515" s="13"/>
      <c r="Z515" s="14">
        <v>0.0</v>
      </c>
      <c r="AA515" s="14">
        <v>0.0</v>
      </c>
      <c r="AB515" s="14">
        <v>0.0</v>
      </c>
      <c r="AC515" s="14">
        <v>0.0</v>
      </c>
      <c r="AD515" s="2">
        <v>0.0</v>
      </c>
      <c r="AE515" s="2">
        <v>0.0</v>
      </c>
      <c r="AF515" s="2" t="s">
        <v>1186</v>
      </c>
      <c r="AG515" s="2" t="s">
        <v>1186</v>
      </c>
      <c r="AH515" s="2">
        <v>0.0</v>
      </c>
    </row>
    <row r="516" ht="15.75" customHeight="1">
      <c r="B516" s="12"/>
      <c r="C516" s="13"/>
      <c r="D516" s="14"/>
      <c r="E516" s="15"/>
      <c r="G516" s="15"/>
      <c r="O516" s="15"/>
      <c r="Q516" s="17"/>
      <c r="S516" s="17"/>
      <c r="T516" s="17"/>
      <c r="U516" s="14"/>
      <c r="V516" s="14" t="s">
        <v>1186</v>
      </c>
      <c r="W516" s="2" t="s">
        <v>1186</v>
      </c>
      <c r="X516" s="2" t="s">
        <v>1186</v>
      </c>
      <c r="Y516" s="13"/>
      <c r="Z516" s="14">
        <v>0.0</v>
      </c>
      <c r="AA516" s="14">
        <v>0.0</v>
      </c>
      <c r="AB516" s="14">
        <v>0.0</v>
      </c>
      <c r="AC516" s="14">
        <v>0.0</v>
      </c>
      <c r="AD516" s="2">
        <v>0.0</v>
      </c>
      <c r="AE516" s="2">
        <v>0.0</v>
      </c>
      <c r="AF516" s="2" t="s">
        <v>1186</v>
      </c>
      <c r="AG516" s="2" t="s">
        <v>1186</v>
      </c>
      <c r="AH516" s="2">
        <v>0.0</v>
      </c>
    </row>
    <row r="517" ht="15.75" customHeight="1">
      <c r="B517" s="12"/>
      <c r="C517" s="13"/>
      <c r="D517" s="14"/>
      <c r="E517" s="15"/>
      <c r="G517" s="15"/>
      <c r="O517" s="15"/>
      <c r="Q517" s="17"/>
      <c r="S517" s="17"/>
      <c r="T517" s="17"/>
      <c r="U517" s="14"/>
      <c r="V517" s="14" t="s">
        <v>1186</v>
      </c>
      <c r="W517" s="2" t="s">
        <v>1186</v>
      </c>
      <c r="X517" s="2" t="s">
        <v>1186</v>
      </c>
      <c r="Y517" s="13"/>
      <c r="Z517" s="14">
        <v>0.0</v>
      </c>
      <c r="AA517" s="14">
        <v>0.0</v>
      </c>
      <c r="AB517" s="14">
        <v>0.0</v>
      </c>
      <c r="AC517" s="14">
        <v>0.0</v>
      </c>
      <c r="AD517" s="2">
        <v>0.0</v>
      </c>
      <c r="AE517" s="2">
        <v>0.0</v>
      </c>
      <c r="AF517" s="2" t="s">
        <v>1186</v>
      </c>
      <c r="AG517" s="2" t="s">
        <v>1186</v>
      </c>
      <c r="AH517" s="2">
        <v>0.0</v>
      </c>
    </row>
    <row r="518" ht="15.75" customHeight="1">
      <c r="B518" s="12"/>
      <c r="C518" s="13"/>
      <c r="D518" s="14"/>
      <c r="E518" s="15"/>
      <c r="G518" s="15"/>
      <c r="O518" s="15"/>
      <c r="Q518" s="17"/>
      <c r="S518" s="17"/>
      <c r="T518" s="17"/>
      <c r="U518" s="14"/>
      <c r="V518" s="14" t="s">
        <v>1186</v>
      </c>
      <c r="W518" s="2" t="s">
        <v>1186</v>
      </c>
      <c r="X518" s="2" t="s">
        <v>1186</v>
      </c>
      <c r="Y518" s="13"/>
      <c r="Z518" s="14">
        <v>0.0</v>
      </c>
      <c r="AA518" s="14">
        <v>0.0</v>
      </c>
      <c r="AB518" s="14">
        <v>0.0</v>
      </c>
      <c r="AC518" s="14">
        <v>0.0</v>
      </c>
      <c r="AD518" s="2">
        <v>0.0</v>
      </c>
      <c r="AE518" s="2">
        <v>0.0</v>
      </c>
      <c r="AF518" s="2" t="s">
        <v>1186</v>
      </c>
      <c r="AG518" s="2" t="s">
        <v>1186</v>
      </c>
      <c r="AH518" s="2">
        <v>0.0</v>
      </c>
    </row>
    <row r="519" ht="15.75" customHeight="1">
      <c r="B519" s="12"/>
      <c r="C519" s="13"/>
      <c r="D519" s="14"/>
      <c r="E519" s="15"/>
      <c r="G519" s="15"/>
      <c r="O519" s="15"/>
      <c r="Q519" s="17"/>
      <c r="S519" s="17"/>
      <c r="T519" s="17"/>
      <c r="U519" s="14"/>
      <c r="V519" s="14" t="s">
        <v>1186</v>
      </c>
      <c r="W519" s="2" t="s">
        <v>1186</v>
      </c>
      <c r="X519" s="2" t="s">
        <v>1186</v>
      </c>
      <c r="Y519" s="13"/>
      <c r="Z519" s="14">
        <v>0.0</v>
      </c>
      <c r="AA519" s="14">
        <v>0.0</v>
      </c>
      <c r="AB519" s="14">
        <v>0.0</v>
      </c>
      <c r="AC519" s="14">
        <v>0.0</v>
      </c>
      <c r="AD519" s="2">
        <v>0.0</v>
      </c>
      <c r="AE519" s="2">
        <v>0.0</v>
      </c>
      <c r="AF519" s="2" t="s">
        <v>1186</v>
      </c>
      <c r="AG519" s="2" t="s">
        <v>1186</v>
      </c>
      <c r="AH519" s="2">
        <v>0.0</v>
      </c>
    </row>
    <row r="520" ht="15.75" customHeight="1">
      <c r="B520" s="12"/>
      <c r="C520" s="13"/>
      <c r="D520" s="14"/>
      <c r="E520" s="15"/>
      <c r="G520" s="15"/>
      <c r="O520" s="15"/>
      <c r="Q520" s="17"/>
      <c r="S520" s="17"/>
      <c r="T520" s="17"/>
      <c r="U520" s="14"/>
      <c r="V520" s="14" t="s">
        <v>1186</v>
      </c>
      <c r="W520" s="2" t="s">
        <v>1186</v>
      </c>
      <c r="X520" s="2" t="s">
        <v>1186</v>
      </c>
      <c r="Y520" s="13"/>
      <c r="Z520" s="14">
        <v>0.0</v>
      </c>
      <c r="AA520" s="14">
        <v>0.0</v>
      </c>
      <c r="AB520" s="14">
        <v>0.0</v>
      </c>
      <c r="AC520" s="14">
        <v>0.0</v>
      </c>
      <c r="AD520" s="2">
        <v>0.0</v>
      </c>
      <c r="AE520" s="2">
        <v>0.0</v>
      </c>
      <c r="AF520" s="2" t="s">
        <v>1186</v>
      </c>
      <c r="AG520" s="2" t="s">
        <v>1186</v>
      </c>
      <c r="AH520" s="2">
        <v>0.0</v>
      </c>
    </row>
    <row r="521" ht="15.75" customHeight="1">
      <c r="B521" s="12"/>
      <c r="C521" s="13"/>
      <c r="D521" s="14"/>
      <c r="E521" s="15"/>
      <c r="G521" s="15"/>
      <c r="O521" s="15"/>
      <c r="Q521" s="17"/>
      <c r="S521" s="17"/>
      <c r="T521" s="17"/>
      <c r="U521" s="14"/>
      <c r="V521" s="14" t="s">
        <v>1186</v>
      </c>
      <c r="W521" s="2" t="s">
        <v>1186</v>
      </c>
      <c r="X521" s="2" t="s">
        <v>1186</v>
      </c>
      <c r="Y521" s="13"/>
      <c r="Z521" s="14">
        <v>0.0</v>
      </c>
      <c r="AA521" s="14">
        <v>0.0</v>
      </c>
      <c r="AB521" s="14">
        <v>0.0</v>
      </c>
      <c r="AC521" s="14">
        <v>0.0</v>
      </c>
      <c r="AD521" s="2">
        <v>0.0</v>
      </c>
      <c r="AE521" s="2">
        <v>0.0</v>
      </c>
      <c r="AF521" s="2" t="s">
        <v>1186</v>
      </c>
      <c r="AG521" s="2" t="s">
        <v>1186</v>
      </c>
      <c r="AH521" s="2">
        <v>0.0</v>
      </c>
    </row>
    <row r="522" ht="15.75" customHeight="1">
      <c r="B522" s="12"/>
      <c r="C522" s="13"/>
      <c r="D522" s="14"/>
      <c r="E522" s="15"/>
      <c r="G522" s="15"/>
      <c r="O522" s="15"/>
      <c r="Q522" s="17"/>
      <c r="S522" s="17"/>
      <c r="T522" s="17"/>
      <c r="U522" s="14"/>
      <c r="V522" s="14" t="s">
        <v>1186</v>
      </c>
      <c r="W522" s="2" t="s">
        <v>1186</v>
      </c>
      <c r="X522" s="2" t="s">
        <v>1186</v>
      </c>
      <c r="Y522" s="13"/>
      <c r="Z522" s="14">
        <v>0.0</v>
      </c>
      <c r="AA522" s="14">
        <v>0.0</v>
      </c>
      <c r="AB522" s="14">
        <v>0.0</v>
      </c>
      <c r="AC522" s="14">
        <v>0.0</v>
      </c>
      <c r="AD522" s="2">
        <v>0.0</v>
      </c>
      <c r="AE522" s="2">
        <v>0.0</v>
      </c>
      <c r="AF522" s="2" t="s">
        <v>1186</v>
      </c>
      <c r="AG522" s="2" t="s">
        <v>1186</v>
      </c>
      <c r="AH522" s="2">
        <v>0.0</v>
      </c>
    </row>
    <row r="523" ht="15.75" customHeight="1">
      <c r="B523" s="12"/>
      <c r="C523" s="13"/>
      <c r="D523" s="14"/>
      <c r="E523" s="15"/>
      <c r="G523" s="15"/>
      <c r="O523" s="15"/>
      <c r="Q523" s="17"/>
      <c r="S523" s="17"/>
      <c r="T523" s="17"/>
      <c r="U523" s="14"/>
      <c r="V523" s="14" t="s">
        <v>1186</v>
      </c>
      <c r="W523" s="2" t="s">
        <v>1186</v>
      </c>
      <c r="X523" s="2" t="s">
        <v>1186</v>
      </c>
      <c r="Y523" s="13"/>
      <c r="Z523" s="14">
        <v>0.0</v>
      </c>
      <c r="AA523" s="14">
        <v>0.0</v>
      </c>
      <c r="AB523" s="14">
        <v>0.0</v>
      </c>
      <c r="AC523" s="14">
        <v>0.0</v>
      </c>
      <c r="AD523" s="2">
        <v>0.0</v>
      </c>
      <c r="AE523" s="2">
        <v>0.0</v>
      </c>
      <c r="AF523" s="2" t="s">
        <v>1186</v>
      </c>
      <c r="AG523" s="2" t="s">
        <v>1186</v>
      </c>
      <c r="AH523" s="2">
        <v>0.0</v>
      </c>
    </row>
    <row r="524" ht="15.75" customHeight="1">
      <c r="B524" s="12"/>
      <c r="C524" s="13"/>
      <c r="D524" s="14"/>
      <c r="E524" s="15"/>
      <c r="G524" s="15"/>
      <c r="O524" s="15"/>
      <c r="Q524" s="17"/>
      <c r="S524" s="17"/>
      <c r="T524" s="17"/>
      <c r="U524" s="14"/>
      <c r="V524" s="14" t="s">
        <v>1186</v>
      </c>
      <c r="W524" s="2" t="s">
        <v>1186</v>
      </c>
      <c r="X524" s="2" t="s">
        <v>1186</v>
      </c>
      <c r="Y524" s="13"/>
      <c r="Z524" s="14">
        <v>0.0</v>
      </c>
      <c r="AA524" s="14">
        <v>0.0</v>
      </c>
      <c r="AB524" s="14">
        <v>0.0</v>
      </c>
      <c r="AC524" s="14">
        <v>0.0</v>
      </c>
      <c r="AD524" s="2">
        <v>0.0</v>
      </c>
      <c r="AE524" s="2">
        <v>0.0</v>
      </c>
      <c r="AF524" s="2" t="s">
        <v>1186</v>
      </c>
      <c r="AG524" s="2" t="s">
        <v>1186</v>
      </c>
      <c r="AH524" s="2">
        <v>0.0</v>
      </c>
    </row>
    <row r="525" ht="15.75" customHeight="1">
      <c r="B525" s="12"/>
      <c r="C525" s="13"/>
      <c r="D525" s="14"/>
      <c r="E525" s="15"/>
      <c r="G525" s="15"/>
      <c r="O525" s="15"/>
      <c r="Q525" s="17"/>
      <c r="S525" s="17"/>
      <c r="T525" s="17"/>
      <c r="U525" s="14"/>
      <c r="V525" s="14" t="s">
        <v>1186</v>
      </c>
      <c r="W525" s="2" t="s">
        <v>1186</v>
      </c>
      <c r="X525" s="2" t="s">
        <v>1186</v>
      </c>
      <c r="Y525" s="13"/>
      <c r="Z525" s="14">
        <v>0.0</v>
      </c>
      <c r="AA525" s="14">
        <v>0.0</v>
      </c>
      <c r="AB525" s="14">
        <v>0.0</v>
      </c>
      <c r="AC525" s="14">
        <v>0.0</v>
      </c>
      <c r="AD525" s="2">
        <v>0.0</v>
      </c>
      <c r="AE525" s="2">
        <v>0.0</v>
      </c>
      <c r="AF525" s="2" t="s">
        <v>1186</v>
      </c>
      <c r="AG525" s="2" t="s">
        <v>1186</v>
      </c>
      <c r="AH525" s="2">
        <v>0.0</v>
      </c>
    </row>
    <row r="526" ht="15.75" customHeight="1">
      <c r="B526" s="12"/>
      <c r="C526" s="13"/>
      <c r="D526" s="14"/>
      <c r="E526" s="15"/>
      <c r="G526" s="15"/>
      <c r="O526" s="15"/>
      <c r="Q526" s="17"/>
      <c r="S526" s="17"/>
      <c r="T526" s="17"/>
      <c r="U526" s="14"/>
      <c r="V526" s="14" t="s">
        <v>1186</v>
      </c>
      <c r="W526" s="2" t="s">
        <v>1186</v>
      </c>
      <c r="X526" s="2" t="s">
        <v>1186</v>
      </c>
      <c r="Y526" s="13"/>
      <c r="Z526" s="14">
        <v>0.0</v>
      </c>
      <c r="AA526" s="14">
        <v>0.0</v>
      </c>
      <c r="AB526" s="14">
        <v>0.0</v>
      </c>
      <c r="AC526" s="14">
        <v>0.0</v>
      </c>
      <c r="AD526" s="2">
        <v>0.0</v>
      </c>
      <c r="AE526" s="2">
        <v>0.0</v>
      </c>
      <c r="AF526" s="2" t="s">
        <v>1186</v>
      </c>
      <c r="AG526" s="2" t="s">
        <v>1186</v>
      </c>
      <c r="AH526" s="2">
        <v>0.0</v>
      </c>
    </row>
    <row r="527" ht="15.75" customHeight="1">
      <c r="B527" s="12"/>
      <c r="C527" s="13"/>
      <c r="D527" s="14"/>
      <c r="E527" s="15"/>
      <c r="G527" s="15"/>
      <c r="O527" s="15"/>
      <c r="Q527" s="17"/>
      <c r="S527" s="17"/>
      <c r="T527" s="17"/>
      <c r="U527" s="14"/>
      <c r="V527" s="14" t="s">
        <v>1186</v>
      </c>
      <c r="W527" s="2" t="s">
        <v>1186</v>
      </c>
      <c r="X527" s="2" t="s">
        <v>1186</v>
      </c>
      <c r="Y527" s="13"/>
      <c r="Z527" s="14">
        <v>0.0</v>
      </c>
      <c r="AA527" s="14">
        <v>0.0</v>
      </c>
      <c r="AB527" s="14">
        <v>0.0</v>
      </c>
      <c r="AC527" s="14">
        <v>0.0</v>
      </c>
      <c r="AD527" s="2">
        <v>0.0</v>
      </c>
      <c r="AE527" s="2">
        <v>0.0</v>
      </c>
      <c r="AF527" s="2" t="s">
        <v>1186</v>
      </c>
      <c r="AG527" s="2" t="s">
        <v>1186</v>
      </c>
      <c r="AH527" s="2">
        <v>0.0</v>
      </c>
    </row>
    <row r="528" ht="15.75" customHeight="1">
      <c r="B528" s="12"/>
      <c r="C528" s="13"/>
      <c r="D528" s="14"/>
      <c r="E528" s="15"/>
      <c r="G528" s="15"/>
      <c r="O528" s="15"/>
      <c r="Q528" s="17"/>
      <c r="S528" s="17"/>
      <c r="T528" s="17"/>
      <c r="U528" s="14"/>
      <c r="V528" s="14" t="s">
        <v>1186</v>
      </c>
      <c r="W528" s="2" t="s">
        <v>1186</v>
      </c>
      <c r="X528" s="2" t="s">
        <v>1186</v>
      </c>
      <c r="Y528" s="13"/>
      <c r="Z528" s="14">
        <v>0.0</v>
      </c>
      <c r="AA528" s="14">
        <v>0.0</v>
      </c>
      <c r="AB528" s="14">
        <v>0.0</v>
      </c>
      <c r="AC528" s="14">
        <v>0.0</v>
      </c>
      <c r="AD528" s="2">
        <v>0.0</v>
      </c>
      <c r="AE528" s="2">
        <v>0.0</v>
      </c>
      <c r="AF528" s="2" t="s">
        <v>1186</v>
      </c>
      <c r="AG528" s="2" t="s">
        <v>1186</v>
      </c>
      <c r="AH528" s="2">
        <v>0.0</v>
      </c>
    </row>
    <row r="529" ht="15.75" customHeight="1">
      <c r="B529" s="12"/>
      <c r="C529" s="13"/>
      <c r="D529" s="14"/>
      <c r="E529" s="15"/>
      <c r="G529" s="15"/>
      <c r="O529" s="15"/>
      <c r="Q529" s="17"/>
      <c r="S529" s="17"/>
      <c r="T529" s="17"/>
      <c r="U529" s="14"/>
      <c r="V529" s="14" t="s">
        <v>1186</v>
      </c>
      <c r="W529" s="2" t="s">
        <v>1186</v>
      </c>
      <c r="X529" s="2" t="s">
        <v>1186</v>
      </c>
      <c r="Y529" s="13"/>
      <c r="Z529" s="14">
        <v>0.0</v>
      </c>
      <c r="AA529" s="14">
        <v>0.0</v>
      </c>
      <c r="AB529" s="14">
        <v>0.0</v>
      </c>
      <c r="AC529" s="14">
        <v>0.0</v>
      </c>
      <c r="AD529" s="2">
        <v>0.0</v>
      </c>
      <c r="AE529" s="2">
        <v>0.0</v>
      </c>
      <c r="AF529" s="2" t="s">
        <v>1186</v>
      </c>
      <c r="AG529" s="2" t="s">
        <v>1186</v>
      </c>
      <c r="AH529" s="2">
        <v>0.0</v>
      </c>
    </row>
    <row r="530" ht="15.75" customHeight="1">
      <c r="B530" s="12"/>
      <c r="C530" s="13"/>
      <c r="D530" s="14"/>
      <c r="E530" s="15"/>
      <c r="G530" s="15"/>
      <c r="O530" s="15"/>
      <c r="Q530" s="17"/>
      <c r="S530" s="17"/>
      <c r="T530" s="17"/>
      <c r="U530" s="14"/>
      <c r="V530" s="14" t="s">
        <v>1186</v>
      </c>
      <c r="W530" s="2" t="s">
        <v>1186</v>
      </c>
      <c r="X530" s="2" t="s">
        <v>1186</v>
      </c>
      <c r="Y530" s="13"/>
      <c r="Z530" s="14">
        <v>0.0</v>
      </c>
      <c r="AA530" s="14">
        <v>0.0</v>
      </c>
      <c r="AB530" s="14">
        <v>0.0</v>
      </c>
      <c r="AC530" s="14">
        <v>0.0</v>
      </c>
      <c r="AD530" s="2">
        <v>0.0</v>
      </c>
      <c r="AE530" s="2">
        <v>0.0</v>
      </c>
      <c r="AF530" s="2" t="s">
        <v>1186</v>
      </c>
      <c r="AG530" s="2" t="s">
        <v>1186</v>
      </c>
      <c r="AH530" s="2">
        <v>0.0</v>
      </c>
    </row>
    <row r="531" ht="15.75" customHeight="1">
      <c r="B531" s="12"/>
      <c r="C531" s="13"/>
      <c r="D531" s="14"/>
      <c r="E531" s="15"/>
      <c r="G531" s="15"/>
      <c r="O531" s="15"/>
      <c r="Q531" s="17"/>
      <c r="S531" s="17"/>
      <c r="T531" s="17"/>
      <c r="U531" s="14"/>
      <c r="V531" s="14" t="s">
        <v>1186</v>
      </c>
      <c r="W531" s="2" t="s">
        <v>1186</v>
      </c>
      <c r="X531" s="2" t="s">
        <v>1186</v>
      </c>
      <c r="Y531" s="13"/>
      <c r="Z531" s="14">
        <v>0.0</v>
      </c>
      <c r="AA531" s="14">
        <v>0.0</v>
      </c>
      <c r="AB531" s="14">
        <v>0.0</v>
      </c>
      <c r="AC531" s="14">
        <v>0.0</v>
      </c>
      <c r="AD531" s="2">
        <v>0.0</v>
      </c>
      <c r="AE531" s="2">
        <v>0.0</v>
      </c>
      <c r="AF531" s="2" t="s">
        <v>1186</v>
      </c>
      <c r="AG531" s="2" t="s">
        <v>1186</v>
      </c>
      <c r="AH531" s="2">
        <v>0.0</v>
      </c>
    </row>
    <row r="532" ht="15.75" customHeight="1">
      <c r="B532" s="12"/>
      <c r="C532" s="13"/>
      <c r="D532" s="14"/>
      <c r="E532" s="15"/>
      <c r="G532" s="15"/>
      <c r="O532" s="15"/>
      <c r="Q532" s="17"/>
      <c r="S532" s="17"/>
      <c r="T532" s="17"/>
      <c r="U532" s="14"/>
      <c r="V532" s="14" t="s">
        <v>1186</v>
      </c>
      <c r="W532" s="2" t="s">
        <v>1186</v>
      </c>
      <c r="X532" s="2" t="s">
        <v>1186</v>
      </c>
      <c r="Y532" s="13"/>
      <c r="Z532" s="14">
        <v>0.0</v>
      </c>
      <c r="AA532" s="14">
        <v>0.0</v>
      </c>
      <c r="AB532" s="14">
        <v>0.0</v>
      </c>
      <c r="AC532" s="14">
        <v>0.0</v>
      </c>
      <c r="AD532" s="2">
        <v>0.0</v>
      </c>
      <c r="AE532" s="2">
        <v>0.0</v>
      </c>
      <c r="AF532" s="2" t="s">
        <v>1186</v>
      </c>
      <c r="AG532" s="2" t="s">
        <v>1186</v>
      </c>
      <c r="AH532" s="2">
        <v>0.0</v>
      </c>
    </row>
    <row r="533" ht="15.75" customHeight="1">
      <c r="B533" s="12"/>
      <c r="C533" s="13"/>
      <c r="D533" s="14"/>
      <c r="E533" s="15"/>
      <c r="G533" s="15"/>
      <c r="O533" s="15"/>
      <c r="Q533" s="17"/>
      <c r="S533" s="17"/>
      <c r="T533" s="17"/>
      <c r="U533" s="14"/>
      <c r="V533" s="14" t="s">
        <v>1186</v>
      </c>
      <c r="W533" s="2" t="s">
        <v>1186</v>
      </c>
      <c r="X533" s="2" t="s">
        <v>1186</v>
      </c>
      <c r="Y533" s="13"/>
      <c r="Z533" s="14">
        <v>0.0</v>
      </c>
      <c r="AA533" s="14">
        <v>0.0</v>
      </c>
      <c r="AB533" s="14">
        <v>0.0</v>
      </c>
      <c r="AC533" s="14">
        <v>0.0</v>
      </c>
      <c r="AD533" s="2">
        <v>0.0</v>
      </c>
      <c r="AE533" s="2">
        <v>0.0</v>
      </c>
      <c r="AF533" s="2" t="s">
        <v>1186</v>
      </c>
      <c r="AG533" s="2" t="s">
        <v>1186</v>
      </c>
      <c r="AH533" s="2">
        <v>0.0</v>
      </c>
    </row>
    <row r="534" ht="15.75" customHeight="1">
      <c r="B534" s="12"/>
      <c r="C534" s="13"/>
      <c r="D534" s="14"/>
      <c r="E534" s="15"/>
      <c r="G534" s="15"/>
      <c r="O534" s="15"/>
      <c r="Q534" s="17"/>
      <c r="S534" s="17"/>
      <c r="T534" s="17"/>
      <c r="U534" s="14"/>
      <c r="V534" s="14" t="s">
        <v>1186</v>
      </c>
      <c r="W534" s="2" t="s">
        <v>1186</v>
      </c>
      <c r="X534" s="2" t="s">
        <v>1186</v>
      </c>
      <c r="Y534" s="13"/>
      <c r="Z534" s="14">
        <v>0.0</v>
      </c>
      <c r="AA534" s="14">
        <v>0.0</v>
      </c>
      <c r="AB534" s="14">
        <v>0.0</v>
      </c>
      <c r="AC534" s="14">
        <v>0.0</v>
      </c>
      <c r="AD534" s="2">
        <v>0.0</v>
      </c>
      <c r="AE534" s="2">
        <v>0.0</v>
      </c>
      <c r="AF534" s="2" t="s">
        <v>1186</v>
      </c>
      <c r="AG534" s="2" t="s">
        <v>1186</v>
      </c>
      <c r="AH534" s="2">
        <v>0.0</v>
      </c>
    </row>
    <row r="535" ht="15.75" customHeight="1">
      <c r="B535" s="12"/>
      <c r="C535" s="13"/>
      <c r="D535" s="14"/>
      <c r="E535" s="15"/>
      <c r="G535" s="15"/>
      <c r="O535" s="15"/>
      <c r="Q535" s="17"/>
      <c r="S535" s="17"/>
      <c r="T535" s="17"/>
      <c r="U535" s="14"/>
      <c r="V535" s="14" t="s">
        <v>1186</v>
      </c>
      <c r="W535" s="2" t="s">
        <v>1186</v>
      </c>
      <c r="X535" s="2" t="s">
        <v>1186</v>
      </c>
      <c r="Y535" s="13"/>
      <c r="Z535" s="14">
        <v>0.0</v>
      </c>
      <c r="AA535" s="14">
        <v>0.0</v>
      </c>
      <c r="AB535" s="14">
        <v>0.0</v>
      </c>
      <c r="AC535" s="14">
        <v>0.0</v>
      </c>
      <c r="AD535" s="2">
        <v>0.0</v>
      </c>
      <c r="AE535" s="2">
        <v>0.0</v>
      </c>
      <c r="AF535" s="2" t="s">
        <v>1186</v>
      </c>
      <c r="AG535" s="2" t="s">
        <v>1186</v>
      </c>
      <c r="AH535" s="2">
        <v>0.0</v>
      </c>
    </row>
    <row r="536" ht="15.75" customHeight="1">
      <c r="B536" s="12"/>
      <c r="C536" s="13"/>
      <c r="D536" s="14"/>
      <c r="E536" s="15"/>
      <c r="G536" s="15"/>
      <c r="O536" s="15"/>
      <c r="Q536" s="17"/>
      <c r="S536" s="17"/>
      <c r="T536" s="17"/>
      <c r="U536" s="14"/>
      <c r="V536" s="14" t="s">
        <v>1186</v>
      </c>
      <c r="W536" s="2" t="s">
        <v>1186</v>
      </c>
      <c r="X536" s="2" t="s">
        <v>1186</v>
      </c>
      <c r="Y536" s="13"/>
      <c r="Z536" s="14">
        <v>0.0</v>
      </c>
      <c r="AA536" s="14">
        <v>0.0</v>
      </c>
      <c r="AB536" s="14">
        <v>0.0</v>
      </c>
      <c r="AC536" s="14">
        <v>0.0</v>
      </c>
      <c r="AD536" s="2">
        <v>0.0</v>
      </c>
      <c r="AE536" s="2">
        <v>0.0</v>
      </c>
      <c r="AF536" s="2" t="s">
        <v>1186</v>
      </c>
      <c r="AG536" s="2" t="s">
        <v>1186</v>
      </c>
      <c r="AH536" s="2">
        <v>0.0</v>
      </c>
    </row>
    <row r="537" ht="15.75" customHeight="1">
      <c r="B537" s="12"/>
      <c r="C537" s="13"/>
      <c r="D537" s="14"/>
      <c r="E537" s="15"/>
      <c r="G537" s="15"/>
      <c r="O537" s="15"/>
      <c r="Q537" s="17"/>
      <c r="S537" s="17"/>
      <c r="T537" s="17"/>
      <c r="U537" s="14"/>
      <c r="V537" s="14" t="s">
        <v>1186</v>
      </c>
      <c r="W537" s="2" t="s">
        <v>1186</v>
      </c>
      <c r="X537" s="2" t="s">
        <v>1186</v>
      </c>
      <c r="Y537" s="13"/>
      <c r="Z537" s="14">
        <v>0.0</v>
      </c>
      <c r="AA537" s="14">
        <v>0.0</v>
      </c>
      <c r="AB537" s="14">
        <v>0.0</v>
      </c>
      <c r="AC537" s="14">
        <v>0.0</v>
      </c>
      <c r="AD537" s="2">
        <v>0.0</v>
      </c>
      <c r="AE537" s="2">
        <v>0.0</v>
      </c>
      <c r="AF537" s="2" t="s">
        <v>1186</v>
      </c>
      <c r="AG537" s="2" t="s">
        <v>1186</v>
      </c>
      <c r="AH537" s="2">
        <v>0.0</v>
      </c>
    </row>
    <row r="538" ht="15.75" customHeight="1">
      <c r="B538" s="12"/>
      <c r="C538" s="13"/>
      <c r="D538" s="14"/>
      <c r="E538" s="15"/>
      <c r="G538" s="15"/>
      <c r="O538" s="15"/>
      <c r="Q538" s="17"/>
      <c r="S538" s="17"/>
      <c r="T538" s="17"/>
      <c r="U538" s="14"/>
      <c r="V538" s="14" t="s">
        <v>1186</v>
      </c>
      <c r="W538" s="2" t="s">
        <v>1186</v>
      </c>
      <c r="X538" s="2" t="s">
        <v>1186</v>
      </c>
      <c r="Y538" s="13"/>
      <c r="Z538" s="14">
        <v>0.0</v>
      </c>
      <c r="AA538" s="14">
        <v>0.0</v>
      </c>
      <c r="AB538" s="14">
        <v>0.0</v>
      </c>
      <c r="AC538" s="14">
        <v>0.0</v>
      </c>
      <c r="AD538" s="2">
        <v>0.0</v>
      </c>
      <c r="AE538" s="2">
        <v>0.0</v>
      </c>
      <c r="AF538" s="2" t="s">
        <v>1186</v>
      </c>
      <c r="AG538" s="2" t="s">
        <v>1186</v>
      </c>
      <c r="AH538" s="2">
        <v>0.0</v>
      </c>
    </row>
    <row r="539" ht="15.75" customHeight="1">
      <c r="B539" s="12"/>
      <c r="C539" s="13"/>
      <c r="D539" s="14"/>
      <c r="E539" s="15"/>
      <c r="G539" s="15"/>
      <c r="O539" s="15"/>
      <c r="Q539" s="17"/>
      <c r="S539" s="17"/>
      <c r="T539" s="17"/>
      <c r="U539" s="14"/>
      <c r="V539" s="14" t="s">
        <v>1186</v>
      </c>
      <c r="W539" s="2" t="s">
        <v>1186</v>
      </c>
      <c r="X539" s="2" t="s">
        <v>1186</v>
      </c>
      <c r="Y539" s="13"/>
      <c r="Z539" s="14">
        <v>0.0</v>
      </c>
      <c r="AA539" s="14">
        <v>0.0</v>
      </c>
      <c r="AB539" s="14">
        <v>0.0</v>
      </c>
      <c r="AC539" s="14">
        <v>0.0</v>
      </c>
      <c r="AD539" s="2">
        <v>0.0</v>
      </c>
      <c r="AE539" s="2">
        <v>0.0</v>
      </c>
      <c r="AF539" s="2" t="s">
        <v>1186</v>
      </c>
      <c r="AG539" s="2" t="s">
        <v>1186</v>
      </c>
      <c r="AH539" s="2">
        <v>0.0</v>
      </c>
    </row>
    <row r="540" ht="15.75" customHeight="1">
      <c r="B540" s="12"/>
      <c r="C540" s="13"/>
      <c r="D540" s="14"/>
      <c r="E540" s="15"/>
      <c r="G540" s="15"/>
      <c r="O540" s="15"/>
      <c r="Q540" s="17"/>
      <c r="S540" s="17"/>
      <c r="T540" s="17"/>
      <c r="U540" s="14"/>
      <c r="V540" s="14" t="s">
        <v>1186</v>
      </c>
      <c r="W540" s="2" t="s">
        <v>1186</v>
      </c>
      <c r="X540" s="2" t="s">
        <v>1186</v>
      </c>
      <c r="Y540" s="13"/>
      <c r="Z540" s="14">
        <v>0.0</v>
      </c>
      <c r="AA540" s="14">
        <v>0.0</v>
      </c>
      <c r="AB540" s="14">
        <v>0.0</v>
      </c>
      <c r="AC540" s="14">
        <v>0.0</v>
      </c>
      <c r="AD540" s="2">
        <v>0.0</v>
      </c>
      <c r="AE540" s="2">
        <v>0.0</v>
      </c>
      <c r="AF540" s="2" t="s">
        <v>1186</v>
      </c>
      <c r="AG540" s="2" t="s">
        <v>1186</v>
      </c>
      <c r="AH540" s="2">
        <v>0.0</v>
      </c>
    </row>
    <row r="541" ht="15.75" customHeight="1">
      <c r="B541" s="12"/>
      <c r="C541" s="13"/>
      <c r="D541" s="14"/>
      <c r="E541" s="15"/>
      <c r="G541" s="15"/>
      <c r="O541" s="15"/>
      <c r="Q541" s="17"/>
      <c r="S541" s="17"/>
      <c r="T541" s="17"/>
      <c r="U541" s="14"/>
      <c r="V541" s="14" t="s">
        <v>1186</v>
      </c>
      <c r="W541" s="2" t="s">
        <v>1186</v>
      </c>
      <c r="X541" s="2" t="s">
        <v>1186</v>
      </c>
      <c r="Y541" s="13"/>
      <c r="Z541" s="14">
        <v>0.0</v>
      </c>
      <c r="AA541" s="14">
        <v>0.0</v>
      </c>
      <c r="AB541" s="14">
        <v>0.0</v>
      </c>
      <c r="AC541" s="14">
        <v>0.0</v>
      </c>
      <c r="AD541" s="2">
        <v>0.0</v>
      </c>
      <c r="AE541" s="2">
        <v>0.0</v>
      </c>
      <c r="AF541" s="2" t="s">
        <v>1186</v>
      </c>
      <c r="AG541" s="2" t="s">
        <v>1186</v>
      </c>
      <c r="AH541" s="2">
        <v>0.0</v>
      </c>
    </row>
    <row r="542" ht="15.75" customHeight="1">
      <c r="B542" s="12"/>
      <c r="C542" s="13"/>
      <c r="D542" s="14"/>
      <c r="E542" s="15"/>
      <c r="G542" s="15"/>
      <c r="O542" s="15"/>
      <c r="Q542" s="17"/>
      <c r="S542" s="17"/>
      <c r="T542" s="17"/>
      <c r="U542" s="14"/>
      <c r="V542" s="14" t="s">
        <v>1186</v>
      </c>
      <c r="W542" s="2" t="s">
        <v>1186</v>
      </c>
      <c r="X542" s="2" t="s">
        <v>1186</v>
      </c>
      <c r="Y542" s="13"/>
      <c r="Z542" s="14">
        <v>0.0</v>
      </c>
      <c r="AA542" s="14">
        <v>0.0</v>
      </c>
      <c r="AB542" s="14">
        <v>0.0</v>
      </c>
      <c r="AC542" s="14">
        <v>0.0</v>
      </c>
      <c r="AD542" s="2">
        <v>0.0</v>
      </c>
      <c r="AE542" s="2">
        <v>0.0</v>
      </c>
      <c r="AF542" s="2" t="s">
        <v>1186</v>
      </c>
      <c r="AG542" s="2" t="s">
        <v>1186</v>
      </c>
      <c r="AH542" s="2">
        <v>0.0</v>
      </c>
    </row>
    <row r="543" ht="15.75" customHeight="1">
      <c r="B543" s="12"/>
      <c r="C543" s="13"/>
      <c r="D543" s="14"/>
      <c r="E543" s="15"/>
      <c r="G543" s="15"/>
      <c r="O543" s="15"/>
      <c r="Q543" s="17"/>
      <c r="S543" s="17"/>
      <c r="T543" s="17"/>
      <c r="U543" s="14"/>
      <c r="V543" s="14" t="s">
        <v>1186</v>
      </c>
      <c r="W543" s="2" t="s">
        <v>1186</v>
      </c>
      <c r="X543" s="2" t="s">
        <v>1186</v>
      </c>
      <c r="Y543" s="13"/>
      <c r="Z543" s="14">
        <v>0.0</v>
      </c>
      <c r="AA543" s="14">
        <v>0.0</v>
      </c>
      <c r="AB543" s="14">
        <v>0.0</v>
      </c>
      <c r="AC543" s="14">
        <v>0.0</v>
      </c>
      <c r="AD543" s="2">
        <v>0.0</v>
      </c>
      <c r="AE543" s="2">
        <v>0.0</v>
      </c>
      <c r="AF543" s="2" t="s">
        <v>1186</v>
      </c>
      <c r="AG543" s="2" t="s">
        <v>1186</v>
      </c>
      <c r="AH543" s="2">
        <v>0.0</v>
      </c>
    </row>
    <row r="544" ht="15.75" customHeight="1">
      <c r="B544" s="12"/>
      <c r="C544" s="13"/>
      <c r="D544" s="14"/>
      <c r="E544" s="15"/>
      <c r="G544" s="15"/>
      <c r="O544" s="15"/>
      <c r="Q544" s="17"/>
      <c r="S544" s="17"/>
      <c r="T544" s="17"/>
      <c r="U544" s="14"/>
      <c r="V544" s="14" t="s">
        <v>1186</v>
      </c>
      <c r="W544" s="2" t="s">
        <v>1186</v>
      </c>
      <c r="X544" s="2" t="s">
        <v>1186</v>
      </c>
      <c r="Y544" s="13"/>
      <c r="Z544" s="14">
        <v>0.0</v>
      </c>
      <c r="AA544" s="14">
        <v>0.0</v>
      </c>
      <c r="AB544" s="14">
        <v>0.0</v>
      </c>
      <c r="AC544" s="14">
        <v>0.0</v>
      </c>
      <c r="AD544" s="2">
        <v>0.0</v>
      </c>
      <c r="AE544" s="2">
        <v>0.0</v>
      </c>
      <c r="AF544" s="2" t="s">
        <v>1186</v>
      </c>
      <c r="AG544" s="2" t="s">
        <v>1186</v>
      </c>
      <c r="AH544" s="2">
        <v>0.0</v>
      </c>
    </row>
    <row r="545" ht="15.75" customHeight="1">
      <c r="B545" s="12"/>
      <c r="C545" s="13"/>
      <c r="D545" s="14"/>
      <c r="E545" s="15"/>
      <c r="G545" s="15"/>
      <c r="O545" s="15"/>
      <c r="Q545" s="17"/>
      <c r="S545" s="17"/>
      <c r="T545" s="17"/>
      <c r="U545" s="14"/>
      <c r="V545" s="14" t="s">
        <v>1186</v>
      </c>
      <c r="W545" s="2" t="s">
        <v>1186</v>
      </c>
      <c r="X545" s="2" t="s">
        <v>1186</v>
      </c>
      <c r="Y545" s="13"/>
      <c r="Z545" s="14">
        <v>0.0</v>
      </c>
      <c r="AA545" s="14">
        <v>0.0</v>
      </c>
      <c r="AB545" s="14">
        <v>0.0</v>
      </c>
      <c r="AC545" s="14">
        <v>0.0</v>
      </c>
      <c r="AD545" s="2">
        <v>0.0</v>
      </c>
      <c r="AE545" s="2">
        <v>0.0</v>
      </c>
      <c r="AF545" s="2" t="s">
        <v>1186</v>
      </c>
      <c r="AG545" s="2" t="s">
        <v>1186</v>
      </c>
      <c r="AH545" s="2">
        <v>0.0</v>
      </c>
    </row>
    <row r="546" ht="15.75" customHeight="1">
      <c r="B546" s="12"/>
      <c r="C546" s="13"/>
      <c r="D546" s="14"/>
      <c r="E546" s="15"/>
      <c r="G546" s="15"/>
      <c r="O546" s="15"/>
      <c r="Q546" s="17"/>
      <c r="S546" s="17"/>
      <c r="T546" s="17"/>
      <c r="U546" s="14"/>
      <c r="V546" s="14" t="s">
        <v>1186</v>
      </c>
      <c r="W546" s="2" t="s">
        <v>1186</v>
      </c>
      <c r="X546" s="2" t="s">
        <v>1186</v>
      </c>
      <c r="Y546" s="13"/>
      <c r="Z546" s="14">
        <v>0.0</v>
      </c>
      <c r="AA546" s="14">
        <v>0.0</v>
      </c>
      <c r="AB546" s="14">
        <v>0.0</v>
      </c>
      <c r="AC546" s="14">
        <v>0.0</v>
      </c>
      <c r="AD546" s="2">
        <v>0.0</v>
      </c>
      <c r="AE546" s="2">
        <v>0.0</v>
      </c>
      <c r="AF546" s="2" t="s">
        <v>1186</v>
      </c>
      <c r="AG546" s="2" t="s">
        <v>1186</v>
      </c>
      <c r="AH546" s="2">
        <v>0.0</v>
      </c>
    </row>
    <row r="547" ht="15.75" customHeight="1">
      <c r="B547" s="12"/>
      <c r="C547" s="13"/>
      <c r="D547" s="14"/>
      <c r="E547" s="15"/>
      <c r="G547" s="15"/>
      <c r="O547" s="15"/>
      <c r="Q547" s="17"/>
      <c r="S547" s="17"/>
      <c r="T547" s="17"/>
      <c r="U547" s="14"/>
      <c r="V547" s="14" t="s">
        <v>1186</v>
      </c>
      <c r="W547" s="2" t="s">
        <v>1186</v>
      </c>
      <c r="X547" s="2" t="s">
        <v>1186</v>
      </c>
      <c r="Y547" s="13"/>
      <c r="Z547" s="14">
        <v>0.0</v>
      </c>
      <c r="AA547" s="14">
        <v>0.0</v>
      </c>
      <c r="AB547" s="14">
        <v>0.0</v>
      </c>
      <c r="AC547" s="14">
        <v>0.0</v>
      </c>
      <c r="AD547" s="2">
        <v>0.0</v>
      </c>
      <c r="AE547" s="2">
        <v>0.0</v>
      </c>
      <c r="AF547" s="2" t="s">
        <v>1186</v>
      </c>
      <c r="AG547" s="2" t="s">
        <v>1186</v>
      </c>
      <c r="AH547" s="2">
        <v>0.0</v>
      </c>
    </row>
    <row r="548" ht="15.75" customHeight="1">
      <c r="B548" s="12"/>
      <c r="C548" s="13"/>
      <c r="D548" s="14"/>
      <c r="E548" s="15"/>
      <c r="G548" s="15"/>
      <c r="O548" s="15"/>
      <c r="Q548" s="17"/>
      <c r="S548" s="17"/>
      <c r="T548" s="17"/>
      <c r="U548" s="14"/>
      <c r="V548" s="14" t="s">
        <v>1186</v>
      </c>
      <c r="W548" s="2" t="s">
        <v>1186</v>
      </c>
      <c r="X548" s="2" t="s">
        <v>1186</v>
      </c>
      <c r="Y548" s="13"/>
      <c r="Z548" s="14">
        <v>0.0</v>
      </c>
      <c r="AA548" s="14">
        <v>0.0</v>
      </c>
      <c r="AB548" s="14">
        <v>0.0</v>
      </c>
      <c r="AC548" s="14">
        <v>0.0</v>
      </c>
      <c r="AD548" s="2">
        <v>0.0</v>
      </c>
      <c r="AE548" s="2">
        <v>0.0</v>
      </c>
      <c r="AF548" s="2" t="s">
        <v>1186</v>
      </c>
      <c r="AG548" s="2" t="s">
        <v>1186</v>
      </c>
      <c r="AH548" s="2">
        <v>0.0</v>
      </c>
    </row>
    <row r="549" ht="15.75" customHeight="1">
      <c r="B549" s="12"/>
      <c r="C549" s="13"/>
      <c r="D549" s="14"/>
      <c r="E549" s="15"/>
      <c r="G549" s="15"/>
      <c r="O549" s="15"/>
      <c r="Q549" s="17"/>
      <c r="S549" s="17"/>
      <c r="T549" s="17"/>
      <c r="U549" s="14"/>
      <c r="V549" s="14" t="s">
        <v>1186</v>
      </c>
      <c r="W549" s="2" t="s">
        <v>1186</v>
      </c>
      <c r="X549" s="2" t="s">
        <v>1186</v>
      </c>
      <c r="Y549" s="13"/>
      <c r="Z549" s="14">
        <v>0.0</v>
      </c>
      <c r="AA549" s="14">
        <v>0.0</v>
      </c>
      <c r="AB549" s="14">
        <v>0.0</v>
      </c>
      <c r="AC549" s="14">
        <v>0.0</v>
      </c>
      <c r="AD549" s="2">
        <v>0.0</v>
      </c>
      <c r="AE549" s="2">
        <v>0.0</v>
      </c>
      <c r="AF549" s="2" t="s">
        <v>1186</v>
      </c>
      <c r="AG549" s="2" t="s">
        <v>1186</v>
      </c>
      <c r="AH549" s="2">
        <v>0.0</v>
      </c>
    </row>
    <row r="550" ht="15.75" customHeight="1">
      <c r="B550" s="12"/>
      <c r="C550" s="13"/>
      <c r="D550" s="14"/>
      <c r="E550" s="15"/>
      <c r="G550" s="15"/>
      <c r="O550" s="15"/>
      <c r="Q550" s="17"/>
      <c r="S550" s="17"/>
      <c r="T550" s="17"/>
      <c r="U550" s="14"/>
      <c r="V550" s="14" t="s">
        <v>1186</v>
      </c>
      <c r="W550" s="2" t="s">
        <v>1186</v>
      </c>
      <c r="X550" s="2" t="s">
        <v>1186</v>
      </c>
      <c r="Y550" s="13"/>
      <c r="Z550" s="14">
        <v>0.0</v>
      </c>
      <c r="AA550" s="14">
        <v>0.0</v>
      </c>
      <c r="AB550" s="14">
        <v>0.0</v>
      </c>
      <c r="AC550" s="14">
        <v>0.0</v>
      </c>
      <c r="AD550" s="2">
        <v>0.0</v>
      </c>
      <c r="AE550" s="2">
        <v>0.0</v>
      </c>
      <c r="AF550" s="2" t="s">
        <v>1186</v>
      </c>
      <c r="AG550" s="2" t="s">
        <v>1186</v>
      </c>
      <c r="AH550" s="2">
        <v>0.0</v>
      </c>
    </row>
    <row r="551" ht="15.75" customHeight="1">
      <c r="B551" s="12"/>
      <c r="C551" s="13"/>
      <c r="D551" s="14"/>
      <c r="E551" s="15"/>
      <c r="G551" s="15"/>
      <c r="O551" s="15"/>
      <c r="Q551" s="17"/>
      <c r="S551" s="17"/>
      <c r="T551" s="17"/>
      <c r="U551" s="14"/>
      <c r="V551" s="14" t="s">
        <v>1186</v>
      </c>
      <c r="W551" s="2" t="s">
        <v>1186</v>
      </c>
      <c r="X551" s="2" t="s">
        <v>1186</v>
      </c>
      <c r="Y551" s="13"/>
      <c r="Z551" s="14">
        <v>0.0</v>
      </c>
      <c r="AA551" s="14">
        <v>0.0</v>
      </c>
      <c r="AB551" s="14">
        <v>0.0</v>
      </c>
      <c r="AC551" s="14">
        <v>0.0</v>
      </c>
      <c r="AD551" s="2">
        <v>0.0</v>
      </c>
      <c r="AE551" s="2">
        <v>0.0</v>
      </c>
      <c r="AF551" s="2" t="s">
        <v>1186</v>
      </c>
      <c r="AG551" s="2" t="s">
        <v>1186</v>
      </c>
      <c r="AH551" s="2">
        <v>0.0</v>
      </c>
    </row>
    <row r="552" ht="15.75" customHeight="1">
      <c r="B552" s="12"/>
      <c r="C552" s="13"/>
      <c r="D552" s="14"/>
      <c r="E552" s="15"/>
      <c r="G552" s="15"/>
      <c r="O552" s="15"/>
      <c r="Q552" s="17"/>
      <c r="S552" s="17"/>
      <c r="T552" s="17"/>
      <c r="U552" s="14"/>
      <c r="V552" s="14" t="s">
        <v>1186</v>
      </c>
      <c r="W552" s="2" t="s">
        <v>1186</v>
      </c>
      <c r="X552" s="2" t="s">
        <v>1186</v>
      </c>
      <c r="Y552" s="13"/>
      <c r="Z552" s="14">
        <v>0.0</v>
      </c>
      <c r="AA552" s="14">
        <v>0.0</v>
      </c>
      <c r="AB552" s="14">
        <v>0.0</v>
      </c>
      <c r="AC552" s="14">
        <v>0.0</v>
      </c>
      <c r="AD552" s="2">
        <v>0.0</v>
      </c>
      <c r="AE552" s="2">
        <v>0.0</v>
      </c>
      <c r="AF552" s="2" t="s">
        <v>1186</v>
      </c>
      <c r="AG552" s="2" t="s">
        <v>1186</v>
      </c>
      <c r="AH552" s="2">
        <v>0.0</v>
      </c>
    </row>
    <row r="553" ht="15.75" customHeight="1">
      <c r="B553" s="12"/>
      <c r="C553" s="13"/>
      <c r="D553" s="14"/>
      <c r="E553" s="15"/>
      <c r="G553" s="15"/>
      <c r="O553" s="15"/>
      <c r="Q553" s="17"/>
      <c r="S553" s="17"/>
      <c r="T553" s="17"/>
      <c r="U553" s="14"/>
      <c r="V553" s="14" t="s">
        <v>1186</v>
      </c>
      <c r="W553" s="2" t="s">
        <v>1186</v>
      </c>
      <c r="X553" s="2" t="s">
        <v>1186</v>
      </c>
      <c r="Y553" s="13"/>
      <c r="Z553" s="14">
        <v>0.0</v>
      </c>
      <c r="AA553" s="14">
        <v>0.0</v>
      </c>
      <c r="AB553" s="14">
        <v>0.0</v>
      </c>
      <c r="AC553" s="14">
        <v>0.0</v>
      </c>
      <c r="AD553" s="2">
        <v>0.0</v>
      </c>
      <c r="AE553" s="2">
        <v>0.0</v>
      </c>
      <c r="AF553" s="2" t="s">
        <v>1186</v>
      </c>
      <c r="AG553" s="2" t="s">
        <v>1186</v>
      </c>
      <c r="AH553" s="2">
        <v>0.0</v>
      </c>
    </row>
    <row r="554" ht="15.75" customHeight="1">
      <c r="B554" s="12"/>
      <c r="C554" s="13"/>
      <c r="D554" s="14"/>
      <c r="E554" s="15"/>
      <c r="G554" s="15"/>
      <c r="O554" s="15"/>
      <c r="Q554" s="17"/>
      <c r="S554" s="17"/>
      <c r="T554" s="17"/>
      <c r="U554" s="14"/>
      <c r="V554" s="14" t="s">
        <v>1186</v>
      </c>
      <c r="W554" s="2" t="s">
        <v>1186</v>
      </c>
      <c r="X554" s="2" t="s">
        <v>1186</v>
      </c>
      <c r="Y554" s="13"/>
      <c r="Z554" s="14">
        <v>0.0</v>
      </c>
      <c r="AA554" s="14">
        <v>0.0</v>
      </c>
      <c r="AB554" s="14">
        <v>0.0</v>
      </c>
      <c r="AC554" s="14">
        <v>0.0</v>
      </c>
      <c r="AD554" s="2">
        <v>0.0</v>
      </c>
      <c r="AE554" s="2">
        <v>0.0</v>
      </c>
      <c r="AF554" s="2" t="s">
        <v>1186</v>
      </c>
      <c r="AG554" s="2" t="s">
        <v>1186</v>
      </c>
      <c r="AH554" s="2">
        <v>0.0</v>
      </c>
    </row>
    <row r="555" ht="15.75" customHeight="1">
      <c r="B555" s="12"/>
      <c r="C555" s="13"/>
      <c r="D555" s="14"/>
      <c r="E555" s="15"/>
      <c r="G555" s="15"/>
      <c r="O555" s="15"/>
      <c r="Q555" s="17"/>
      <c r="S555" s="17"/>
      <c r="T555" s="17"/>
      <c r="U555" s="14"/>
      <c r="V555" s="14" t="s">
        <v>1186</v>
      </c>
      <c r="W555" s="2" t="s">
        <v>1186</v>
      </c>
      <c r="X555" s="2" t="s">
        <v>1186</v>
      </c>
      <c r="Y555" s="13"/>
      <c r="Z555" s="14">
        <v>0.0</v>
      </c>
      <c r="AA555" s="14">
        <v>0.0</v>
      </c>
      <c r="AB555" s="14">
        <v>0.0</v>
      </c>
      <c r="AC555" s="14">
        <v>0.0</v>
      </c>
      <c r="AD555" s="2">
        <v>0.0</v>
      </c>
      <c r="AE555" s="2">
        <v>0.0</v>
      </c>
      <c r="AF555" s="2" t="s">
        <v>1186</v>
      </c>
      <c r="AG555" s="2" t="s">
        <v>1186</v>
      </c>
      <c r="AH555" s="2">
        <v>0.0</v>
      </c>
    </row>
    <row r="556" ht="15.75" customHeight="1">
      <c r="B556" s="12"/>
      <c r="C556" s="13"/>
      <c r="D556" s="14"/>
      <c r="E556" s="15"/>
      <c r="G556" s="15"/>
      <c r="O556" s="15"/>
      <c r="Q556" s="17"/>
      <c r="S556" s="17"/>
      <c r="T556" s="17"/>
      <c r="U556" s="14"/>
      <c r="V556" s="14" t="s">
        <v>1186</v>
      </c>
      <c r="W556" s="2" t="s">
        <v>1186</v>
      </c>
      <c r="X556" s="2" t="s">
        <v>1186</v>
      </c>
      <c r="Y556" s="13"/>
      <c r="Z556" s="14">
        <v>0.0</v>
      </c>
      <c r="AA556" s="14">
        <v>0.0</v>
      </c>
      <c r="AB556" s="14">
        <v>0.0</v>
      </c>
      <c r="AC556" s="14">
        <v>0.0</v>
      </c>
      <c r="AD556" s="2">
        <v>0.0</v>
      </c>
      <c r="AE556" s="2">
        <v>0.0</v>
      </c>
      <c r="AF556" s="2" t="s">
        <v>1186</v>
      </c>
      <c r="AG556" s="2" t="s">
        <v>1186</v>
      </c>
      <c r="AH556" s="2">
        <v>0.0</v>
      </c>
    </row>
    <row r="557" ht="15.75" customHeight="1">
      <c r="B557" s="12"/>
      <c r="C557" s="13"/>
      <c r="D557" s="14"/>
      <c r="E557" s="15"/>
      <c r="G557" s="15"/>
      <c r="O557" s="15"/>
      <c r="Q557" s="17"/>
      <c r="S557" s="17"/>
      <c r="T557" s="17"/>
      <c r="U557" s="14"/>
      <c r="V557" s="14" t="s">
        <v>1186</v>
      </c>
      <c r="W557" s="2" t="s">
        <v>1186</v>
      </c>
      <c r="X557" s="2" t="s">
        <v>1186</v>
      </c>
      <c r="Y557" s="13"/>
      <c r="Z557" s="14">
        <v>0.0</v>
      </c>
      <c r="AA557" s="14">
        <v>0.0</v>
      </c>
      <c r="AB557" s="14">
        <v>0.0</v>
      </c>
      <c r="AC557" s="14">
        <v>0.0</v>
      </c>
      <c r="AD557" s="2">
        <v>0.0</v>
      </c>
      <c r="AE557" s="2">
        <v>0.0</v>
      </c>
      <c r="AF557" s="2" t="s">
        <v>1186</v>
      </c>
      <c r="AG557" s="2" t="s">
        <v>1186</v>
      </c>
      <c r="AH557" s="2">
        <v>0.0</v>
      </c>
    </row>
    <row r="558" ht="15.75" customHeight="1">
      <c r="B558" s="12"/>
      <c r="C558" s="13"/>
      <c r="D558" s="14"/>
      <c r="E558" s="15"/>
      <c r="G558" s="15"/>
      <c r="O558" s="15"/>
      <c r="Q558" s="17"/>
      <c r="S558" s="17"/>
      <c r="T558" s="17"/>
      <c r="U558" s="14"/>
      <c r="V558" s="14" t="s">
        <v>1186</v>
      </c>
      <c r="W558" s="2" t="s">
        <v>1186</v>
      </c>
      <c r="X558" s="2" t="s">
        <v>1186</v>
      </c>
      <c r="Y558" s="13"/>
      <c r="Z558" s="14">
        <v>0.0</v>
      </c>
      <c r="AA558" s="14">
        <v>0.0</v>
      </c>
      <c r="AB558" s="14">
        <v>0.0</v>
      </c>
      <c r="AC558" s="14">
        <v>0.0</v>
      </c>
      <c r="AD558" s="2">
        <v>0.0</v>
      </c>
      <c r="AE558" s="2">
        <v>0.0</v>
      </c>
      <c r="AF558" s="2" t="s">
        <v>1186</v>
      </c>
      <c r="AG558" s="2" t="s">
        <v>1186</v>
      </c>
      <c r="AH558" s="2">
        <v>0.0</v>
      </c>
    </row>
    <row r="559" ht="15.75" customHeight="1">
      <c r="B559" s="12"/>
      <c r="C559" s="13"/>
      <c r="D559" s="14"/>
      <c r="E559" s="15"/>
      <c r="G559" s="15"/>
      <c r="O559" s="15"/>
      <c r="Q559" s="17"/>
      <c r="S559" s="17"/>
      <c r="T559" s="17"/>
      <c r="U559" s="14"/>
      <c r="V559" s="14" t="s">
        <v>1186</v>
      </c>
      <c r="W559" s="2" t="s">
        <v>1186</v>
      </c>
      <c r="X559" s="2" t="s">
        <v>1186</v>
      </c>
      <c r="Y559" s="13"/>
      <c r="Z559" s="14">
        <v>0.0</v>
      </c>
      <c r="AA559" s="14">
        <v>0.0</v>
      </c>
      <c r="AB559" s="14">
        <v>0.0</v>
      </c>
      <c r="AC559" s="14">
        <v>0.0</v>
      </c>
      <c r="AD559" s="2">
        <v>0.0</v>
      </c>
      <c r="AE559" s="2">
        <v>0.0</v>
      </c>
      <c r="AF559" s="2" t="s">
        <v>1186</v>
      </c>
      <c r="AG559" s="2" t="s">
        <v>1186</v>
      </c>
      <c r="AH559" s="2">
        <v>0.0</v>
      </c>
    </row>
    <row r="560" ht="15.75" customHeight="1">
      <c r="B560" s="12"/>
      <c r="C560" s="13"/>
      <c r="D560" s="14"/>
      <c r="E560" s="15"/>
      <c r="G560" s="15"/>
      <c r="O560" s="15"/>
      <c r="Q560" s="17"/>
      <c r="S560" s="17"/>
      <c r="T560" s="17"/>
      <c r="U560" s="14"/>
      <c r="V560" s="14" t="s">
        <v>1186</v>
      </c>
      <c r="W560" s="2" t="s">
        <v>1186</v>
      </c>
      <c r="X560" s="2" t="s">
        <v>1186</v>
      </c>
      <c r="Y560" s="13"/>
      <c r="Z560" s="14">
        <v>0.0</v>
      </c>
      <c r="AA560" s="14">
        <v>0.0</v>
      </c>
      <c r="AB560" s="14">
        <v>0.0</v>
      </c>
      <c r="AC560" s="14">
        <v>0.0</v>
      </c>
      <c r="AD560" s="2">
        <v>0.0</v>
      </c>
      <c r="AE560" s="2">
        <v>0.0</v>
      </c>
      <c r="AF560" s="2" t="s">
        <v>1186</v>
      </c>
      <c r="AG560" s="2" t="s">
        <v>1186</v>
      </c>
      <c r="AH560" s="2">
        <v>0.0</v>
      </c>
    </row>
    <row r="561" ht="15.75" customHeight="1">
      <c r="B561" s="12"/>
      <c r="C561" s="13"/>
      <c r="D561" s="14"/>
      <c r="E561" s="15"/>
      <c r="G561" s="15"/>
      <c r="O561" s="15"/>
      <c r="Q561" s="17"/>
      <c r="S561" s="17"/>
      <c r="T561" s="17"/>
      <c r="U561" s="14"/>
      <c r="V561" s="14" t="s">
        <v>1186</v>
      </c>
      <c r="W561" s="2" t="s">
        <v>1186</v>
      </c>
      <c r="X561" s="2" t="s">
        <v>1186</v>
      </c>
      <c r="Y561" s="13"/>
      <c r="Z561" s="14">
        <v>0.0</v>
      </c>
      <c r="AA561" s="14">
        <v>0.0</v>
      </c>
      <c r="AB561" s="14">
        <v>0.0</v>
      </c>
      <c r="AC561" s="14">
        <v>0.0</v>
      </c>
      <c r="AD561" s="2">
        <v>0.0</v>
      </c>
      <c r="AE561" s="2">
        <v>0.0</v>
      </c>
      <c r="AF561" s="2" t="s">
        <v>1186</v>
      </c>
      <c r="AG561" s="2" t="s">
        <v>1186</v>
      </c>
      <c r="AH561" s="2">
        <v>0.0</v>
      </c>
    </row>
    <row r="562" ht="15.75" customHeight="1">
      <c r="B562" s="12"/>
      <c r="C562" s="13"/>
      <c r="D562" s="14"/>
      <c r="E562" s="15"/>
      <c r="G562" s="15"/>
      <c r="O562" s="15"/>
      <c r="Q562" s="17"/>
      <c r="S562" s="17"/>
      <c r="T562" s="17"/>
      <c r="U562" s="14"/>
      <c r="V562" s="14" t="s">
        <v>1186</v>
      </c>
      <c r="W562" s="2" t="s">
        <v>1186</v>
      </c>
      <c r="X562" s="2" t="s">
        <v>1186</v>
      </c>
      <c r="Y562" s="13"/>
      <c r="Z562" s="14">
        <v>0.0</v>
      </c>
      <c r="AA562" s="14">
        <v>0.0</v>
      </c>
      <c r="AB562" s="14">
        <v>0.0</v>
      </c>
      <c r="AC562" s="14">
        <v>0.0</v>
      </c>
      <c r="AD562" s="2">
        <v>0.0</v>
      </c>
      <c r="AE562" s="2">
        <v>0.0</v>
      </c>
      <c r="AF562" s="2" t="s">
        <v>1186</v>
      </c>
      <c r="AG562" s="2" t="s">
        <v>1186</v>
      </c>
      <c r="AH562" s="2">
        <v>0.0</v>
      </c>
    </row>
    <row r="563" ht="15.75" customHeight="1">
      <c r="B563" s="12"/>
      <c r="C563" s="13"/>
      <c r="D563" s="14"/>
      <c r="E563" s="15"/>
      <c r="G563" s="15"/>
      <c r="O563" s="15"/>
      <c r="Q563" s="17"/>
      <c r="S563" s="17"/>
      <c r="T563" s="17"/>
      <c r="U563" s="14"/>
      <c r="V563" s="14" t="s">
        <v>1186</v>
      </c>
      <c r="W563" s="2" t="s">
        <v>1186</v>
      </c>
      <c r="X563" s="2" t="s">
        <v>1186</v>
      </c>
      <c r="Y563" s="13"/>
      <c r="Z563" s="14">
        <v>0.0</v>
      </c>
      <c r="AA563" s="14">
        <v>0.0</v>
      </c>
      <c r="AB563" s="14">
        <v>0.0</v>
      </c>
      <c r="AC563" s="14">
        <v>0.0</v>
      </c>
      <c r="AD563" s="2">
        <v>0.0</v>
      </c>
      <c r="AE563" s="2">
        <v>0.0</v>
      </c>
      <c r="AF563" s="2" t="s">
        <v>1186</v>
      </c>
      <c r="AG563" s="2" t="s">
        <v>1186</v>
      </c>
      <c r="AH563" s="2">
        <v>0.0</v>
      </c>
    </row>
    <row r="564" ht="15.75" customHeight="1">
      <c r="B564" s="12"/>
      <c r="C564" s="13"/>
      <c r="D564" s="14"/>
      <c r="E564" s="15"/>
      <c r="G564" s="15"/>
      <c r="O564" s="15"/>
      <c r="Q564" s="17"/>
      <c r="S564" s="17"/>
      <c r="T564" s="17"/>
      <c r="U564" s="14"/>
      <c r="V564" s="14" t="s">
        <v>1186</v>
      </c>
      <c r="W564" s="2" t="s">
        <v>1186</v>
      </c>
      <c r="X564" s="2" t="s">
        <v>1186</v>
      </c>
      <c r="Y564" s="13"/>
      <c r="Z564" s="14">
        <v>0.0</v>
      </c>
      <c r="AA564" s="14">
        <v>0.0</v>
      </c>
      <c r="AB564" s="14">
        <v>0.0</v>
      </c>
      <c r="AC564" s="14">
        <v>0.0</v>
      </c>
      <c r="AD564" s="2">
        <v>0.0</v>
      </c>
      <c r="AE564" s="2">
        <v>0.0</v>
      </c>
      <c r="AF564" s="2" t="s">
        <v>1186</v>
      </c>
      <c r="AG564" s="2" t="s">
        <v>1186</v>
      </c>
      <c r="AH564" s="2">
        <v>0.0</v>
      </c>
    </row>
    <row r="565" ht="15.75" customHeight="1">
      <c r="B565" s="12"/>
      <c r="C565" s="13"/>
      <c r="D565" s="14"/>
      <c r="E565" s="15"/>
      <c r="G565" s="15"/>
      <c r="O565" s="15"/>
      <c r="Q565" s="17"/>
      <c r="S565" s="17"/>
      <c r="T565" s="17"/>
      <c r="U565" s="14"/>
      <c r="V565" s="14" t="s">
        <v>1186</v>
      </c>
      <c r="W565" s="2" t="s">
        <v>1186</v>
      </c>
      <c r="X565" s="2" t="s">
        <v>1186</v>
      </c>
      <c r="Y565" s="13"/>
      <c r="Z565" s="14">
        <v>0.0</v>
      </c>
      <c r="AA565" s="14">
        <v>0.0</v>
      </c>
      <c r="AB565" s="14">
        <v>0.0</v>
      </c>
      <c r="AC565" s="14">
        <v>0.0</v>
      </c>
      <c r="AD565" s="2">
        <v>0.0</v>
      </c>
      <c r="AE565" s="2">
        <v>0.0</v>
      </c>
      <c r="AF565" s="2" t="s">
        <v>1186</v>
      </c>
      <c r="AG565" s="2" t="s">
        <v>1186</v>
      </c>
      <c r="AH565" s="2">
        <v>0.0</v>
      </c>
    </row>
    <row r="566" ht="15.75" customHeight="1">
      <c r="B566" s="12"/>
      <c r="C566" s="13"/>
      <c r="D566" s="14"/>
      <c r="E566" s="15"/>
      <c r="G566" s="15"/>
      <c r="O566" s="15"/>
      <c r="Q566" s="17"/>
      <c r="S566" s="17"/>
      <c r="T566" s="17"/>
      <c r="U566" s="14"/>
      <c r="V566" s="14" t="s">
        <v>1186</v>
      </c>
      <c r="W566" s="2" t="s">
        <v>1186</v>
      </c>
      <c r="X566" s="2" t="s">
        <v>1186</v>
      </c>
      <c r="Y566" s="13"/>
      <c r="Z566" s="14">
        <v>0.0</v>
      </c>
      <c r="AA566" s="14">
        <v>0.0</v>
      </c>
      <c r="AB566" s="14">
        <v>0.0</v>
      </c>
      <c r="AC566" s="14">
        <v>0.0</v>
      </c>
      <c r="AD566" s="2">
        <v>0.0</v>
      </c>
      <c r="AE566" s="2">
        <v>0.0</v>
      </c>
      <c r="AF566" s="2" t="s">
        <v>1186</v>
      </c>
      <c r="AG566" s="2" t="s">
        <v>1186</v>
      </c>
      <c r="AH566" s="2">
        <v>0.0</v>
      </c>
    </row>
    <row r="567" ht="15.75" customHeight="1">
      <c r="B567" s="12"/>
      <c r="C567" s="13"/>
      <c r="D567" s="14"/>
      <c r="E567" s="15"/>
      <c r="G567" s="15"/>
      <c r="O567" s="15"/>
      <c r="Q567" s="17"/>
      <c r="S567" s="17"/>
      <c r="T567" s="17"/>
      <c r="U567" s="14"/>
      <c r="V567" s="14" t="s">
        <v>1186</v>
      </c>
      <c r="W567" s="2" t="s">
        <v>1186</v>
      </c>
      <c r="X567" s="2" t="s">
        <v>1186</v>
      </c>
      <c r="Y567" s="13"/>
      <c r="Z567" s="14">
        <v>0.0</v>
      </c>
      <c r="AA567" s="14">
        <v>0.0</v>
      </c>
      <c r="AB567" s="14">
        <v>0.0</v>
      </c>
      <c r="AC567" s="14">
        <v>0.0</v>
      </c>
      <c r="AD567" s="2">
        <v>0.0</v>
      </c>
      <c r="AE567" s="2">
        <v>0.0</v>
      </c>
      <c r="AF567" s="2" t="s">
        <v>1186</v>
      </c>
      <c r="AG567" s="2" t="s">
        <v>1186</v>
      </c>
      <c r="AH567" s="2">
        <v>0.0</v>
      </c>
    </row>
    <row r="568" ht="15.75" customHeight="1">
      <c r="B568" s="12"/>
      <c r="C568" s="13"/>
      <c r="D568" s="14"/>
      <c r="E568" s="15"/>
      <c r="G568" s="15"/>
      <c r="O568" s="15"/>
      <c r="Q568" s="17"/>
      <c r="S568" s="17"/>
      <c r="T568" s="17"/>
      <c r="U568" s="14"/>
      <c r="V568" s="14" t="s">
        <v>1186</v>
      </c>
      <c r="W568" s="2" t="s">
        <v>1186</v>
      </c>
      <c r="X568" s="2" t="s">
        <v>1186</v>
      </c>
      <c r="Y568" s="13"/>
      <c r="Z568" s="14">
        <v>0.0</v>
      </c>
      <c r="AA568" s="14">
        <v>0.0</v>
      </c>
      <c r="AB568" s="14">
        <v>0.0</v>
      </c>
      <c r="AC568" s="14">
        <v>0.0</v>
      </c>
      <c r="AD568" s="2">
        <v>0.0</v>
      </c>
      <c r="AE568" s="2">
        <v>0.0</v>
      </c>
      <c r="AF568" s="2" t="s">
        <v>1186</v>
      </c>
      <c r="AG568" s="2" t="s">
        <v>1186</v>
      </c>
      <c r="AH568" s="2">
        <v>0.0</v>
      </c>
    </row>
    <row r="569" ht="15.75" customHeight="1">
      <c r="B569" s="12"/>
      <c r="C569" s="13"/>
      <c r="D569" s="14"/>
      <c r="E569" s="15"/>
      <c r="G569" s="15"/>
      <c r="O569" s="15"/>
      <c r="Q569" s="17"/>
      <c r="S569" s="17"/>
      <c r="T569" s="17"/>
      <c r="U569" s="14"/>
      <c r="V569" s="14" t="s">
        <v>1186</v>
      </c>
      <c r="W569" s="2" t="s">
        <v>1186</v>
      </c>
      <c r="X569" s="2" t="s">
        <v>1186</v>
      </c>
      <c r="Y569" s="13"/>
      <c r="Z569" s="14">
        <v>0.0</v>
      </c>
      <c r="AA569" s="14">
        <v>0.0</v>
      </c>
      <c r="AB569" s="14">
        <v>0.0</v>
      </c>
      <c r="AC569" s="14">
        <v>0.0</v>
      </c>
      <c r="AD569" s="2">
        <v>0.0</v>
      </c>
      <c r="AE569" s="2">
        <v>0.0</v>
      </c>
      <c r="AF569" s="2" t="s">
        <v>1186</v>
      </c>
      <c r="AG569" s="2" t="s">
        <v>1186</v>
      </c>
      <c r="AH569" s="2">
        <v>0.0</v>
      </c>
    </row>
    <row r="570" ht="15.75" customHeight="1">
      <c r="B570" s="12"/>
      <c r="C570" s="13"/>
      <c r="D570" s="14"/>
      <c r="E570" s="15"/>
      <c r="G570" s="15"/>
      <c r="O570" s="15"/>
      <c r="Q570" s="17"/>
      <c r="S570" s="17"/>
      <c r="T570" s="17"/>
      <c r="U570" s="14"/>
      <c r="V570" s="14" t="s">
        <v>1186</v>
      </c>
      <c r="W570" s="2" t="s">
        <v>1186</v>
      </c>
      <c r="X570" s="2" t="s">
        <v>1186</v>
      </c>
      <c r="Y570" s="13"/>
      <c r="Z570" s="14">
        <v>0.0</v>
      </c>
      <c r="AA570" s="14">
        <v>0.0</v>
      </c>
      <c r="AB570" s="14">
        <v>0.0</v>
      </c>
      <c r="AC570" s="14">
        <v>0.0</v>
      </c>
      <c r="AD570" s="2">
        <v>0.0</v>
      </c>
      <c r="AE570" s="2">
        <v>0.0</v>
      </c>
      <c r="AF570" s="2" t="s">
        <v>1186</v>
      </c>
      <c r="AG570" s="2" t="s">
        <v>1186</v>
      </c>
      <c r="AH570" s="2">
        <v>0.0</v>
      </c>
    </row>
    <row r="571" ht="15.75" customHeight="1">
      <c r="B571" s="12"/>
      <c r="C571" s="13"/>
      <c r="D571" s="14"/>
      <c r="E571" s="15"/>
      <c r="G571" s="15"/>
      <c r="O571" s="15"/>
      <c r="Q571" s="17"/>
      <c r="S571" s="17"/>
      <c r="T571" s="17"/>
      <c r="U571" s="14"/>
      <c r="V571" s="14" t="s">
        <v>1186</v>
      </c>
      <c r="W571" s="2" t="s">
        <v>1186</v>
      </c>
      <c r="X571" s="2" t="s">
        <v>1186</v>
      </c>
      <c r="Y571" s="13"/>
      <c r="Z571" s="14">
        <v>0.0</v>
      </c>
      <c r="AA571" s="14">
        <v>0.0</v>
      </c>
      <c r="AB571" s="14">
        <v>0.0</v>
      </c>
      <c r="AC571" s="14">
        <v>0.0</v>
      </c>
      <c r="AD571" s="2">
        <v>0.0</v>
      </c>
      <c r="AE571" s="2">
        <v>0.0</v>
      </c>
      <c r="AF571" s="2" t="s">
        <v>1186</v>
      </c>
      <c r="AG571" s="2" t="s">
        <v>1186</v>
      </c>
      <c r="AH571" s="2">
        <v>0.0</v>
      </c>
    </row>
    <row r="572" ht="15.75" customHeight="1">
      <c r="B572" s="12"/>
      <c r="C572" s="13"/>
      <c r="D572" s="14"/>
      <c r="E572" s="15"/>
      <c r="G572" s="15"/>
      <c r="O572" s="15"/>
      <c r="Q572" s="17"/>
      <c r="S572" s="17"/>
      <c r="T572" s="17"/>
      <c r="U572" s="14"/>
      <c r="V572" s="14" t="s">
        <v>1186</v>
      </c>
      <c r="W572" s="2" t="s">
        <v>1186</v>
      </c>
      <c r="X572" s="2" t="s">
        <v>1186</v>
      </c>
      <c r="Y572" s="13"/>
      <c r="Z572" s="14">
        <v>0.0</v>
      </c>
      <c r="AA572" s="14">
        <v>0.0</v>
      </c>
      <c r="AB572" s="14">
        <v>0.0</v>
      </c>
      <c r="AC572" s="14">
        <v>0.0</v>
      </c>
      <c r="AD572" s="2">
        <v>0.0</v>
      </c>
      <c r="AE572" s="2">
        <v>0.0</v>
      </c>
      <c r="AF572" s="2" t="s">
        <v>1186</v>
      </c>
      <c r="AG572" s="2" t="s">
        <v>1186</v>
      </c>
      <c r="AH572" s="2">
        <v>0.0</v>
      </c>
    </row>
    <row r="573" ht="15.75" customHeight="1">
      <c r="B573" s="12"/>
      <c r="C573" s="13"/>
      <c r="D573" s="14"/>
      <c r="E573" s="15"/>
      <c r="G573" s="15"/>
      <c r="O573" s="15"/>
      <c r="Q573" s="17"/>
      <c r="S573" s="17"/>
      <c r="T573" s="17"/>
      <c r="U573" s="14"/>
      <c r="V573" s="14" t="s">
        <v>1186</v>
      </c>
      <c r="W573" s="2" t="s">
        <v>1186</v>
      </c>
      <c r="X573" s="2" t="s">
        <v>1186</v>
      </c>
      <c r="Y573" s="13"/>
      <c r="Z573" s="14">
        <v>0.0</v>
      </c>
      <c r="AA573" s="14">
        <v>0.0</v>
      </c>
      <c r="AB573" s="14">
        <v>0.0</v>
      </c>
      <c r="AC573" s="14">
        <v>0.0</v>
      </c>
      <c r="AD573" s="2">
        <v>0.0</v>
      </c>
      <c r="AE573" s="2">
        <v>0.0</v>
      </c>
      <c r="AF573" s="2" t="s">
        <v>1186</v>
      </c>
      <c r="AG573" s="2" t="s">
        <v>1186</v>
      </c>
      <c r="AH573" s="2">
        <v>0.0</v>
      </c>
    </row>
    <row r="574" ht="15.75" customHeight="1">
      <c r="B574" s="12"/>
      <c r="C574" s="13"/>
      <c r="D574" s="14"/>
      <c r="E574" s="15"/>
      <c r="G574" s="15"/>
      <c r="O574" s="15"/>
      <c r="Q574" s="17"/>
      <c r="S574" s="17"/>
      <c r="T574" s="17"/>
      <c r="U574" s="14"/>
      <c r="V574" s="14" t="s">
        <v>1186</v>
      </c>
      <c r="W574" s="2" t="s">
        <v>1186</v>
      </c>
      <c r="X574" s="2" t="s">
        <v>1186</v>
      </c>
      <c r="Y574" s="13"/>
      <c r="Z574" s="14">
        <v>0.0</v>
      </c>
      <c r="AA574" s="14">
        <v>0.0</v>
      </c>
      <c r="AB574" s="14">
        <v>0.0</v>
      </c>
      <c r="AC574" s="14">
        <v>0.0</v>
      </c>
      <c r="AD574" s="2">
        <v>0.0</v>
      </c>
      <c r="AE574" s="2">
        <v>0.0</v>
      </c>
      <c r="AF574" s="2" t="s">
        <v>1186</v>
      </c>
      <c r="AG574" s="2" t="s">
        <v>1186</v>
      </c>
      <c r="AH574" s="2">
        <v>0.0</v>
      </c>
    </row>
    <row r="575" ht="15.75" customHeight="1">
      <c r="B575" s="12"/>
      <c r="C575" s="13"/>
      <c r="D575" s="14"/>
      <c r="E575" s="15"/>
      <c r="G575" s="15"/>
      <c r="O575" s="15"/>
      <c r="Q575" s="17"/>
      <c r="S575" s="17"/>
      <c r="T575" s="17"/>
      <c r="U575" s="14"/>
      <c r="V575" s="14" t="s">
        <v>1186</v>
      </c>
      <c r="W575" s="2" t="s">
        <v>1186</v>
      </c>
      <c r="X575" s="2" t="s">
        <v>1186</v>
      </c>
      <c r="Y575" s="13"/>
      <c r="Z575" s="14">
        <v>0.0</v>
      </c>
      <c r="AA575" s="14">
        <v>0.0</v>
      </c>
      <c r="AB575" s="14">
        <v>0.0</v>
      </c>
      <c r="AC575" s="14">
        <v>0.0</v>
      </c>
      <c r="AD575" s="2">
        <v>0.0</v>
      </c>
      <c r="AE575" s="2">
        <v>0.0</v>
      </c>
      <c r="AF575" s="2" t="s">
        <v>1186</v>
      </c>
      <c r="AG575" s="2" t="s">
        <v>1186</v>
      </c>
      <c r="AH575" s="2">
        <v>0.0</v>
      </c>
    </row>
    <row r="576" ht="15.75" customHeight="1">
      <c r="B576" s="12"/>
      <c r="C576" s="13"/>
      <c r="D576" s="14"/>
      <c r="E576" s="15"/>
      <c r="G576" s="15"/>
      <c r="O576" s="15"/>
      <c r="Q576" s="17"/>
      <c r="S576" s="17"/>
      <c r="T576" s="17"/>
      <c r="U576" s="14"/>
      <c r="V576" s="14" t="s">
        <v>1186</v>
      </c>
      <c r="W576" s="2" t="s">
        <v>1186</v>
      </c>
      <c r="X576" s="2" t="s">
        <v>1186</v>
      </c>
      <c r="Y576" s="13"/>
      <c r="Z576" s="14">
        <v>0.0</v>
      </c>
      <c r="AA576" s="14">
        <v>0.0</v>
      </c>
      <c r="AB576" s="14">
        <v>0.0</v>
      </c>
      <c r="AC576" s="14">
        <v>0.0</v>
      </c>
      <c r="AD576" s="2">
        <v>0.0</v>
      </c>
      <c r="AE576" s="2">
        <v>0.0</v>
      </c>
      <c r="AF576" s="2" t="s">
        <v>1186</v>
      </c>
      <c r="AG576" s="2" t="s">
        <v>1186</v>
      </c>
      <c r="AH576" s="2">
        <v>0.0</v>
      </c>
    </row>
    <row r="577" ht="15.75" customHeight="1">
      <c r="B577" s="12"/>
      <c r="C577" s="13"/>
      <c r="D577" s="14"/>
      <c r="E577" s="15"/>
      <c r="G577" s="15"/>
      <c r="O577" s="15"/>
      <c r="Q577" s="17"/>
      <c r="S577" s="17"/>
      <c r="T577" s="17"/>
      <c r="U577" s="14"/>
      <c r="V577" s="14" t="s">
        <v>1186</v>
      </c>
      <c r="W577" s="2" t="s">
        <v>1186</v>
      </c>
      <c r="X577" s="2" t="s">
        <v>1186</v>
      </c>
      <c r="Y577" s="13"/>
      <c r="Z577" s="14">
        <v>0.0</v>
      </c>
      <c r="AA577" s="14">
        <v>0.0</v>
      </c>
      <c r="AB577" s="14">
        <v>0.0</v>
      </c>
      <c r="AC577" s="14">
        <v>0.0</v>
      </c>
      <c r="AD577" s="2">
        <v>0.0</v>
      </c>
      <c r="AE577" s="2">
        <v>0.0</v>
      </c>
      <c r="AF577" s="2" t="s">
        <v>1186</v>
      </c>
      <c r="AG577" s="2" t="s">
        <v>1186</v>
      </c>
      <c r="AH577" s="2">
        <v>0.0</v>
      </c>
    </row>
    <row r="578" ht="15.75" customHeight="1">
      <c r="B578" s="12"/>
      <c r="C578" s="13"/>
      <c r="D578" s="14"/>
      <c r="E578" s="15"/>
      <c r="G578" s="15"/>
      <c r="O578" s="15"/>
      <c r="Q578" s="17"/>
      <c r="S578" s="17"/>
      <c r="T578" s="17"/>
      <c r="U578" s="14"/>
      <c r="V578" s="14" t="s">
        <v>1186</v>
      </c>
      <c r="W578" s="2" t="s">
        <v>1186</v>
      </c>
      <c r="X578" s="2" t="s">
        <v>1186</v>
      </c>
      <c r="Y578" s="13"/>
      <c r="Z578" s="14">
        <v>0.0</v>
      </c>
      <c r="AA578" s="14">
        <v>0.0</v>
      </c>
      <c r="AB578" s="14">
        <v>0.0</v>
      </c>
      <c r="AC578" s="14">
        <v>0.0</v>
      </c>
      <c r="AD578" s="2">
        <v>0.0</v>
      </c>
      <c r="AE578" s="2">
        <v>0.0</v>
      </c>
      <c r="AF578" s="2" t="s">
        <v>1186</v>
      </c>
      <c r="AG578" s="2" t="s">
        <v>1186</v>
      </c>
      <c r="AH578" s="2">
        <v>0.0</v>
      </c>
    </row>
    <row r="579" ht="15.75" customHeight="1">
      <c r="B579" s="12"/>
      <c r="C579" s="13"/>
      <c r="D579" s="14"/>
      <c r="E579" s="15"/>
      <c r="G579" s="15"/>
      <c r="O579" s="15"/>
      <c r="Q579" s="17"/>
      <c r="S579" s="17"/>
      <c r="T579" s="17"/>
      <c r="U579" s="14"/>
      <c r="V579" s="14" t="s">
        <v>1186</v>
      </c>
      <c r="W579" s="2" t="s">
        <v>1186</v>
      </c>
      <c r="X579" s="2" t="s">
        <v>1186</v>
      </c>
      <c r="Y579" s="13"/>
      <c r="Z579" s="14">
        <v>0.0</v>
      </c>
      <c r="AA579" s="14">
        <v>0.0</v>
      </c>
      <c r="AB579" s="14">
        <v>0.0</v>
      </c>
      <c r="AC579" s="14">
        <v>0.0</v>
      </c>
      <c r="AD579" s="2">
        <v>0.0</v>
      </c>
      <c r="AE579" s="2">
        <v>0.0</v>
      </c>
      <c r="AF579" s="2" t="s">
        <v>1186</v>
      </c>
      <c r="AG579" s="2" t="s">
        <v>1186</v>
      </c>
      <c r="AH579" s="2">
        <v>0.0</v>
      </c>
    </row>
    <row r="580" ht="15.75" customHeight="1">
      <c r="B580" s="12"/>
      <c r="C580" s="13"/>
      <c r="D580" s="14"/>
      <c r="E580" s="15"/>
      <c r="G580" s="15"/>
      <c r="O580" s="15"/>
      <c r="Q580" s="17"/>
      <c r="S580" s="17"/>
      <c r="T580" s="17"/>
      <c r="U580" s="14"/>
      <c r="V580" s="14" t="s">
        <v>1186</v>
      </c>
      <c r="W580" s="2" t="s">
        <v>1186</v>
      </c>
      <c r="X580" s="2" t="s">
        <v>1186</v>
      </c>
      <c r="Y580" s="13"/>
      <c r="Z580" s="14">
        <v>0.0</v>
      </c>
      <c r="AA580" s="14">
        <v>0.0</v>
      </c>
      <c r="AB580" s="14">
        <v>0.0</v>
      </c>
      <c r="AC580" s="14">
        <v>0.0</v>
      </c>
      <c r="AD580" s="2">
        <v>0.0</v>
      </c>
      <c r="AE580" s="2">
        <v>0.0</v>
      </c>
      <c r="AF580" s="2" t="s">
        <v>1186</v>
      </c>
      <c r="AG580" s="2" t="s">
        <v>1186</v>
      </c>
      <c r="AH580" s="2">
        <v>0.0</v>
      </c>
    </row>
    <row r="581" ht="15.75" customHeight="1">
      <c r="B581" s="12"/>
      <c r="C581" s="13"/>
      <c r="D581" s="14"/>
      <c r="E581" s="15"/>
      <c r="G581" s="15"/>
      <c r="O581" s="15"/>
      <c r="Q581" s="17"/>
      <c r="S581" s="17"/>
      <c r="T581" s="17"/>
      <c r="U581" s="14"/>
      <c r="V581" s="14" t="s">
        <v>1186</v>
      </c>
      <c r="W581" s="2" t="s">
        <v>1186</v>
      </c>
      <c r="X581" s="2" t="s">
        <v>1186</v>
      </c>
      <c r="Y581" s="13"/>
      <c r="Z581" s="14">
        <v>0.0</v>
      </c>
      <c r="AA581" s="14">
        <v>0.0</v>
      </c>
      <c r="AB581" s="14">
        <v>0.0</v>
      </c>
      <c r="AC581" s="14">
        <v>0.0</v>
      </c>
      <c r="AD581" s="2">
        <v>0.0</v>
      </c>
      <c r="AE581" s="2">
        <v>0.0</v>
      </c>
      <c r="AF581" s="2" t="s">
        <v>1186</v>
      </c>
      <c r="AG581" s="2" t="s">
        <v>1186</v>
      </c>
      <c r="AH581" s="2">
        <v>0.0</v>
      </c>
    </row>
    <row r="582" ht="15.75" customHeight="1">
      <c r="B582" s="12"/>
      <c r="C582" s="13"/>
      <c r="D582" s="14"/>
      <c r="E582" s="15"/>
      <c r="G582" s="15"/>
      <c r="O582" s="15"/>
      <c r="Q582" s="17"/>
      <c r="S582" s="17"/>
      <c r="T582" s="17"/>
      <c r="U582" s="14"/>
      <c r="V582" s="14" t="s">
        <v>1186</v>
      </c>
      <c r="W582" s="2" t="s">
        <v>1186</v>
      </c>
      <c r="X582" s="2" t="s">
        <v>1186</v>
      </c>
      <c r="Y582" s="13"/>
      <c r="Z582" s="14">
        <v>0.0</v>
      </c>
      <c r="AA582" s="14">
        <v>0.0</v>
      </c>
      <c r="AB582" s="14">
        <v>0.0</v>
      </c>
      <c r="AC582" s="14">
        <v>0.0</v>
      </c>
      <c r="AD582" s="2">
        <v>0.0</v>
      </c>
      <c r="AE582" s="2">
        <v>0.0</v>
      </c>
      <c r="AF582" s="2" t="s">
        <v>1186</v>
      </c>
      <c r="AG582" s="2" t="s">
        <v>1186</v>
      </c>
      <c r="AH582" s="2">
        <v>0.0</v>
      </c>
    </row>
    <row r="583" ht="15.75" customHeight="1">
      <c r="B583" s="12"/>
      <c r="C583" s="13"/>
      <c r="D583" s="14"/>
      <c r="E583" s="15"/>
      <c r="G583" s="15"/>
      <c r="O583" s="15"/>
      <c r="Q583" s="17"/>
      <c r="S583" s="17"/>
      <c r="T583" s="17"/>
      <c r="U583" s="14"/>
      <c r="V583" s="14" t="s">
        <v>1186</v>
      </c>
      <c r="W583" s="2" t="s">
        <v>1186</v>
      </c>
      <c r="X583" s="2" t="s">
        <v>1186</v>
      </c>
      <c r="Y583" s="13"/>
      <c r="Z583" s="14">
        <v>0.0</v>
      </c>
      <c r="AA583" s="14">
        <v>0.0</v>
      </c>
      <c r="AB583" s="14">
        <v>0.0</v>
      </c>
      <c r="AC583" s="14">
        <v>0.0</v>
      </c>
      <c r="AD583" s="2">
        <v>0.0</v>
      </c>
      <c r="AE583" s="2">
        <v>0.0</v>
      </c>
      <c r="AF583" s="2" t="s">
        <v>1186</v>
      </c>
      <c r="AG583" s="2" t="s">
        <v>1186</v>
      </c>
      <c r="AH583" s="2">
        <v>0.0</v>
      </c>
    </row>
    <row r="584" ht="15.75" customHeight="1">
      <c r="B584" s="12"/>
      <c r="C584" s="13"/>
      <c r="D584" s="14"/>
      <c r="E584" s="15"/>
      <c r="G584" s="15"/>
      <c r="O584" s="15"/>
      <c r="Q584" s="17"/>
      <c r="S584" s="17"/>
      <c r="T584" s="17"/>
      <c r="U584" s="14"/>
      <c r="V584" s="14" t="s">
        <v>1186</v>
      </c>
      <c r="W584" s="2" t="s">
        <v>1186</v>
      </c>
      <c r="X584" s="2" t="s">
        <v>1186</v>
      </c>
      <c r="Y584" s="13"/>
      <c r="Z584" s="14">
        <v>0.0</v>
      </c>
      <c r="AA584" s="14">
        <v>0.0</v>
      </c>
      <c r="AB584" s="14">
        <v>0.0</v>
      </c>
      <c r="AC584" s="14">
        <v>0.0</v>
      </c>
      <c r="AD584" s="2">
        <v>0.0</v>
      </c>
      <c r="AE584" s="2">
        <v>0.0</v>
      </c>
      <c r="AF584" s="2" t="s">
        <v>1186</v>
      </c>
      <c r="AG584" s="2" t="s">
        <v>1186</v>
      </c>
      <c r="AH584" s="2">
        <v>0.0</v>
      </c>
    </row>
    <row r="585" ht="15.75" customHeight="1">
      <c r="B585" s="12"/>
      <c r="C585" s="13"/>
      <c r="D585" s="14"/>
      <c r="E585" s="15"/>
      <c r="G585" s="15"/>
      <c r="O585" s="15"/>
      <c r="Q585" s="17"/>
      <c r="S585" s="17"/>
      <c r="T585" s="17"/>
      <c r="U585" s="14"/>
      <c r="V585" s="14" t="s">
        <v>1186</v>
      </c>
      <c r="W585" s="2" t="s">
        <v>1186</v>
      </c>
      <c r="X585" s="2" t="s">
        <v>1186</v>
      </c>
      <c r="Y585" s="13"/>
      <c r="Z585" s="14">
        <v>0.0</v>
      </c>
      <c r="AA585" s="14">
        <v>0.0</v>
      </c>
      <c r="AB585" s="14">
        <v>0.0</v>
      </c>
      <c r="AC585" s="14">
        <v>0.0</v>
      </c>
      <c r="AD585" s="2">
        <v>0.0</v>
      </c>
      <c r="AE585" s="2">
        <v>0.0</v>
      </c>
      <c r="AF585" s="2" t="s">
        <v>1186</v>
      </c>
      <c r="AG585" s="2" t="s">
        <v>1186</v>
      </c>
      <c r="AH585" s="2">
        <v>0.0</v>
      </c>
    </row>
    <row r="586" ht="15.75" customHeight="1">
      <c r="B586" s="12"/>
      <c r="C586" s="13"/>
      <c r="D586" s="14"/>
      <c r="E586" s="15"/>
      <c r="G586" s="15"/>
      <c r="O586" s="15"/>
      <c r="Q586" s="17"/>
      <c r="S586" s="17"/>
      <c r="T586" s="17"/>
      <c r="U586" s="14"/>
      <c r="V586" s="14" t="s">
        <v>1186</v>
      </c>
      <c r="W586" s="2" t="s">
        <v>1186</v>
      </c>
      <c r="X586" s="2" t="s">
        <v>1186</v>
      </c>
      <c r="Y586" s="13"/>
      <c r="Z586" s="14">
        <v>0.0</v>
      </c>
      <c r="AA586" s="14">
        <v>0.0</v>
      </c>
      <c r="AB586" s="14">
        <v>0.0</v>
      </c>
      <c r="AC586" s="14">
        <v>0.0</v>
      </c>
      <c r="AD586" s="2">
        <v>0.0</v>
      </c>
      <c r="AE586" s="2">
        <v>0.0</v>
      </c>
      <c r="AF586" s="2" t="s">
        <v>1186</v>
      </c>
      <c r="AG586" s="2" t="s">
        <v>1186</v>
      </c>
      <c r="AH586" s="2">
        <v>0.0</v>
      </c>
    </row>
    <row r="587" ht="15.75" customHeight="1">
      <c r="B587" s="12"/>
      <c r="C587" s="13"/>
      <c r="D587" s="14"/>
      <c r="E587" s="15"/>
      <c r="G587" s="15"/>
      <c r="O587" s="15"/>
      <c r="Q587" s="17"/>
      <c r="S587" s="17"/>
      <c r="T587" s="17"/>
      <c r="U587" s="14"/>
      <c r="V587" s="14" t="s">
        <v>1186</v>
      </c>
      <c r="W587" s="2" t="s">
        <v>1186</v>
      </c>
      <c r="X587" s="2" t="s">
        <v>1186</v>
      </c>
      <c r="Y587" s="13"/>
      <c r="Z587" s="14">
        <v>0.0</v>
      </c>
      <c r="AA587" s="14">
        <v>0.0</v>
      </c>
      <c r="AB587" s="14">
        <v>0.0</v>
      </c>
      <c r="AC587" s="14">
        <v>0.0</v>
      </c>
      <c r="AD587" s="2">
        <v>0.0</v>
      </c>
      <c r="AE587" s="2">
        <v>0.0</v>
      </c>
      <c r="AF587" s="2" t="s">
        <v>1186</v>
      </c>
      <c r="AG587" s="2" t="s">
        <v>1186</v>
      </c>
      <c r="AH587" s="2">
        <v>0.0</v>
      </c>
    </row>
    <row r="588" ht="15.75" customHeight="1">
      <c r="B588" s="12"/>
      <c r="C588" s="13"/>
      <c r="D588" s="14"/>
      <c r="E588" s="15"/>
      <c r="G588" s="15"/>
      <c r="O588" s="15"/>
      <c r="Q588" s="17"/>
      <c r="S588" s="17"/>
      <c r="T588" s="17"/>
      <c r="U588" s="14"/>
      <c r="V588" s="14" t="s">
        <v>1186</v>
      </c>
      <c r="W588" s="2" t="s">
        <v>1186</v>
      </c>
      <c r="X588" s="2" t="s">
        <v>1186</v>
      </c>
      <c r="Y588" s="13"/>
      <c r="Z588" s="14">
        <v>0.0</v>
      </c>
      <c r="AA588" s="14">
        <v>0.0</v>
      </c>
      <c r="AB588" s="14">
        <v>0.0</v>
      </c>
      <c r="AC588" s="14">
        <v>0.0</v>
      </c>
      <c r="AD588" s="2">
        <v>0.0</v>
      </c>
      <c r="AE588" s="2">
        <v>0.0</v>
      </c>
      <c r="AF588" s="2" t="s">
        <v>1186</v>
      </c>
      <c r="AG588" s="2" t="s">
        <v>1186</v>
      </c>
      <c r="AH588" s="2">
        <v>0.0</v>
      </c>
    </row>
    <row r="589" ht="15.75" customHeight="1">
      <c r="B589" s="12"/>
      <c r="C589" s="13"/>
      <c r="D589" s="14"/>
      <c r="E589" s="15"/>
      <c r="G589" s="15"/>
      <c r="O589" s="15"/>
      <c r="Q589" s="17"/>
      <c r="S589" s="17"/>
      <c r="T589" s="17"/>
      <c r="U589" s="14"/>
      <c r="V589" s="14" t="s">
        <v>1186</v>
      </c>
      <c r="W589" s="2" t="s">
        <v>1186</v>
      </c>
      <c r="X589" s="2" t="s">
        <v>1186</v>
      </c>
      <c r="Y589" s="13"/>
      <c r="Z589" s="14">
        <v>0.0</v>
      </c>
      <c r="AA589" s="14">
        <v>0.0</v>
      </c>
      <c r="AB589" s="14">
        <v>0.0</v>
      </c>
      <c r="AC589" s="14">
        <v>0.0</v>
      </c>
      <c r="AD589" s="2">
        <v>0.0</v>
      </c>
      <c r="AE589" s="2">
        <v>0.0</v>
      </c>
      <c r="AF589" s="2" t="s">
        <v>1186</v>
      </c>
      <c r="AG589" s="2" t="s">
        <v>1186</v>
      </c>
      <c r="AH589" s="2">
        <v>0.0</v>
      </c>
    </row>
    <row r="590" ht="15.75" customHeight="1">
      <c r="B590" s="12"/>
      <c r="C590" s="13"/>
      <c r="D590" s="14"/>
      <c r="E590" s="15"/>
      <c r="G590" s="15"/>
      <c r="O590" s="15"/>
      <c r="Q590" s="17"/>
      <c r="S590" s="17"/>
      <c r="T590" s="17"/>
      <c r="U590" s="14"/>
      <c r="V590" s="14" t="s">
        <v>1186</v>
      </c>
      <c r="W590" s="2" t="s">
        <v>1186</v>
      </c>
      <c r="X590" s="2" t="s">
        <v>1186</v>
      </c>
      <c r="Y590" s="13"/>
      <c r="Z590" s="14">
        <v>0.0</v>
      </c>
      <c r="AA590" s="14">
        <v>0.0</v>
      </c>
      <c r="AB590" s="14">
        <v>0.0</v>
      </c>
      <c r="AC590" s="14">
        <v>0.0</v>
      </c>
      <c r="AD590" s="2">
        <v>0.0</v>
      </c>
      <c r="AE590" s="2">
        <v>0.0</v>
      </c>
      <c r="AF590" s="2" t="s">
        <v>1186</v>
      </c>
      <c r="AG590" s="2" t="s">
        <v>1186</v>
      </c>
      <c r="AH590" s="2">
        <v>0.0</v>
      </c>
    </row>
    <row r="591" ht="15.75" customHeight="1">
      <c r="B591" s="12"/>
      <c r="C591" s="13"/>
      <c r="D591" s="14"/>
      <c r="E591" s="15"/>
      <c r="G591" s="15"/>
      <c r="O591" s="15"/>
      <c r="Q591" s="17"/>
      <c r="S591" s="17"/>
      <c r="T591" s="17"/>
      <c r="U591" s="14"/>
      <c r="V591" s="14" t="s">
        <v>1186</v>
      </c>
      <c r="W591" s="2" t="s">
        <v>1186</v>
      </c>
      <c r="X591" s="2" t="s">
        <v>1186</v>
      </c>
      <c r="Y591" s="13"/>
      <c r="Z591" s="14">
        <v>0.0</v>
      </c>
      <c r="AA591" s="14">
        <v>0.0</v>
      </c>
      <c r="AB591" s="14">
        <v>0.0</v>
      </c>
      <c r="AC591" s="14">
        <v>0.0</v>
      </c>
      <c r="AD591" s="2">
        <v>0.0</v>
      </c>
      <c r="AE591" s="2">
        <v>0.0</v>
      </c>
      <c r="AF591" s="2" t="s">
        <v>1186</v>
      </c>
      <c r="AG591" s="2" t="s">
        <v>1186</v>
      </c>
      <c r="AH591" s="2">
        <v>0.0</v>
      </c>
    </row>
    <row r="592" ht="15.75" customHeight="1">
      <c r="B592" s="12"/>
      <c r="C592" s="13"/>
      <c r="D592" s="14"/>
      <c r="E592" s="15"/>
      <c r="G592" s="15"/>
      <c r="O592" s="15"/>
      <c r="Q592" s="17"/>
      <c r="S592" s="17"/>
      <c r="T592" s="17"/>
      <c r="U592" s="14"/>
      <c r="V592" s="14" t="s">
        <v>1186</v>
      </c>
      <c r="W592" s="2" t="s">
        <v>1186</v>
      </c>
      <c r="X592" s="2" t="s">
        <v>1186</v>
      </c>
      <c r="Y592" s="13"/>
      <c r="Z592" s="14">
        <v>0.0</v>
      </c>
      <c r="AA592" s="14">
        <v>0.0</v>
      </c>
      <c r="AB592" s="14">
        <v>0.0</v>
      </c>
      <c r="AC592" s="14">
        <v>0.0</v>
      </c>
      <c r="AD592" s="2">
        <v>0.0</v>
      </c>
      <c r="AE592" s="2">
        <v>0.0</v>
      </c>
      <c r="AF592" s="2" t="s">
        <v>1186</v>
      </c>
      <c r="AG592" s="2" t="s">
        <v>1186</v>
      </c>
      <c r="AH592" s="2">
        <v>0.0</v>
      </c>
    </row>
    <row r="593" ht="15.75" customHeight="1">
      <c r="B593" s="12"/>
      <c r="C593" s="13"/>
      <c r="D593" s="14"/>
      <c r="E593" s="15"/>
      <c r="G593" s="15"/>
      <c r="O593" s="15"/>
      <c r="Q593" s="17"/>
      <c r="S593" s="17"/>
      <c r="T593" s="17"/>
      <c r="U593" s="14"/>
      <c r="V593" s="14" t="s">
        <v>1186</v>
      </c>
      <c r="W593" s="2" t="s">
        <v>1186</v>
      </c>
      <c r="X593" s="2" t="s">
        <v>1186</v>
      </c>
      <c r="Y593" s="13"/>
      <c r="Z593" s="14">
        <v>0.0</v>
      </c>
      <c r="AA593" s="14">
        <v>0.0</v>
      </c>
      <c r="AB593" s="14">
        <v>0.0</v>
      </c>
      <c r="AC593" s="14">
        <v>0.0</v>
      </c>
      <c r="AD593" s="2">
        <v>0.0</v>
      </c>
      <c r="AE593" s="2">
        <v>0.0</v>
      </c>
      <c r="AF593" s="2" t="s">
        <v>1186</v>
      </c>
      <c r="AG593" s="2" t="s">
        <v>1186</v>
      </c>
      <c r="AH593" s="2">
        <v>0.0</v>
      </c>
    </row>
    <row r="594" ht="15.75" customHeight="1">
      <c r="B594" s="12"/>
      <c r="C594" s="13"/>
      <c r="D594" s="14"/>
      <c r="E594" s="15"/>
      <c r="G594" s="15"/>
      <c r="O594" s="15"/>
      <c r="Q594" s="17"/>
      <c r="S594" s="17"/>
      <c r="T594" s="17"/>
      <c r="U594" s="14"/>
      <c r="V594" s="14" t="s">
        <v>1186</v>
      </c>
      <c r="W594" s="2" t="s">
        <v>1186</v>
      </c>
      <c r="X594" s="2" t="s">
        <v>1186</v>
      </c>
      <c r="Y594" s="13"/>
      <c r="Z594" s="14">
        <v>0.0</v>
      </c>
      <c r="AA594" s="14">
        <v>0.0</v>
      </c>
      <c r="AB594" s="14">
        <v>0.0</v>
      </c>
      <c r="AC594" s="14">
        <v>0.0</v>
      </c>
      <c r="AD594" s="2">
        <v>0.0</v>
      </c>
      <c r="AE594" s="2">
        <v>0.0</v>
      </c>
      <c r="AF594" s="2" t="s">
        <v>1186</v>
      </c>
      <c r="AG594" s="2" t="s">
        <v>1186</v>
      </c>
      <c r="AH594" s="2">
        <v>0.0</v>
      </c>
    </row>
    <row r="595" ht="15.75" customHeight="1">
      <c r="B595" s="12"/>
      <c r="C595" s="13"/>
      <c r="D595" s="14"/>
      <c r="E595" s="15"/>
      <c r="G595" s="15"/>
      <c r="O595" s="15"/>
      <c r="Q595" s="17"/>
      <c r="S595" s="17"/>
      <c r="T595" s="17"/>
      <c r="U595" s="14"/>
      <c r="V595" s="14" t="s">
        <v>1186</v>
      </c>
      <c r="W595" s="2" t="s">
        <v>1186</v>
      </c>
      <c r="X595" s="2" t="s">
        <v>1186</v>
      </c>
      <c r="Y595" s="13"/>
      <c r="Z595" s="14">
        <v>0.0</v>
      </c>
      <c r="AA595" s="14">
        <v>0.0</v>
      </c>
      <c r="AB595" s="14">
        <v>0.0</v>
      </c>
      <c r="AC595" s="14">
        <v>0.0</v>
      </c>
      <c r="AD595" s="2">
        <v>0.0</v>
      </c>
      <c r="AE595" s="2">
        <v>0.0</v>
      </c>
      <c r="AF595" s="2" t="s">
        <v>1186</v>
      </c>
      <c r="AG595" s="2" t="s">
        <v>1186</v>
      </c>
      <c r="AH595" s="2">
        <v>0.0</v>
      </c>
    </row>
    <row r="596" ht="15.75" customHeight="1">
      <c r="B596" s="12"/>
      <c r="C596" s="13"/>
      <c r="D596" s="14"/>
      <c r="E596" s="15"/>
      <c r="G596" s="15"/>
      <c r="O596" s="15"/>
      <c r="Q596" s="17"/>
      <c r="S596" s="17"/>
      <c r="T596" s="17"/>
      <c r="U596" s="14"/>
      <c r="V596" s="14" t="s">
        <v>1186</v>
      </c>
      <c r="W596" s="2" t="s">
        <v>1186</v>
      </c>
      <c r="X596" s="2" t="s">
        <v>1186</v>
      </c>
      <c r="Y596" s="13"/>
      <c r="Z596" s="14">
        <v>0.0</v>
      </c>
      <c r="AA596" s="14">
        <v>0.0</v>
      </c>
      <c r="AB596" s="14">
        <v>0.0</v>
      </c>
      <c r="AC596" s="14">
        <v>0.0</v>
      </c>
      <c r="AD596" s="2">
        <v>0.0</v>
      </c>
      <c r="AE596" s="2">
        <v>0.0</v>
      </c>
      <c r="AF596" s="2" t="s">
        <v>1186</v>
      </c>
      <c r="AG596" s="2" t="s">
        <v>1186</v>
      </c>
      <c r="AH596" s="2">
        <v>0.0</v>
      </c>
    </row>
    <row r="597" ht="15.75" customHeight="1">
      <c r="B597" s="12"/>
      <c r="C597" s="13"/>
      <c r="D597" s="14"/>
      <c r="E597" s="15"/>
      <c r="G597" s="15"/>
      <c r="O597" s="15"/>
      <c r="Q597" s="17"/>
      <c r="S597" s="17"/>
      <c r="T597" s="17"/>
      <c r="U597" s="14"/>
      <c r="V597" s="14" t="s">
        <v>1186</v>
      </c>
      <c r="W597" s="2" t="s">
        <v>1186</v>
      </c>
      <c r="X597" s="2" t="s">
        <v>1186</v>
      </c>
      <c r="Y597" s="13"/>
      <c r="Z597" s="14">
        <v>0.0</v>
      </c>
      <c r="AA597" s="14">
        <v>0.0</v>
      </c>
      <c r="AB597" s="14">
        <v>0.0</v>
      </c>
      <c r="AC597" s="14">
        <v>0.0</v>
      </c>
      <c r="AD597" s="2">
        <v>0.0</v>
      </c>
      <c r="AE597" s="2">
        <v>0.0</v>
      </c>
      <c r="AF597" s="2" t="s">
        <v>1186</v>
      </c>
      <c r="AG597" s="2" t="s">
        <v>1186</v>
      </c>
      <c r="AH597" s="2">
        <v>0.0</v>
      </c>
    </row>
    <row r="598" ht="15.75" customHeight="1">
      <c r="B598" s="12"/>
      <c r="C598" s="13"/>
      <c r="D598" s="14"/>
      <c r="E598" s="15"/>
      <c r="G598" s="15"/>
      <c r="O598" s="15"/>
      <c r="Q598" s="17"/>
      <c r="S598" s="17"/>
      <c r="T598" s="17"/>
      <c r="U598" s="14"/>
      <c r="V598" s="14" t="s">
        <v>1186</v>
      </c>
      <c r="W598" s="2" t="s">
        <v>1186</v>
      </c>
      <c r="X598" s="2" t="s">
        <v>1186</v>
      </c>
      <c r="Y598" s="13"/>
      <c r="Z598" s="14">
        <v>0.0</v>
      </c>
      <c r="AA598" s="14">
        <v>0.0</v>
      </c>
      <c r="AB598" s="14">
        <v>0.0</v>
      </c>
      <c r="AC598" s="14">
        <v>0.0</v>
      </c>
      <c r="AD598" s="2">
        <v>0.0</v>
      </c>
      <c r="AE598" s="2">
        <v>0.0</v>
      </c>
      <c r="AF598" s="2" t="s">
        <v>1186</v>
      </c>
      <c r="AG598" s="2" t="s">
        <v>1186</v>
      </c>
      <c r="AH598" s="2">
        <v>0.0</v>
      </c>
    </row>
    <row r="599" ht="15.75" customHeight="1">
      <c r="B599" s="12"/>
      <c r="C599" s="13"/>
      <c r="D599" s="14"/>
      <c r="E599" s="15"/>
      <c r="G599" s="15"/>
      <c r="O599" s="15"/>
      <c r="Q599" s="17"/>
      <c r="S599" s="17"/>
      <c r="T599" s="17"/>
      <c r="U599" s="14"/>
      <c r="V599" s="14" t="s">
        <v>1186</v>
      </c>
      <c r="W599" s="2" t="s">
        <v>1186</v>
      </c>
      <c r="X599" s="2" t="s">
        <v>1186</v>
      </c>
      <c r="Y599" s="13"/>
      <c r="Z599" s="14">
        <v>0.0</v>
      </c>
      <c r="AA599" s="14">
        <v>0.0</v>
      </c>
      <c r="AB599" s="14">
        <v>0.0</v>
      </c>
      <c r="AC599" s="14">
        <v>0.0</v>
      </c>
      <c r="AD599" s="2">
        <v>0.0</v>
      </c>
      <c r="AE599" s="2">
        <v>0.0</v>
      </c>
      <c r="AF599" s="2" t="s">
        <v>1186</v>
      </c>
      <c r="AG599" s="2" t="s">
        <v>1186</v>
      </c>
      <c r="AH599" s="2">
        <v>0.0</v>
      </c>
    </row>
    <row r="600" ht="15.75" customHeight="1">
      <c r="B600" s="12"/>
      <c r="C600" s="13"/>
      <c r="D600" s="14"/>
      <c r="E600" s="15"/>
      <c r="G600" s="15"/>
      <c r="O600" s="15"/>
      <c r="Q600" s="17"/>
      <c r="S600" s="17"/>
      <c r="T600" s="17"/>
      <c r="U600" s="14"/>
      <c r="V600" s="14" t="s">
        <v>1186</v>
      </c>
      <c r="W600" s="2" t="s">
        <v>1186</v>
      </c>
      <c r="X600" s="2" t="s">
        <v>1186</v>
      </c>
      <c r="Y600" s="13"/>
      <c r="Z600" s="14">
        <v>0.0</v>
      </c>
      <c r="AA600" s="14">
        <v>0.0</v>
      </c>
      <c r="AB600" s="14">
        <v>0.0</v>
      </c>
      <c r="AC600" s="14">
        <v>0.0</v>
      </c>
      <c r="AD600" s="2">
        <v>0.0</v>
      </c>
      <c r="AE600" s="2">
        <v>0.0</v>
      </c>
      <c r="AF600" s="2" t="s">
        <v>1186</v>
      </c>
      <c r="AG600" s="2" t="s">
        <v>1186</v>
      </c>
      <c r="AH600" s="2">
        <v>0.0</v>
      </c>
    </row>
    <row r="601" ht="15.75" customHeight="1">
      <c r="B601" s="12"/>
      <c r="C601" s="13"/>
      <c r="D601" s="14"/>
      <c r="E601" s="15"/>
      <c r="G601" s="15"/>
      <c r="O601" s="15"/>
      <c r="Q601" s="17"/>
      <c r="S601" s="17"/>
      <c r="T601" s="17"/>
      <c r="U601" s="14"/>
      <c r="V601" s="14" t="s">
        <v>1186</v>
      </c>
      <c r="W601" s="2" t="s">
        <v>1186</v>
      </c>
      <c r="X601" s="2" t="s">
        <v>1186</v>
      </c>
      <c r="Y601" s="13"/>
      <c r="Z601" s="14">
        <v>0.0</v>
      </c>
      <c r="AA601" s="14">
        <v>0.0</v>
      </c>
      <c r="AB601" s="14">
        <v>0.0</v>
      </c>
      <c r="AC601" s="14">
        <v>0.0</v>
      </c>
      <c r="AD601" s="2">
        <v>0.0</v>
      </c>
      <c r="AE601" s="2">
        <v>0.0</v>
      </c>
      <c r="AF601" s="2" t="s">
        <v>1186</v>
      </c>
      <c r="AG601" s="2" t="s">
        <v>1186</v>
      </c>
      <c r="AH601" s="2">
        <v>0.0</v>
      </c>
    </row>
    <row r="602" ht="15.75" customHeight="1">
      <c r="B602" s="12"/>
      <c r="C602" s="13"/>
      <c r="D602" s="14"/>
      <c r="E602" s="15"/>
      <c r="G602" s="15"/>
      <c r="O602" s="15"/>
      <c r="Q602" s="17"/>
      <c r="S602" s="17"/>
      <c r="T602" s="17"/>
      <c r="U602" s="14"/>
      <c r="V602" s="14" t="s">
        <v>1186</v>
      </c>
      <c r="W602" s="2" t="s">
        <v>1186</v>
      </c>
      <c r="X602" s="2" t="s">
        <v>1186</v>
      </c>
      <c r="Y602" s="13"/>
      <c r="Z602" s="14">
        <v>0.0</v>
      </c>
      <c r="AA602" s="14">
        <v>0.0</v>
      </c>
      <c r="AB602" s="14">
        <v>0.0</v>
      </c>
      <c r="AC602" s="14">
        <v>0.0</v>
      </c>
      <c r="AD602" s="2">
        <v>0.0</v>
      </c>
      <c r="AE602" s="2">
        <v>0.0</v>
      </c>
      <c r="AF602" s="2" t="s">
        <v>1186</v>
      </c>
      <c r="AG602" s="2" t="s">
        <v>1186</v>
      </c>
      <c r="AH602" s="2">
        <v>0.0</v>
      </c>
    </row>
    <row r="603" ht="15.75" customHeight="1">
      <c r="B603" s="12"/>
      <c r="C603" s="13"/>
      <c r="D603" s="14"/>
      <c r="E603" s="15"/>
      <c r="G603" s="15"/>
      <c r="O603" s="15"/>
      <c r="Q603" s="17"/>
      <c r="S603" s="17"/>
      <c r="T603" s="17"/>
      <c r="U603" s="14"/>
      <c r="V603" s="14" t="s">
        <v>1186</v>
      </c>
      <c r="W603" s="2" t="s">
        <v>1186</v>
      </c>
      <c r="X603" s="2" t="s">
        <v>1186</v>
      </c>
      <c r="Y603" s="13"/>
      <c r="Z603" s="14">
        <v>0.0</v>
      </c>
      <c r="AA603" s="14">
        <v>0.0</v>
      </c>
      <c r="AB603" s="14">
        <v>0.0</v>
      </c>
      <c r="AC603" s="14">
        <v>0.0</v>
      </c>
      <c r="AD603" s="2">
        <v>0.0</v>
      </c>
      <c r="AE603" s="2">
        <v>0.0</v>
      </c>
      <c r="AF603" s="2" t="s">
        <v>1186</v>
      </c>
      <c r="AG603" s="2" t="s">
        <v>1186</v>
      </c>
      <c r="AH603" s="2">
        <v>0.0</v>
      </c>
    </row>
    <row r="604" ht="15.75" customHeight="1">
      <c r="B604" s="12"/>
      <c r="C604" s="13"/>
      <c r="D604" s="14"/>
      <c r="E604" s="15"/>
      <c r="G604" s="15"/>
      <c r="O604" s="15"/>
      <c r="Q604" s="17"/>
      <c r="S604" s="17"/>
      <c r="T604" s="17"/>
      <c r="U604" s="14"/>
      <c r="V604" s="14" t="s">
        <v>1186</v>
      </c>
      <c r="W604" s="2" t="s">
        <v>1186</v>
      </c>
      <c r="X604" s="2" t="s">
        <v>1186</v>
      </c>
      <c r="Y604" s="13"/>
      <c r="Z604" s="14">
        <v>0.0</v>
      </c>
      <c r="AA604" s="14">
        <v>0.0</v>
      </c>
      <c r="AB604" s="14">
        <v>0.0</v>
      </c>
      <c r="AC604" s="14">
        <v>0.0</v>
      </c>
      <c r="AD604" s="2">
        <v>0.0</v>
      </c>
      <c r="AE604" s="2">
        <v>0.0</v>
      </c>
      <c r="AF604" s="2" t="s">
        <v>1186</v>
      </c>
      <c r="AG604" s="2" t="s">
        <v>1186</v>
      </c>
      <c r="AH604" s="2">
        <v>0.0</v>
      </c>
    </row>
    <row r="605" ht="15.75" customHeight="1">
      <c r="B605" s="12"/>
      <c r="C605" s="13"/>
      <c r="D605" s="14"/>
      <c r="E605" s="15"/>
      <c r="G605" s="15"/>
      <c r="O605" s="15"/>
      <c r="Q605" s="17"/>
      <c r="S605" s="17"/>
      <c r="T605" s="17"/>
      <c r="U605" s="14"/>
      <c r="V605" s="14" t="s">
        <v>1186</v>
      </c>
      <c r="W605" s="2" t="s">
        <v>1186</v>
      </c>
      <c r="X605" s="2" t="s">
        <v>1186</v>
      </c>
      <c r="Y605" s="13"/>
      <c r="Z605" s="14">
        <v>0.0</v>
      </c>
      <c r="AA605" s="14">
        <v>0.0</v>
      </c>
      <c r="AB605" s="14">
        <v>0.0</v>
      </c>
      <c r="AC605" s="14">
        <v>0.0</v>
      </c>
      <c r="AD605" s="2">
        <v>0.0</v>
      </c>
      <c r="AE605" s="2">
        <v>0.0</v>
      </c>
      <c r="AF605" s="2" t="s">
        <v>1186</v>
      </c>
      <c r="AG605" s="2" t="s">
        <v>1186</v>
      </c>
      <c r="AH605" s="2">
        <v>0.0</v>
      </c>
    </row>
    <row r="606" ht="15.75" customHeight="1">
      <c r="B606" s="12"/>
      <c r="C606" s="13"/>
      <c r="D606" s="14"/>
      <c r="E606" s="15"/>
      <c r="G606" s="15"/>
      <c r="O606" s="15"/>
      <c r="Q606" s="17"/>
      <c r="S606" s="17"/>
      <c r="T606" s="17"/>
      <c r="U606" s="14"/>
      <c r="V606" s="14" t="s">
        <v>1186</v>
      </c>
      <c r="W606" s="2" t="s">
        <v>1186</v>
      </c>
      <c r="X606" s="2" t="s">
        <v>1186</v>
      </c>
      <c r="Y606" s="13"/>
      <c r="Z606" s="14">
        <v>0.0</v>
      </c>
      <c r="AA606" s="14">
        <v>0.0</v>
      </c>
      <c r="AB606" s="14">
        <v>0.0</v>
      </c>
      <c r="AC606" s="14">
        <v>0.0</v>
      </c>
      <c r="AD606" s="2">
        <v>0.0</v>
      </c>
      <c r="AE606" s="2">
        <v>0.0</v>
      </c>
      <c r="AF606" s="2" t="s">
        <v>1186</v>
      </c>
      <c r="AG606" s="2" t="s">
        <v>1186</v>
      </c>
      <c r="AH606" s="2">
        <v>0.0</v>
      </c>
    </row>
    <row r="607" ht="15.75" customHeight="1">
      <c r="B607" s="12"/>
      <c r="C607" s="13"/>
      <c r="D607" s="14"/>
      <c r="E607" s="15"/>
      <c r="G607" s="15"/>
      <c r="O607" s="15"/>
      <c r="Q607" s="17"/>
      <c r="S607" s="17"/>
      <c r="T607" s="17"/>
      <c r="U607" s="14"/>
      <c r="V607" s="14" t="s">
        <v>1186</v>
      </c>
      <c r="W607" s="2" t="s">
        <v>1186</v>
      </c>
      <c r="X607" s="2" t="s">
        <v>1186</v>
      </c>
      <c r="Y607" s="13"/>
      <c r="Z607" s="14">
        <v>0.0</v>
      </c>
      <c r="AA607" s="14">
        <v>0.0</v>
      </c>
      <c r="AB607" s="14">
        <v>0.0</v>
      </c>
      <c r="AC607" s="14">
        <v>0.0</v>
      </c>
      <c r="AD607" s="2">
        <v>0.0</v>
      </c>
      <c r="AE607" s="2">
        <v>0.0</v>
      </c>
      <c r="AF607" s="2" t="s">
        <v>1186</v>
      </c>
      <c r="AG607" s="2" t="s">
        <v>1186</v>
      </c>
      <c r="AH607" s="2">
        <v>0.0</v>
      </c>
    </row>
    <row r="608" ht="15.75" customHeight="1">
      <c r="B608" s="12"/>
      <c r="C608" s="13"/>
      <c r="D608" s="14"/>
      <c r="E608" s="15"/>
      <c r="G608" s="15"/>
      <c r="O608" s="15"/>
      <c r="Q608" s="17"/>
      <c r="S608" s="17"/>
      <c r="T608" s="17"/>
      <c r="U608" s="14"/>
      <c r="V608" s="14" t="s">
        <v>1186</v>
      </c>
      <c r="W608" s="2" t="s">
        <v>1186</v>
      </c>
      <c r="X608" s="2" t="s">
        <v>1186</v>
      </c>
      <c r="Y608" s="13"/>
      <c r="Z608" s="14">
        <v>0.0</v>
      </c>
      <c r="AA608" s="14">
        <v>0.0</v>
      </c>
      <c r="AB608" s="14">
        <v>0.0</v>
      </c>
      <c r="AC608" s="14">
        <v>0.0</v>
      </c>
      <c r="AD608" s="2">
        <v>0.0</v>
      </c>
      <c r="AE608" s="2">
        <v>0.0</v>
      </c>
      <c r="AF608" s="2" t="s">
        <v>1186</v>
      </c>
      <c r="AG608" s="2" t="s">
        <v>1186</v>
      </c>
      <c r="AH608" s="2">
        <v>0.0</v>
      </c>
    </row>
    <row r="609" ht="15.75" customHeight="1">
      <c r="B609" s="12"/>
      <c r="C609" s="13"/>
      <c r="D609" s="14"/>
      <c r="E609" s="15"/>
      <c r="G609" s="15"/>
      <c r="O609" s="15"/>
      <c r="Q609" s="17"/>
      <c r="S609" s="17"/>
      <c r="T609" s="17"/>
      <c r="U609" s="14"/>
      <c r="V609" s="14" t="s">
        <v>1186</v>
      </c>
      <c r="W609" s="2" t="s">
        <v>1186</v>
      </c>
      <c r="X609" s="2" t="s">
        <v>1186</v>
      </c>
      <c r="Y609" s="13"/>
      <c r="Z609" s="14">
        <v>0.0</v>
      </c>
      <c r="AA609" s="14">
        <v>0.0</v>
      </c>
      <c r="AB609" s="14">
        <v>0.0</v>
      </c>
      <c r="AC609" s="14">
        <v>0.0</v>
      </c>
      <c r="AD609" s="2">
        <v>0.0</v>
      </c>
      <c r="AE609" s="2">
        <v>0.0</v>
      </c>
      <c r="AF609" s="2" t="s">
        <v>1186</v>
      </c>
      <c r="AG609" s="2" t="s">
        <v>1186</v>
      </c>
      <c r="AH609" s="2">
        <v>0.0</v>
      </c>
    </row>
    <row r="610" ht="15.75" customHeight="1">
      <c r="B610" s="12"/>
      <c r="C610" s="13"/>
      <c r="D610" s="14"/>
      <c r="E610" s="15"/>
      <c r="G610" s="15"/>
      <c r="O610" s="15"/>
      <c r="Q610" s="17"/>
      <c r="S610" s="17"/>
      <c r="T610" s="17"/>
      <c r="U610" s="14"/>
      <c r="V610" s="14" t="s">
        <v>1186</v>
      </c>
      <c r="W610" s="2" t="s">
        <v>1186</v>
      </c>
      <c r="X610" s="2" t="s">
        <v>1186</v>
      </c>
      <c r="Y610" s="13"/>
      <c r="Z610" s="14">
        <v>0.0</v>
      </c>
      <c r="AA610" s="14">
        <v>0.0</v>
      </c>
      <c r="AB610" s="14">
        <v>0.0</v>
      </c>
      <c r="AC610" s="14">
        <v>0.0</v>
      </c>
      <c r="AD610" s="2">
        <v>0.0</v>
      </c>
      <c r="AE610" s="2">
        <v>0.0</v>
      </c>
      <c r="AF610" s="2" t="s">
        <v>1186</v>
      </c>
      <c r="AG610" s="2" t="s">
        <v>1186</v>
      </c>
      <c r="AH610" s="2">
        <v>0.0</v>
      </c>
    </row>
    <row r="611" ht="15.75" customHeight="1">
      <c r="B611" s="12"/>
      <c r="C611" s="13"/>
      <c r="D611" s="14"/>
      <c r="E611" s="15"/>
      <c r="G611" s="15"/>
      <c r="O611" s="15"/>
      <c r="Q611" s="17"/>
      <c r="S611" s="17"/>
      <c r="T611" s="17"/>
      <c r="U611" s="14"/>
      <c r="V611" s="14" t="s">
        <v>1186</v>
      </c>
      <c r="W611" s="2" t="s">
        <v>1186</v>
      </c>
      <c r="X611" s="2" t="s">
        <v>1186</v>
      </c>
      <c r="Y611" s="13"/>
      <c r="Z611" s="14">
        <v>0.0</v>
      </c>
      <c r="AA611" s="14">
        <v>0.0</v>
      </c>
      <c r="AB611" s="14">
        <v>0.0</v>
      </c>
      <c r="AC611" s="14">
        <v>0.0</v>
      </c>
      <c r="AD611" s="2">
        <v>0.0</v>
      </c>
      <c r="AE611" s="2">
        <v>0.0</v>
      </c>
      <c r="AF611" s="2" t="s">
        <v>1186</v>
      </c>
      <c r="AG611" s="2" t="s">
        <v>1186</v>
      </c>
      <c r="AH611" s="2">
        <v>0.0</v>
      </c>
    </row>
    <row r="612" ht="15.75" customHeight="1">
      <c r="B612" s="12"/>
      <c r="C612" s="13"/>
      <c r="D612" s="14"/>
      <c r="E612" s="15"/>
      <c r="G612" s="15"/>
      <c r="O612" s="15"/>
      <c r="Q612" s="17"/>
      <c r="S612" s="17"/>
      <c r="T612" s="17"/>
      <c r="U612" s="14"/>
      <c r="V612" s="14" t="s">
        <v>1186</v>
      </c>
      <c r="W612" s="2" t="s">
        <v>1186</v>
      </c>
      <c r="X612" s="2" t="s">
        <v>1186</v>
      </c>
      <c r="Y612" s="13"/>
      <c r="Z612" s="14">
        <v>0.0</v>
      </c>
      <c r="AA612" s="14">
        <v>0.0</v>
      </c>
      <c r="AB612" s="14">
        <v>0.0</v>
      </c>
      <c r="AC612" s="14">
        <v>0.0</v>
      </c>
      <c r="AD612" s="2">
        <v>0.0</v>
      </c>
      <c r="AE612" s="2">
        <v>0.0</v>
      </c>
      <c r="AF612" s="2" t="s">
        <v>1186</v>
      </c>
      <c r="AG612" s="2" t="s">
        <v>1186</v>
      </c>
      <c r="AH612" s="2">
        <v>0.0</v>
      </c>
    </row>
    <row r="613" ht="15.75" customHeight="1">
      <c r="B613" s="12"/>
      <c r="C613" s="13"/>
      <c r="D613" s="14"/>
      <c r="E613" s="15"/>
      <c r="G613" s="15"/>
      <c r="O613" s="15"/>
      <c r="Q613" s="17"/>
      <c r="S613" s="17"/>
      <c r="T613" s="17"/>
      <c r="U613" s="14"/>
      <c r="V613" s="14" t="s">
        <v>1186</v>
      </c>
      <c r="W613" s="2" t="s">
        <v>1186</v>
      </c>
      <c r="X613" s="2" t="s">
        <v>1186</v>
      </c>
      <c r="Y613" s="13"/>
      <c r="Z613" s="14">
        <v>0.0</v>
      </c>
      <c r="AA613" s="14">
        <v>0.0</v>
      </c>
      <c r="AB613" s="14">
        <v>0.0</v>
      </c>
      <c r="AC613" s="14">
        <v>0.0</v>
      </c>
      <c r="AD613" s="2">
        <v>0.0</v>
      </c>
      <c r="AE613" s="2">
        <v>0.0</v>
      </c>
      <c r="AF613" s="2" t="s">
        <v>1186</v>
      </c>
      <c r="AG613" s="2" t="s">
        <v>1186</v>
      </c>
      <c r="AH613" s="2">
        <v>0.0</v>
      </c>
    </row>
    <row r="614" ht="15.75" customHeight="1">
      <c r="B614" s="12"/>
      <c r="C614" s="13"/>
      <c r="D614" s="14"/>
      <c r="E614" s="15"/>
      <c r="G614" s="15"/>
      <c r="O614" s="15"/>
      <c r="Q614" s="17"/>
      <c r="S614" s="17"/>
      <c r="T614" s="17"/>
      <c r="U614" s="14"/>
      <c r="V614" s="14" t="s">
        <v>1186</v>
      </c>
      <c r="W614" s="2" t="s">
        <v>1186</v>
      </c>
      <c r="X614" s="2" t="s">
        <v>1186</v>
      </c>
      <c r="Y614" s="13"/>
      <c r="Z614" s="14">
        <v>0.0</v>
      </c>
      <c r="AA614" s="14">
        <v>0.0</v>
      </c>
      <c r="AB614" s="14">
        <v>0.0</v>
      </c>
      <c r="AC614" s="14">
        <v>0.0</v>
      </c>
      <c r="AD614" s="2">
        <v>0.0</v>
      </c>
      <c r="AE614" s="2">
        <v>0.0</v>
      </c>
      <c r="AF614" s="2" t="s">
        <v>1186</v>
      </c>
      <c r="AG614" s="2" t="s">
        <v>1186</v>
      </c>
      <c r="AH614" s="2">
        <v>0.0</v>
      </c>
    </row>
    <row r="615" ht="15.75" customHeight="1">
      <c r="B615" s="12"/>
      <c r="C615" s="13"/>
      <c r="D615" s="14"/>
      <c r="E615" s="15"/>
      <c r="G615" s="15"/>
      <c r="O615" s="15"/>
      <c r="Q615" s="17"/>
      <c r="S615" s="17"/>
      <c r="T615" s="17"/>
      <c r="U615" s="14"/>
      <c r="V615" s="14" t="s">
        <v>1186</v>
      </c>
      <c r="W615" s="2" t="s">
        <v>1186</v>
      </c>
      <c r="X615" s="2" t="s">
        <v>1186</v>
      </c>
      <c r="Y615" s="13"/>
      <c r="Z615" s="14">
        <v>0.0</v>
      </c>
      <c r="AA615" s="14">
        <v>0.0</v>
      </c>
      <c r="AB615" s="14">
        <v>0.0</v>
      </c>
      <c r="AC615" s="14">
        <v>0.0</v>
      </c>
      <c r="AD615" s="2">
        <v>0.0</v>
      </c>
      <c r="AE615" s="2">
        <v>0.0</v>
      </c>
      <c r="AF615" s="2" t="s">
        <v>1186</v>
      </c>
      <c r="AG615" s="2" t="s">
        <v>1186</v>
      </c>
      <c r="AH615" s="2">
        <v>0.0</v>
      </c>
    </row>
    <row r="616" ht="15.75" customHeight="1">
      <c r="B616" s="12"/>
      <c r="C616" s="13"/>
      <c r="D616" s="14"/>
      <c r="E616" s="15"/>
      <c r="G616" s="15"/>
      <c r="O616" s="15"/>
      <c r="Q616" s="17"/>
      <c r="S616" s="17"/>
      <c r="T616" s="17"/>
      <c r="U616" s="14"/>
      <c r="V616" s="14" t="s">
        <v>1186</v>
      </c>
      <c r="W616" s="2" t="s">
        <v>1186</v>
      </c>
      <c r="X616" s="2" t="s">
        <v>1186</v>
      </c>
      <c r="Y616" s="13"/>
      <c r="Z616" s="14">
        <v>0.0</v>
      </c>
      <c r="AA616" s="14">
        <v>0.0</v>
      </c>
      <c r="AB616" s="14">
        <v>0.0</v>
      </c>
      <c r="AC616" s="14">
        <v>0.0</v>
      </c>
      <c r="AD616" s="2">
        <v>0.0</v>
      </c>
      <c r="AE616" s="2">
        <v>0.0</v>
      </c>
      <c r="AF616" s="2" t="s">
        <v>1186</v>
      </c>
      <c r="AG616" s="2" t="s">
        <v>1186</v>
      </c>
      <c r="AH616" s="2">
        <v>0.0</v>
      </c>
    </row>
    <row r="617" ht="15.75" customHeight="1">
      <c r="B617" s="12"/>
      <c r="C617" s="13"/>
      <c r="D617" s="14"/>
      <c r="E617" s="15"/>
      <c r="G617" s="15"/>
      <c r="O617" s="15"/>
      <c r="Q617" s="17"/>
      <c r="S617" s="17"/>
      <c r="T617" s="17"/>
      <c r="U617" s="14"/>
      <c r="V617" s="14" t="s">
        <v>1186</v>
      </c>
      <c r="W617" s="2" t="s">
        <v>1186</v>
      </c>
      <c r="X617" s="2" t="s">
        <v>1186</v>
      </c>
      <c r="Y617" s="13"/>
      <c r="Z617" s="14">
        <v>0.0</v>
      </c>
      <c r="AA617" s="14">
        <v>0.0</v>
      </c>
      <c r="AB617" s="14">
        <v>0.0</v>
      </c>
      <c r="AC617" s="14">
        <v>0.0</v>
      </c>
      <c r="AD617" s="2">
        <v>0.0</v>
      </c>
      <c r="AE617" s="2">
        <v>0.0</v>
      </c>
      <c r="AF617" s="2" t="s">
        <v>1186</v>
      </c>
      <c r="AG617" s="2" t="s">
        <v>1186</v>
      </c>
      <c r="AH617" s="2">
        <v>0.0</v>
      </c>
    </row>
    <row r="618" ht="15.75" customHeight="1">
      <c r="B618" s="12"/>
      <c r="C618" s="13"/>
      <c r="D618" s="14"/>
      <c r="E618" s="15"/>
      <c r="G618" s="15"/>
      <c r="O618" s="15"/>
      <c r="Q618" s="17"/>
      <c r="S618" s="17"/>
      <c r="T618" s="17"/>
      <c r="U618" s="14"/>
      <c r="V618" s="14" t="s">
        <v>1186</v>
      </c>
      <c r="W618" s="2" t="s">
        <v>1186</v>
      </c>
      <c r="X618" s="2" t="s">
        <v>1186</v>
      </c>
      <c r="Y618" s="13"/>
      <c r="Z618" s="14">
        <v>0.0</v>
      </c>
      <c r="AA618" s="14">
        <v>0.0</v>
      </c>
      <c r="AB618" s="14">
        <v>0.0</v>
      </c>
      <c r="AC618" s="14">
        <v>0.0</v>
      </c>
      <c r="AD618" s="2">
        <v>0.0</v>
      </c>
      <c r="AE618" s="2">
        <v>0.0</v>
      </c>
      <c r="AF618" s="2" t="s">
        <v>1186</v>
      </c>
      <c r="AG618" s="2" t="s">
        <v>1186</v>
      </c>
      <c r="AH618" s="2">
        <v>0.0</v>
      </c>
    </row>
    <row r="619" ht="15.75" customHeight="1">
      <c r="B619" s="12"/>
      <c r="C619" s="13"/>
      <c r="D619" s="14"/>
      <c r="E619" s="15"/>
      <c r="G619" s="15"/>
      <c r="O619" s="15"/>
      <c r="Q619" s="17"/>
      <c r="S619" s="17"/>
      <c r="T619" s="17"/>
      <c r="U619" s="14"/>
      <c r="V619" s="14" t="s">
        <v>1186</v>
      </c>
      <c r="W619" s="2" t="s">
        <v>1186</v>
      </c>
      <c r="X619" s="2" t="s">
        <v>1186</v>
      </c>
      <c r="Y619" s="13"/>
      <c r="Z619" s="14">
        <v>0.0</v>
      </c>
      <c r="AA619" s="14">
        <v>0.0</v>
      </c>
      <c r="AB619" s="14">
        <v>0.0</v>
      </c>
      <c r="AC619" s="14">
        <v>0.0</v>
      </c>
      <c r="AD619" s="2">
        <v>0.0</v>
      </c>
      <c r="AE619" s="2">
        <v>0.0</v>
      </c>
      <c r="AF619" s="2" t="s">
        <v>1186</v>
      </c>
      <c r="AG619" s="2" t="s">
        <v>1186</v>
      </c>
      <c r="AH619" s="2">
        <v>0.0</v>
      </c>
    </row>
    <row r="620" ht="15.75" customHeight="1">
      <c r="B620" s="12"/>
      <c r="C620" s="13"/>
      <c r="D620" s="14"/>
      <c r="E620" s="15"/>
      <c r="G620" s="15"/>
      <c r="O620" s="15"/>
      <c r="Q620" s="17"/>
      <c r="S620" s="17"/>
      <c r="T620" s="17"/>
      <c r="U620" s="14"/>
      <c r="V620" s="14" t="s">
        <v>1186</v>
      </c>
      <c r="W620" s="2" t="s">
        <v>1186</v>
      </c>
      <c r="X620" s="2" t="s">
        <v>1186</v>
      </c>
      <c r="Y620" s="13"/>
      <c r="Z620" s="14">
        <v>0.0</v>
      </c>
      <c r="AA620" s="14">
        <v>0.0</v>
      </c>
      <c r="AB620" s="14">
        <v>0.0</v>
      </c>
      <c r="AC620" s="14">
        <v>0.0</v>
      </c>
      <c r="AD620" s="2">
        <v>0.0</v>
      </c>
      <c r="AE620" s="2">
        <v>0.0</v>
      </c>
      <c r="AF620" s="2" t="s">
        <v>1186</v>
      </c>
      <c r="AG620" s="2" t="s">
        <v>1186</v>
      </c>
      <c r="AH620" s="2">
        <v>0.0</v>
      </c>
    </row>
    <row r="621" ht="15.75" customHeight="1">
      <c r="B621" s="12"/>
      <c r="C621" s="13"/>
      <c r="D621" s="14"/>
      <c r="E621" s="15"/>
      <c r="G621" s="15"/>
      <c r="O621" s="15"/>
      <c r="Q621" s="17"/>
      <c r="S621" s="17"/>
      <c r="T621" s="17"/>
      <c r="U621" s="14"/>
      <c r="V621" s="14" t="s">
        <v>1186</v>
      </c>
      <c r="W621" s="2" t="s">
        <v>1186</v>
      </c>
      <c r="X621" s="2" t="s">
        <v>1186</v>
      </c>
      <c r="Y621" s="13"/>
      <c r="Z621" s="14">
        <v>0.0</v>
      </c>
      <c r="AA621" s="14">
        <v>0.0</v>
      </c>
      <c r="AB621" s="14">
        <v>0.0</v>
      </c>
      <c r="AC621" s="14">
        <v>0.0</v>
      </c>
      <c r="AD621" s="2">
        <v>0.0</v>
      </c>
      <c r="AE621" s="2">
        <v>0.0</v>
      </c>
      <c r="AF621" s="2" t="s">
        <v>1186</v>
      </c>
      <c r="AG621" s="2" t="s">
        <v>1186</v>
      </c>
      <c r="AH621" s="2">
        <v>0.0</v>
      </c>
    </row>
    <row r="622" ht="15.75" customHeight="1">
      <c r="B622" s="12"/>
      <c r="C622" s="13"/>
      <c r="D622" s="14"/>
      <c r="E622" s="15"/>
      <c r="G622" s="15"/>
      <c r="O622" s="15"/>
      <c r="Q622" s="17"/>
      <c r="S622" s="17"/>
      <c r="T622" s="17"/>
      <c r="U622" s="14"/>
      <c r="V622" s="14" t="s">
        <v>1186</v>
      </c>
      <c r="W622" s="2" t="s">
        <v>1186</v>
      </c>
      <c r="X622" s="2" t="s">
        <v>1186</v>
      </c>
      <c r="Y622" s="13"/>
      <c r="Z622" s="14">
        <v>0.0</v>
      </c>
      <c r="AA622" s="14">
        <v>0.0</v>
      </c>
      <c r="AB622" s="14">
        <v>0.0</v>
      </c>
      <c r="AC622" s="14">
        <v>0.0</v>
      </c>
      <c r="AD622" s="2">
        <v>0.0</v>
      </c>
      <c r="AE622" s="2">
        <v>0.0</v>
      </c>
      <c r="AF622" s="2" t="s">
        <v>1186</v>
      </c>
      <c r="AG622" s="2" t="s">
        <v>1186</v>
      </c>
      <c r="AH622" s="2">
        <v>0.0</v>
      </c>
    </row>
    <row r="623" ht="15.75" customHeight="1">
      <c r="B623" s="12"/>
      <c r="C623" s="13"/>
      <c r="D623" s="14"/>
      <c r="E623" s="15"/>
      <c r="G623" s="15"/>
      <c r="O623" s="15"/>
      <c r="Q623" s="17"/>
      <c r="S623" s="17"/>
      <c r="T623" s="17"/>
      <c r="U623" s="14"/>
      <c r="V623" s="14" t="s">
        <v>1186</v>
      </c>
      <c r="W623" s="2" t="s">
        <v>1186</v>
      </c>
      <c r="X623" s="2" t="s">
        <v>1186</v>
      </c>
      <c r="Y623" s="13"/>
      <c r="Z623" s="14">
        <v>0.0</v>
      </c>
      <c r="AA623" s="14">
        <v>0.0</v>
      </c>
      <c r="AB623" s="14">
        <v>0.0</v>
      </c>
      <c r="AC623" s="14">
        <v>0.0</v>
      </c>
      <c r="AD623" s="2">
        <v>0.0</v>
      </c>
      <c r="AE623" s="2">
        <v>0.0</v>
      </c>
      <c r="AF623" s="2" t="s">
        <v>1186</v>
      </c>
      <c r="AG623" s="2" t="s">
        <v>1186</v>
      </c>
      <c r="AH623" s="2">
        <v>0.0</v>
      </c>
    </row>
    <row r="624" ht="15.75" customHeight="1">
      <c r="B624" s="12"/>
      <c r="C624" s="13"/>
      <c r="D624" s="14"/>
      <c r="E624" s="15"/>
      <c r="G624" s="15"/>
      <c r="O624" s="15"/>
      <c r="Q624" s="17"/>
      <c r="S624" s="17"/>
      <c r="T624" s="17"/>
      <c r="U624" s="14"/>
      <c r="V624" s="14" t="s">
        <v>1186</v>
      </c>
      <c r="W624" s="2" t="s">
        <v>1186</v>
      </c>
      <c r="X624" s="2" t="s">
        <v>1186</v>
      </c>
      <c r="Y624" s="13"/>
      <c r="Z624" s="14">
        <v>0.0</v>
      </c>
      <c r="AA624" s="14">
        <v>0.0</v>
      </c>
      <c r="AB624" s="14">
        <v>0.0</v>
      </c>
      <c r="AC624" s="14">
        <v>0.0</v>
      </c>
      <c r="AD624" s="2">
        <v>0.0</v>
      </c>
      <c r="AE624" s="2">
        <v>0.0</v>
      </c>
      <c r="AF624" s="2" t="s">
        <v>1186</v>
      </c>
      <c r="AG624" s="2" t="s">
        <v>1186</v>
      </c>
      <c r="AH624" s="2">
        <v>0.0</v>
      </c>
    </row>
    <row r="625" ht="15.75" customHeight="1">
      <c r="B625" s="12"/>
      <c r="C625" s="13"/>
      <c r="D625" s="14"/>
      <c r="E625" s="15"/>
      <c r="G625" s="15"/>
      <c r="O625" s="15"/>
      <c r="Q625" s="17"/>
      <c r="S625" s="17"/>
      <c r="T625" s="17"/>
      <c r="U625" s="14"/>
      <c r="V625" s="14" t="s">
        <v>1186</v>
      </c>
      <c r="W625" s="2" t="s">
        <v>1186</v>
      </c>
      <c r="X625" s="2" t="s">
        <v>1186</v>
      </c>
      <c r="Y625" s="13"/>
      <c r="Z625" s="14">
        <v>0.0</v>
      </c>
      <c r="AA625" s="14">
        <v>0.0</v>
      </c>
      <c r="AB625" s="14">
        <v>0.0</v>
      </c>
      <c r="AC625" s="14">
        <v>0.0</v>
      </c>
      <c r="AD625" s="2">
        <v>0.0</v>
      </c>
      <c r="AE625" s="2">
        <v>0.0</v>
      </c>
      <c r="AF625" s="2" t="s">
        <v>1186</v>
      </c>
      <c r="AG625" s="2" t="s">
        <v>1186</v>
      </c>
      <c r="AH625" s="2">
        <v>0.0</v>
      </c>
    </row>
    <row r="626" ht="15.75" customHeight="1">
      <c r="B626" s="12"/>
      <c r="C626" s="13"/>
      <c r="D626" s="14"/>
      <c r="E626" s="15"/>
      <c r="G626" s="15"/>
      <c r="O626" s="15"/>
      <c r="Q626" s="17"/>
      <c r="S626" s="17"/>
      <c r="T626" s="17"/>
      <c r="U626" s="14"/>
      <c r="V626" s="14" t="s">
        <v>1186</v>
      </c>
      <c r="W626" s="2" t="s">
        <v>1186</v>
      </c>
      <c r="X626" s="2" t="s">
        <v>1186</v>
      </c>
      <c r="Y626" s="13"/>
      <c r="Z626" s="14">
        <v>0.0</v>
      </c>
      <c r="AA626" s="14">
        <v>0.0</v>
      </c>
      <c r="AB626" s="14">
        <v>0.0</v>
      </c>
      <c r="AC626" s="14">
        <v>0.0</v>
      </c>
      <c r="AD626" s="2">
        <v>0.0</v>
      </c>
      <c r="AE626" s="2">
        <v>0.0</v>
      </c>
      <c r="AF626" s="2" t="s">
        <v>1186</v>
      </c>
      <c r="AG626" s="2" t="s">
        <v>1186</v>
      </c>
      <c r="AH626" s="2">
        <v>0.0</v>
      </c>
    </row>
    <row r="627" ht="15.75" customHeight="1">
      <c r="B627" s="12"/>
      <c r="C627" s="13"/>
      <c r="D627" s="14"/>
      <c r="E627" s="15"/>
      <c r="G627" s="15"/>
      <c r="O627" s="15"/>
      <c r="Q627" s="17"/>
      <c r="S627" s="17"/>
      <c r="T627" s="17"/>
      <c r="U627" s="14"/>
      <c r="V627" s="14" t="s">
        <v>1186</v>
      </c>
      <c r="W627" s="2" t="s">
        <v>1186</v>
      </c>
      <c r="X627" s="2" t="s">
        <v>1186</v>
      </c>
      <c r="Y627" s="13"/>
      <c r="Z627" s="14">
        <v>0.0</v>
      </c>
      <c r="AA627" s="14">
        <v>0.0</v>
      </c>
      <c r="AB627" s="14">
        <v>0.0</v>
      </c>
      <c r="AC627" s="14">
        <v>0.0</v>
      </c>
      <c r="AD627" s="2">
        <v>0.0</v>
      </c>
      <c r="AE627" s="2">
        <v>0.0</v>
      </c>
      <c r="AF627" s="2" t="s">
        <v>1186</v>
      </c>
      <c r="AG627" s="2" t="s">
        <v>1186</v>
      </c>
      <c r="AH627" s="2">
        <v>0.0</v>
      </c>
    </row>
    <row r="628" ht="15.75" customHeight="1">
      <c r="B628" s="12"/>
      <c r="C628" s="13"/>
      <c r="D628" s="14"/>
      <c r="E628" s="15"/>
      <c r="G628" s="15"/>
      <c r="O628" s="15"/>
      <c r="Q628" s="17"/>
      <c r="S628" s="17"/>
      <c r="T628" s="17"/>
      <c r="U628" s="14"/>
      <c r="V628" s="14" t="s">
        <v>1186</v>
      </c>
      <c r="W628" s="2" t="s">
        <v>1186</v>
      </c>
      <c r="X628" s="2" t="s">
        <v>1186</v>
      </c>
      <c r="Y628" s="13"/>
      <c r="Z628" s="14">
        <v>0.0</v>
      </c>
      <c r="AA628" s="14">
        <v>0.0</v>
      </c>
      <c r="AB628" s="14">
        <v>0.0</v>
      </c>
      <c r="AC628" s="14">
        <v>0.0</v>
      </c>
      <c r="AD628" s="2">
        <v>0.0</v>
      </c>
      <c r="AE628" s="2">
        <v>0.0</v>
      </c>
      <c r="AF628" s="2" t="s">
        <v>1186</v>
      </c>
      <c r="AG628" s="2" t="s">
        <v>1186</v>
      </c>
      <c r="AH628" s="2">
        <v>0.0</v>
      </c>
    </row>
    <row r="629" ht="15.75" customHeight="1">
      <c r="B629" s="12"/>
      <c r="C629" s="13"/>
      <c r="D629" s="14"/>
      <c r="E629" s="15"/>
      <c r="G629" s="15"/>
      <c r="O629" s="15"/>
      <c r="Q629" s="17"/>
      <c r="S629" s="17"/>
      <c r="T629" s="17"/>
      <c r="U629" s="14"/>
      <c r="V629" s="14" t="s">
        <v>1186</v>
      </c>
      <c r="W629" s="2" t="s">
        <v>1186</v>
      </c>
      <c r="X629" s="2" t="s">
        <v>1186</v>
      </c>
      <c r="Y629" s="13"/>
      <c r="Z629" s="14">
        <v>0.0</v>
      </c>
      <c r="AA629" s="14">
        <v>0.0</v>
      </c>
      <c r="AB629" s="14">
        <v>0.0</v>
      </c>
      <c r="AC629" s="14">
        <v>0.0</v>
      </c>
      <c r="AD629" s="2">
        <v>0.0</v>
      </c>
      <c r="AE629" s="2">
        <v>0.0</v>
      </c>
      <c r="AF629" s="2" t="s">
        <v>1186</v>
      </c>
      <c r="AG629" s="2" t="s">
        <v>1186</v>
      </c>
      <c r="AH629" s="2">
        <v>0.0</v>
      </c>
    </row>
    <row r="630" ht="15.75" customHeight="1">
      <c r="B630" s="12"/>
      <c r="C630" s="13"/>
      <c r="D630" s="14"/>
      <c r="E630" s="15"/>
      <c r="G630" s="15"/>
      <c r="O630" s="15"/>
      <c r="Q630" s="17"/>
      <c r="S630" s="17"/>
      <c r="T630" s="17"/>
      <c r="U630" s="14"/>
      <c r="V630" s="14" t="s">
        <v>1186</v>
      </c>
      <c r="W630" s="2" t="s">
        <v>1186</v>
      </c>
      <c r="X630" s="2" t="s">
        <v>1186</v>
      </c>
      <c r="Y630" s="13"/>
      <c r="Z630" s="14">
        <v>0.0</v>
      </c>
      <c r="AA630" s="14">
        <v>0.0</v>
      </c>
      <c r="AB630" s="14">
        <v>0.0</v>
      </c>
      <c r="AC630" s="14">
        <v>0.0</v>
      </c>
      <c r="AD630" s="2">
        <v>0.0</v>
      </c>
      <c r="AE630" s="2">
        <v>0.0</v>
      </c>
      <c r="AF630" s="2" t="s">
        <v>1186</v>
      </c>
      <c r="AG630" s="2" t="s">
        <v>1186</v>
      </c>
      <c r="AH630" s="2">
        <v>0.0</v>
      </c>
    </row>
    <row r="631" ht="15.75" customHeight="1">
      <c r="B631" s="12"/>
      <c r="C631" s="13"/>
      <c r="D631" s="14"/>
      <c r="E631" s="15"/>
      <c r="G631" s="15"/>
      <c r="O631" s="15"/>
      <c r="Q631" s="17"/>
      <c r="S631" s="17"/>
      <c r="T631" s="17"/>
      <c r="U631" s="14"/>
      <c r="V631" s="14" t="s">
        <v>1186</v>
      </c>
      <c r="W631" s="2" t="s">
        <v>1186</v>
      </c>
      <c r="X631" s="2" t="s">
        <v>1186</v>
      </c>
      <c r="Y631" s="13"/>
      <c r="Z631" s="14">
        <v>0.0</v>
      </c>
      <c r="AA631" s="14">
        <v>0.0</v>
      </c>
      <c r="AB631" s="14">
        <v>0.0</v>
      </c>
      <c r="AC631" s="14">
        <v>0.0</v>
      </c>
      <c r="AD631" s="2">
        <v>0.0</v>
      </c>
      <c r="AE631" s="2">
        <v>0.0</v>
      </c>
      <c r="AF631" s="2" t="s">
        <v>1186</v>
      </c>
      <c r="AG631" s="2" t="s">
        <v>1186</v>
      </c>
      <c r="AH631" s="2">
        <v>0.0</v>
      </c>
    </row>
    <row r="632" ht="15.75" customHeight="1">
      <c r="B632" s="12"/>
      <c r="C632" s="13"/>
      <c r="D632" s="14"/>
      <c r="E632" s="15"/>
      <c r="G632" s="15"/>
      <c r="O632" s="15"/>
      <c r="Q632" s="17"/>
      <c r="S632" s="17"/>
      <c r="T632" s="17"/>
      <c r="U632" s="14"/>
      <c r="V632" s="14" t="s">
        <v>1186</v>
      </c>
      <c r="W632" s="2" t="s">
        <v>1186</v>
      </c>
      <c r="X632" s="2" t="s">
        <v>1186</v>
      </c>
      <c r="Y632" s="13"/>
      <c r="Z632" s="14">
        <v>0.0</v>
      </c>
      <c r="AA632" s="14">
        <v>0.0</v>
      </c>
      <c r="AB632" s="14">
        <v>0.0</v>
      </c>
      <c r="AC632" s="14">
        <v>0.0</v>
      </c>
      <c r="AD632" s="2">
        <v>0.0</v>
      </c>
      <c r="AE632" s="2">
        <v>0.0</v>
      </c>
      <c r="AF632" s="2" t="s">
        <v>1186</v>
      </c>
      <c r="AG632" s="2" t="s">
        <v>1186</v>
      </c>
      <c r="AH632" s="2">
        <v>0.0</v>
      </c>
    </row>
    <row r="633" ht="15.75" customHeight="1">
      <c r="B633" s="12"/>
      <c r="C633" s="13"/>
      <c r="D633" s="14"/>
      <c r="E633" s="15"/>
      <c r="G633" s="15"/>
      <c r="O633" s="15"/>
      <c r="Q633" s="17"/>
      <c r="S633" s="17"/>
      <c r="T633" s="17"/>
      <c r="U633" s="14"/>
      <c r="V633" s="14" t="s">
        <v>1186</v>
      </c>
      <c r="W633" s="2" t="s">
        <v>1186</v>
      </c>
      <c r="X633" s="2" t="s">
        <v>1186</v>
      </c>
      <c r="Y633" s="13"/>
      <c r="Z633" s="14">
        <v>0.0</v>
      </c>
      <c r="AA633" s="14">
        <v>0.0</v>
      </c>
      <c r="AB633" s="14">
        <v>0.0</v>
      </c>
      <c r="AC633" s="14">
        <v>0.0</v>
      </c>
      <c r="AD633" s="2">
        <v>0.0</v>
      </c>
      <c r="AE633" s="2">
        <v>0.0</v>
      </c>
      <c r="AF633" s="2" t="s">
        <v>1186</v>
      </c>
      <c r="AG633" s="2" t="s">
        <v>1186</v>
      </c>
      <c r="AH633" s="2">
        <v>0.0</v>
      </c>
    </row>
    <row r="634" ht="15.75" customHeight="1">
      <c r="B634" s="12"/>
      <c r="C634" s="13"/>
      <c r="D634" s="14"/>
      <c r="E634" s="15"/>
      <c r="G634" s="15"/>
      <c r="O634" s="15"/>
      <c r="Q634" s="17"/>
      <c r="S634" s="17"/>
      <c r="T634" s="17"/>
      <c r="U634" s="14"/>
      <c r="V634" s="14" t="s">
        <v>1186</v>
      </c>
      <c r="W634" s="2" t="s">
        <v>1186</v>
      </c>
      <c r="X634" s="2" t="s">
        <v>1186</v>
      </c>
      <c r="Y634" s="13"/>
      <c r="Z634" s="14">
        <v>0.0</v>
      </c>
      <c r="AA634" s="14">
        <v>0.0</v>
      </c>
      <c r="AB634" s="14">
        <v>0.0</v>
      </c>
      <c r="AC634" s="14">
        <v>0.0</v>
      </c>
      <c r="AD634" s="2">
        <v>0.0</v>
      </c>
      <c r="AE634" s="2">
        <v>0.0</v>
      </c>
      <c r="AF634" s="2" t="s">
        <v>1186</v>
      </c>
      <c r="AG634" s="2" t="s">
        <v>1186</v>
      </c>
      <c r="AH634" s="2">
        <v>0.0</v>
      </c>
    </row>
    <row r="635" ht="15.75" customHeight="1">
      <c r="B635" s="12"/>
      <c r="C635" s="13"/>
      <c r="D635" s="14"/>
      <c r="E635" s="15"/>
      <c r="G635" s="15"/>
      <c r="O635" s="15"/>
      <c r="Q635" s="17"/>
      <c r="S635" s="17"/>
      <c r="T635" s="17"/>
      <c r="U635" s="14"/>
      <c r="V635" s="14" t="s">
        <v>1186</v>
      </c>
      <c r="W635" s="2" t="s">
        <v>1186</v>
      </c>
      <c r="X635" s="2" t="s">
        <v>1186</v>
      </c>
      <c r="Y635" s="13"/>
      <c r="Z635" s="14">
        <v>0.0</v>
      </c>
      <c r="AA635" s="14">
        <v>0.0</v>
      </c>
      <c r="AB635" s="14">
        <v>0.0</v>
      </c>
      <c r="AC635" s="14">
        <v>0.0</v>
      </c>
      <c r="AD635" s="2">
        <v>0.0</v>
      </c>
      <c r="AE635" s="2">
        <v>0.0</v>
      </c>
      <c r="AF635" s="2" t="s">
        <v>1186</v>
      </c>
      <c r="AG635" s="2" t="s">
        <v>1186</v>
      </c>
      <c r="AH635" s="2">
        <v>0.0</v>
      </c>
    </row>
    <row r="636" ht="15.75" customHeight="1">
      <c r="B636" s="12"/>
      <c r="C636" s="13"/>
      <c r="D636" s="14"/>
      <c r="E636" s="15"/>
      <c r="G636" s="15"/>
      <c r="O636" s="15"/>
      <c r="Q636" s="17"/>
      <c r="S636" s="17"/>
      <c r="T636" s="17"/>
      <c r="U636" s="14"/>
      <c r="V636" s="14" t="s">
        <v>1186</v>
      </c>
      <c r="W636" s="2" t="s">
        <v>1186</v>
      </c>
      <c r="X636" s="2" t="s">
        <v>1186</v>
      </c>
      <c r="Y636" s="13"/>
      <c r="Z636" s="14">
        <v>0.0</v>
      </c>
      <c r="AA636" s="14">
        <v>0.0</v>
      </c>
      <c r="AB636" s="14">
        <v>0.0</v>
      </c>
      <c r="AC636" s="14">
        <v>0.0</v>
      </c>
      <c r="AD636" s="2">
        <v>0.0</v>
      </c>
      <c r="AE636" s="2">
        <v>0.0</v>
      </c>
      <c r="AF636" s="2" t="s">
        <v>1186</v>
      </c>
      <c r="AG636" s="2" t="s">
        <v>1186</v>
      </c>
      <c r="AH636" s="2">
        <v>0.0</v>
      </c>
    </row>
    <row r="637" ht="15.75" customHeight="1">
      <c r="B637" s="12"/>
      <c r="C637" s="13"/>
      <c r="D637" s="14"/>
      <c r="E637" s="15"/>
      <c r="G637" s="15"/>
      <c r="O637" s="15"/>
      <c r="Q637" s="17"/>
      <c r="S637" s="17"/>
      <c r="T637" s="17"/>
      <c r="U637" s="14"/>
      <c r="V637" s="14" t="s">
        <v>1186</v>
      </c>
      <c r="W637" s="2" t="s">
        <v>1186</v>
      </c>
      <c r="X637" s="2" t="s">
        <v>1186</v>
      </c>
      <c r="Y637" s="13"/>
      <c r="Z637" s="14">
        <v>0.0</v>
      </c>
      <c r="AA637" s="14">
        <v>0.0</v>
      </c>
      <c r="AB637" s="14">
        <v>0.0</v>
      </c>
      <c r="AC637" s="14">
        <v>0.0</v>
      </c>
      <c r="AD637" s="2">
        <v>0.0</v>
      </c>
      <c r="AE637" s="2">
        <v>0.0</v>
      </c>
      <c r="AF637" s="2" t="s">
        <v>1186</v>
      </c>
      <c r="AG637" s="2" t="s">
        <v>1186</v>
      </c>
      <c r="AH637" s="2">
        <v>0.0</v>
      </c>
    </row>
    <row r="638" ht="15.75" customHeight="1">
      <c r="B638" s="12"/>
      <c r="C638" s="13"/>
      <c r="D638" s="14"/>
      <c r="E638" s="15"/>
      <c r="G638" s="15"/>
      <c r="O638" s="15"/>
      <c r="Q638" s="17"/>
      <c r="S638" s="17"/>
      <c r="T638" s="17"/>
      <c r="U638" s="14"/>
      <c r="V638" s="14" t="s">
        <v>1186</v>
      </c>
      <c r="W638" s="2" t="s">
        <v>1186</v>
      </c>
      <c r="X638" s="2" t="s">
        <v>1186</v>
      </c>
      <c r="Y638" s="13"/>
      <c r="Z638" s="14">
        <v>0.0</v>
      </c>
      <c r="AA638" s="14">
        <v>0.0</v>
      </c>
      <c r="AB638" s="14">
        <v>0.0</v>
      </c>
      <c r="AC638" s="14">
        <v>0.0</v>
      </c>
      <c r="AD638" s="2">
        <v>0.0</v>
      </c>
      <c r="AE638" s="2">
        <v>0.0</v>
      </c>
      <c r="AF638" s="2" t="s">
        <v>1186</v>
      </c>
      <c r="AG638" s="2" t="s">
        <v>1186</v>
      </c>
      <c r="AH638" s="2">
        <v>0.0</v>
      </c>
    </row>
    <row r="639" ht="15.75" customHeight="1">
      <c r="B639" s="12"/>
      <c r="C639" s="13"/>
      <c r="D639" s="14"/>
      <c r="E639" s="15"/>
      <c r="G639" s="15"/>
      <c r="O639" s="15"/>
      <c r="Q639" s="17"/>
      <c r="S639" s="17"/>
      <c r="T639" s="17"/>
      <c r="U639" s="14"/>
      <c r="V639" s="14" t="s">
        <v>1186</v>
      </c>
      <c r="W639" s="2" t="s">
        <v>1186</v>
      </c>
      <c r="X639" s="2" t="s">
        <v>1186</v>
      </c>
      <c r="Y639" s="13"/>
      <c r="Z639" s="14">
        <v>0.0</v>
      </c>
      <c r="AA639" s="14">
        <v>0.0</v>
      </c>
      <c r="AB639" s="14">
        <v>0.0</v>
      </c>
      <c r="AC639" s="14">
        <v>0.0</v>
      </c>
      <c r="AD639" s="2">
        <v>0.0</v>
      </c>
      <c r="AE639" s="2">
        <v>0.0</v>
      </c>
      <c r="AF639" s="2" t="s">
        <v>1186</v>
      </c>
      <c r="AG639" s="2" t="s">
        <v>1186</v>
      </c>
      <c r="AH639" s="2">
        <v>0.0</v>
      </c>
    </row>
    <row r="640" ht="15.75" customHeight="1">
      <c r="B640" s="12"/>
      <c r="C640" s="13"/>
      <c r="D640" s="14"/>
      <c r="E640" s="15"/>
      <c r="G640" s="15"/>
      <c r="O640" s="15"/>
      <c r="Q640" s="17"/>
      <c r="S640" s="17"/>
      <c r="T640" s="17"/>
      <c r="U640" s="14"/>
      <c r="V640" s="14" t="s">
        <v>1186</v>
      </c>
      <c r="W640" s="2" t="s">
        <v>1186</v>
      </c>
      <c r="X640" s="2" t="s">
        <v>1186</v>
      </c>
      <c r="Y640" s="13"/>
      <c r="Z640" s="14">
        <v>0.0</v>
      </c>
      <c r="AA640" s="14">
        <v>0.0</v>
      </c>
      <c r="AB640" s="14">
        <v>0.0</v>
      </c>
      <c r="AC640" s="14">
        <v>0.0</v>
      </c>
      <c r="AD640" s="2">
        <v>0.0</v>
      </c>
      <c r="AE640" s="2">
        <v>0.0</v>
      </c>
      <c r="AF640" s="2" t="s">
        <v>1186</v>
      </c>
      <c r="AG640" s="2" t="s">
        <v>1186</v>
      </c>
      <c r="AH640" s="2">
        <v>0.0</v>
      </c>
    </row>
    <row r="641" ht="15.75" customHeight="1">
      <c r="B641" s="12"/>
      <c r="C641" s="13"/>
      <c r="D641" s="14"/>
      <c r="E641" s="15"/>
      <c r="G641" s="15"/>
      <c r="O641" s="15"/>
      <c r="Q641" s="17"/>
      <c r="S641" s="17"/>
      <c r="T641" s="17"/>
      <c r="U641" s="14"/>
      <c r="V641" s="14" t="s">
        <v>1186</v>
      </c>
      <c r="W641" s="2" t="s">
        <v>1186</v>
      </c>
      <c r="X641" s="2" t="s">
        <v>1186</v>
      </c>
      <c r="Y641" s="13"/>
      <c r="Z641" s="14">
        <v>0.0</v>
      </c>
      <c r="AA641" s="14">
        <v>0.0</v>
      </c>
      <c r="AB641" s="14">
        <v>0.0</v>
      </c>
      <c r="AC641" s="14">
        <v>0.0</v>
      </c>
      <c r="AD641" s="2">
        <v>0.0</v>
      </c>
      <c r="AE641" s="2">
        <v>0.0</v>
      </c>
      <c r="AF641" s="2" t="s">
        <v>1186</v>
      </c>
      <c r="AG641" s="2" t="s">
        <v>1186</v>
      </c>
      <c r="AH641" s="2">
        <v>0.0</v>
      </c>
    </row>
    <row r="642" ht="15.75" customHeight="1">
      <c r="B642" s="12"/>
      <c r="C642" s="13"/>
      <c r="D642" s="14"/>
      <c r="E642" s="15"/>
      <c r="G642" s="15"/>
      <c r="O642" s="15"/>
      <c r="Q642" s="17"/>
      <c r="S642" s="17"/>
      <c r="T642" s="17"/>
      <c r="U642" s="14"/>
      <c r="V642" s="14" t="s">
        <v>1186</v>
      </c>
      <c r="W642" s="2" t="s">
        <v>1186</v>
      </c>
      <c r="X642" s="2" t="s">
        <v>1186</v>
      </c>
      <c r="Y642" s="13"/>
      <c r="Z642" s="14">
        <v>0.0</v>
      </c>
      <c r="AA642" s="14">
        <v>0.0</v>
      </c>
      <c r="AB642" s="14">
        <v>0.0</v>
      </c>
      <c r="AC642" s="14">
        <v>0.0</v>
      </c>
      <c r="AD642" s="2">
        <v>0.0</v>
      </c>
      <c r="AE642" s="2">
        <v>0.0</v>
      </c>
      <c r="AF642" s="2" t="s">
        <v>1186</v>
      </c>
      <c r="AG642" s="2" t="s">
        <v>1186</v>
      </c>
      <c r="AH642" s="2">
        <v>0.0</v>
      </c>
    </row>
    <row r="643" ht="15.75" customHeight="1">
      <c r="B643" s="12"/>
      <c r="C643" s="13"/>
      <c r="D643" s="14"/>
      <c r="E643" s="15"/>
      <c r="G643" s="15"/>
      <c r="O643" s="15"/>
      <c r="Q643" s="17"/>
      <c r="S643" s="17"/>
      <c r="T643" s="17"/>
      <c r="U643" s="14"/>
      <c r="V643" s="14" t="s">
        <v>1186</v>
      </c>
      <c r="W643" s="2" t="s">
        <v>1186</v>
      </c>
      <c r="X643" s="2" t="s">
        <v>1186</v>
      </c>
      <c r="Y643" s="13"/>
      <c r="Z643" s="14">
        <v>0.0</v>
      </c>
      <c r="AA643" s="14">
        <v>0.0</v>
      </c>
      <c r="AB643" s="14">
        <v>0.0</v>
      </c>
      <c r="AC643" s="14">
        <v>0.0</v>
      </c>
      <c r="AD643" s="2">
        <v>0.0</v>
      </c>
      <c r="AE643" s="2">
        <v>0.0</v>
      </c>
      <c r="AF643" s="2" t="s">
        <v>1186</v>
      </c>
      <c r="AG643" s="2" t="s">
        <v>1186</v>
      </c>
      <c r="AH643" s="2">
        <v>0.0</v>
      </c>
    </row>
    <row r="644" ht="15.75" customHeight="1">
      <c r="B644" s="12"/>
      <c r="C644" s="13"/>
      <c r="D644" s="14"/>
      <c r="E644" s="15"/>
      <c r="G644" s="15"/>
      <c r="O644" s="15"/>
      <c r="Q644" s="17"/>
      <c r="S644" s="17"/>
      <c r="T644" s="17"/>
      <c r="U644" s="14"/>
      <c r="V644" s="14" t="s">
        <v>1186</v>
      </c>
      <c r="W644" s="2" t="s">
        <v>1186</v>
      </c>
      <c r="X644" s="2" t="s">
        <v>1186</v>
      </c>
      <c r="Y644" s="13"/>
      <c r="Z644" s="14">
        <v>0.0</v>
      </c>
      <c r="AA644" s="14">
        <v>0.0</v>
      </c>
      <c r="AB644" s="14">
        <v>0.0</v>
      </c>
      <c r="AC644" s="14">
        <v>0.0</v>
      </c>
      <c r="AD644" s="2">
        <v>0.0</v>
      </c>
      <c r="AE644" s="2">
        <v>0.0</v>
      </c>
      <c r="AF644" s="2" t="s">
        <v>1186</v>
      </c>
      <c r="AG644" s="2" t="s">
        <v>1186</v>
      </c>
      <c r="AH644" s="2">
        <v>0.0</v>
      </c>
    </row>
    <row r="645" ht="15.75" customHeight="1">
      <c r="B645" s="12"/>
      <c r="C645" s="13"/>
      <c r="D645" s="14"/>
      <c r="E645" s="15"/>
      <c r="G645" s="15"/>
      <c r="O645" s="15"/>
      <c r="Q645" s="17"/>
      <c r="S645" s="17"/>
      <c r="T645" s="17"/>
      <c r="U645" s="14"/>
      <c r="V645" s="14" t="s">
        <v>1186</v>
      </c>
      <c r="W645" s="2" t="s">
        <v>1186</v>
      </c>
      <c r="X645" s="2" t="s">
        <v>1186</v>
      </c>
      <c r="Y645" s="13"/>
      <c r="Z645" s="14">
        <v>0.0</v>
      </c>
      <c r="AA645" s="14">
        <v>0.0</v>
      </c>
      <c r="AB645" s="14">
        <v>0.0</v>
      </c>
      <c r="AC645" s="14">
        <v>0.0</v>
      </c>
      <c r="AD645" s="2">
        <v>0.0</v>
      </c>
      <c r="AE645" s="2">
        <v>0.0</v>
      </c>
      <c r="AF645" s="2" t="s">
        <v>1186</v>
      </c>
      <c r="AG645" s="2" t="s">
        <v>1186</v>
      </c>
      <c r="AH645" s="2">
        <v>0.0</v>
      </c>
    </row>
    <row r="646" ht="15.75" customHeight="1">
      <c r="B646" s="12"/>
      <c r="C646" s="13"/>
      <c r="D646" s="14"/>
      <c r="E646" s="15"/>
      <c r="G646" s="15"/>
      <c r="O646" s="15"/>
      <c r="Q646" s="17"/>
      <c r="S646" s="17"/>
      <c r="T646" s="17"/>
      <c r="U646" s="14"/>
      <c r="V646" s="14" t="s">
        <v>1186</v>
      </c>
      <c r="W646" s="2" t="s">
        <v>1186</v>
      </c>
      <c r="X646" s="2" t="s">
        <v>1186</v>
      </c>
      <c r="Y646" s="13"/>
      <c r="Z646" s="14">
        <v>0.0</v>
      </c>
      <c r="AA646" s="14">
        <v>0.0</v>
      </c>
      <c r="AB646" s="14">
        <v>0.0</v>
      </c>
      <c r="AC646" s="14">
        <v>0.0</v>
      </c>
      <c r="AD646" s="2">
        <v>0.0</v>
      </c>
      <c r="AE646" s="2">
        <v>0.0</v>
      </c>
      <c r="AF646" s="2" t="s">
        <v>1186</v>
      </c>
      <c r="AG646" s="2" t="s">
        <v>1186</v>
      </c>
      <c r="AH646" s="2">
        <v>0.0</v>
      </c>
    </row>
    <row r="647" ht="15.75" customHeight="1">
      <c r="B647" s="12"/>
      <c r="C647" s="13"/>
      <c r="D647" s="14"/>
      <c r="E647" s="15"/>
      <c r="G647" s="15"/>
      <c r="O647" s="15"/>
      <c r="Q647" s="17"/>
      <c r="S647" s="17"/>
      <c r="T647" s="17"/>
      <c r="U647" s="14"/>
      <c r="V647" s="14" t="s">
        <v>1186</v>
      </c>
      <c r="W647" s="2" t="s">
        <v>1186</v>
      </c>
      <c r="X647" s="2" t="s">
        <v>1186</v>
      </c>
      <c r="Y647" s="13"/>
      <c r="Z647" s="14">
        <v>0.0</v>
      </c>
      <c r="AA647" s="14">
        <v>0.0</v>
      </c>
      <c r="AB647" s="14">
        <v>0.0</v>
      </c>
      <c r="AC647" s="14">
        <v>0.0</v>
      </c>
      <c r="AD647" s="2">
        <v>0.0</v>
      </c>
      <c r="AE647" s="2">
        <v>0.0</v>
      </c>
      <c r="AF647" s="2" t="s">
        <v>1186</v>
      </c>
      <c r="AG647" s="2" t="s">
        <v>1186</v>
      </c>
      <c r="AH647" s="2">
        <v>0.0</v>
      </c>
    </row>
    <row r="648" ht="15.75" customHeight="1">
      <c r="B648" s="12"/>
      <c r="C648" s="13"/>
      <c r="D648" s="14"/>
      <c r="E648" s="15"/>
      <c r="G648" s="15"/>
      <c r="O648" s="15"/>
      <c r="Q648" s="17"/>
      <c r="S648" s="17"/>
      <c r="T648" s="17"/>
      <c r="U648" s="14"/>
      <c r="V648" s="14" t="s">
        <v>1186</v>
      </c>
      <c r="W648" s="2" t="s">
        <v>1186</v>
      </c>
      <c r="X648" s="2" t="s">
        <v>1186</v>
      </c>
      <c r="Y648" s="13"/>
      <c r="Z648" s="14">
        <v>0.0</v>
      </c>
      <c r="AA648" s="14">
        <v>0.0</v>
      </c>
      <c r="AB648" s="14">
        <v>0.0</v>
      </c>
      <c r="AC648" s="14">
        <v>0.0</v>
      </c>
      <c r="AD648" s="2">
        <v>0.0</v>
      </c>
      <c r="AE648" s="2">
        <v>0.0</v>
      </c>
      <c r="AF648" s="2" t="s">
        <v>1186</v>
      </c>
      <c r="AG648" s="2" t="s">
        <v>1186</v>
      </c>
      <c r="AH648" s="2">
        <v>0.0</v>
      </c>
    </row>
    <row r="649" ht="15.75" customHeight="1">
      <c r="B649" s="12"/>
      <c r="C649" s="13"/>
      <c r="D649" s="14"/>
      <c r="E649" s="15"/>
      <c r="G649" s="15"/>
      <c r="O649" s="15"/>
      <c r="Q649" s="17"/>
      <c r="S649" s="17"/>
      <c r="T649" s="17"/>
      <c r="U649" s="14"/>
      <c r="V649" s="14" t="s">
        <v>1186</v>
      </c>
      <c r="W649" s="2" t="s">
        <v>1186</v>
      </c>
      <c r="X649" s="2" t="s">
        <v>1186</v>
      </c>
      <c r="Y649" s="13"/>
      <c r="Z649" s="14">
        <v>0.0</v>
      </c>
      <c r="AA649" s="14">
        <v>0.0</v>
      </c>
      <c r="AB649" s="14">
        <v>0.0</v>
      </c>
      <c r="AC649" s="14">
        <v>0.0</v>
      </c>
      <c r="AD649" s="2">
        <v>0.0</v>
      </c>
      <c r="AE649" s="2">
        <v>0.0</v>
      </c>
      <c r="AF649" s="2" t="s">
        <v>1186</v>
      </c>
      <c r="AG649" s="2" t="s">
        <v>1186</v>
      </c>
      <c r="AH649" s="2">
        <v>0.0</v>
      </c>
    </row>
    <row r="650" ht="15.75" customHeight="1">
      <c r="B650" s="12"/>
      <c r="C650" s="13"/>
      <c r="D650" s="14"/>
      <c r="E650" s="15"/>
      <c r="G650" s="15"/>
      <c r="O650" s="15"/>
      <c r="Q650" s="17"/>
      <c r="S650" s="17"/>
      <c r="T650" s="17"/>
      <c r="U650" s="14"/>
      <c r="V650" s="14" t="s">
        <v>1186</v>
      </c>
      <c r="W650" s="2" t="s">
        <v>1186</v>
      </c>
      <c r="X650" s="2" t="s">
        <v>1186</v>
      </c>
      <c r="Y650" s="13"/>
      <c r="Z650" s="14">
        <v>0.0</v>
      </c>
      <c r="AA650" s="14">
        <v>0.0</v>
      </c>
      <c r="AB650" s="14">
        <v>0.0</v>
      </c>
      <c r="AC650" s="14">
        <v>0.0</v>
      </c>
      <c r="AD650" s="2">
        <v>0.0</v>
      </c>
      <c r="AE650" s="2">
        <v>0.0</v>
      </c>
      <c r="AF650" s="2" t="s">
        <v>1186</v>
      </c>
      <c r="AG650" s="2" t="s">
        <v>1186</v>
      </c>
      <c r="AH650" s="2">
        <v>0.0</v>
      </c>
    </row>
    <row r="651" ht="15.75" customHeight="1">
      <c r="B651" s="12"/>
      <c r="C651" s="13"/>
      <c r="D651" s="14"/>
      <c r="E651" s="15"/>
      <c r="G651" s="15"/>
      <c r="O651" s="15"/>
      <c r="Q651" s="17"/>
      <c r="S651" s="17"/>
      <c r="T651" s="17"/>
      <c r="U651" s="14"/>
      <c r="V651" s="14" t="s">
        <v>1186</v>
      </c>
      <c r="W651" s="2" t="s">
        <v>1186</v>
      </c>
      <c r="X651" s="2" t="s">
        <v>1186</v>
      </c>
      <c r="Y651" s="13"/>
      <c r="Z651" s="14">
        <v>0.0</v>
      </c>
      <c r="AA651" s="14">
        <v>0.0</v>
      </c>
      <c r="AB651" s="14">
        <v>0.0</v>
      </c>
      <c r="AC651" s="14">
        <v>0.0</v>
      </c>
      <c r="AD651" s="2">
        <v>0.0</v>
      </c>
      <c r="AE651" s="2">
        <v>0.0</v>
      </c>
      <c r="AF651" s="2" t="s">
        <v>1186</v>
      </c>
      <c r="AG651" s="2" t="s">
        <v>1186</v>
      </c>
      <c r="AH651" s="2">
        <v>0.0</v>
      </c>
    </row>
    <row r="652" ht="15.75" customHeight="1">
      <c r="B652" s="12"/>
      <c r="C652" s="13"/>
      <c r="D652" s="14"/>
      <c r="E652" s="15"/>
      <c r="G652" s="15"/>
      <c r="O652" s="15"/>
      <c r="Q652" s="17"/>
      <c r="S652" s="17"/>
      <c r="T652" s="17"/>
      <c r="U652" s="14"/>
      <c r="V652" s="14" t="s">
        <v>1186</v>
      </c>
      <c r="W652" s="2" t="s">
        <v>1186</v>
      </c>
      <c r="X652" s="2" t="s">
        <v>1186</v>
      </c>
      <c r="Y652" s="13"/>
      <c r="Z652" s="14">
        <v>0.0</v>
      </c>
      <c r="AA652" s="14">
        <v>0.0</v>
      </c>
      <c r="AB652" s="14">
        <v>0.0</v>
      </c>
      <c r="AC652" s="14">
        <v>0.0</v>
      </c>
      <c r="AD652" s="2">
        <v>0.0</v>
      </c>
      <c r="AE652" s="2">
        <v>0.0</v>
      </c>
      <c r="AF652" s="2" t="s">
        <v>1186</v>
      </c>
      <c r="AG652" s="2" t="s">
        <v>1186</v>
      </c>
      <c r="AH652" s="2">
        <v>0.0</v>
      </c>
    </row>
    <row r="653" ht="15.75" customHeight="1">
      <c r="B653" s="12"/>
      <c r="C653" s="13"/>
      <c r="D653" s="14"/>
      <c r="E653" s="15"/>
      <c r="G653" s="15"/>
      <c r="O653" s="15"/>
      <c r="Q653" s="17"/>
      <c r="S653" s="17"/>
      <c r="T653" s="17"/>
      <c r="U653" s="14"/>
      <c r="V653" s="14" t="s">
        <v>1186</v>
      </c>
      <c r="W653" s="2" t="s">
        <v>1186</v>
      </c>
      <c r="X653" s="2" t="s">
        <v>1186</v>
      </c>
      <c r="Y653" s="13"/>
      <c r="Z653" s="14">
        <v>0.0</v>
      </c>
      <c r="AA653" s="14">
        <v>0.0</v>
      </c>
      <c r="AB653" s="14">
        <v>0.0</v>
      </c>
      <c r="AC653" s="14">
        <v>0.0</v>
      </c>
      <c r="AD653" s="2">
        <v>0.0</v>
      </c>
      <c r="AE653" s="2">
        <v>0.0</v>
      </c>
      <c r="AF653" s="2" t="s">
        <v>1186</v>
      </c>
      <c r="AG653" s="2" t="s">
        <v>1186</v>
      </c>
      <c r="AH653" s="2">
        <v>0.0</v>
      </c>
    </row>
    <row r="654" ht="15.75" customHeight="1">
      <c r="B654" s="12"/>
      <c r="C654" s="13"/>
      <c r="D654" s="14"/>
      <c r="E654" s="15"/>
      <c r="G654" s="15"/>
      <c r="O654" s="15"/>
      <c r="Q654" s="17"/>
      <c r="S654" s="17"/>
      <c r="T654" s="17"/>
      <c r="U654" s="14"/>
      <c r="V654" s="14" t="s">
        <v>1186</v>
      </c>
      <c r="W654" s="2" t="s">
        <v>1186</v>
      </c>
      <c r="X654" s="2" t="s">
        <v>1186</v>
      </c>
      <c r="Y654" s="13"/>
      <c r="Z654" s="14">
        <v>0.0</v>
      </c>
      <c r="AA654" s="14">
        <v>0.0</v>
      </c>
      <c r="AB654" s="14">
        <v>0.0</v>
      </c>
      <c r="AC654" s="14">
        <v>0.0</v>
      </c>
      <c r="AD654" s="2">
        <v>0.0</v>
      </c>
      <c r="AE654" s="2">
        <v>0.0</v>
      </c>
      <c r="AF654" s="2" t="s">
        <v>1186</v>
      </c>
      <c r="AG654" s="2" t="s">
        <v>1186</v>
      </c>
      <c r="AH654" s="2">
        <v>0.0</v>
      </c>
    </row>
    <row r="655" ht="15.75" customHeight="1">
      <c r="B655" s="12"/>
      <c r="C655" s="13"/>
      <c r="D655" s="14"/>
      <c r="E655" s="15"/>
      <c r="G655" s="15"/>
      <c r="O655" s="15"/>
      <c r="Q655" s="17"/>
      <c r="S655" s="17"/>
      <c r="T655" s="17"/>
      <c r="U655" s="14"/>
      <c r="V655" s="14" t="s">
        <v>1186</v>
      </c>
      <c r="W655" s="2" t="s">
        <v>1186</v>
      </c>
      <c r="X655" s="2" t="s">
        <v>1186</v>
      </c>
      <c r="Y655" s="13"/>
      <c r="Z655" s="14">
        <v>0.0</v>
      </c>
      <c r="AA655" s="14">
        <v>0.0</v>
      </c>
      <c r="AB655" s="14">
        <v>0.0</v>
      </c>
      <c r="AC655" s="14">
        <v>0.0</v>
      </c>
      <c r="AD655" s="2">
        <v>0.0</v>
      </c>
      <c r="AE655" s="2">
        <v>0.0</v>
      </c>
      <c r="AF655" s="2" t="s">
        <v>1186</v>
      </c>
      <c r="AG655" s="2" t="s">
        <v>1186</v>
      </c>
      <c r="AH655" s="2">
        <v>0.0</v>
      </c>
    </row>
    <row r="656" ht="15.75" customHeight="1">
      <c r="B656" s="12"/>
      <c r="C656" s="13"/>
      <c r="D656" s="14"/>
      <c r="E656" s="15"/>
      <c r="G656" s="15"/>
      <c r="O656" s="15"/>
      <c r="Q656" s="17"/>
      <c r="S656" s="17"/>
      <c r="T656" s="17"/>
      <c r="U656" s="14"/>
      <c r="V656" s="14" t="s">
        <v>1186</v>
      </c>
      <c r="W656" s="2" t="s">
        <v>1186</v>
      </c>
      <c r="X656" s="2" t="s">
        <v>1186</v>
      </c>
      <c r="Y656" s="13"/>
      <c r="Z656" s="14">
        <v>0.0</v>
      </c>
      <c r="AA656" s="14">
        <v>0.0</v>
      </c>
      <c r="AB656" s="14">
        <v>0.0</v>
      </c>
      <c r="AC656" s="14">
        <v>0.0</v>
      </c>
      <c r="AD656" s="2">
        <v>0.0</v>
      </c>
      <c r="AE656" s="2">
        <v>0.0</v>
      </c>
      <c r="AF656" s="2" t="s">
        <v>1186</v>
      </c>
      <c r="AG656" s="2" t="s">
        <v>1186</v>
      </c>
      <c r="AH656" s="2">
        <v>0.0</v>
      </c>
    </row>
    <row r="657" ht="15.75" customHeight="1">
      <c r="B657" s="12"/>
      <c r="C657" s="13"/>
      <c r="D657" s="14"/>
      <c r="E657" s="15"/>
      <c r="G657" s="15"/>
      <c r="O657" s="15"/>
      <c r="Q657" s="17"/>
      <c r="S657" s="17"/>
      <c r="T657" s="17"/>
      <c r="U657" s="14"/>
      <c r="V657" s="14" t="s">
        <v>1186</v>
      </c>
      <c r="W657" s="2" t="s">
        <v>1186</v>
      </c>
      <c r="X657" s="2" t="s">
        <v>1186</v>
      </c>
      <c r="Y657" s="13"/>
      <c r="Z657" s="14">
        <v>0.0</v>
      </c>
      <c r="AA657" s="14">
        <v>0.0</v>
      </c>
      <c r="AB657" s="14">
        <v>0.0</v>
      </c>
      <c r="AC657" s="14">
        <v>0.0</v>
      </c>
      <c r="AD657" s="2">
        <v>0.0</v>
      </c>
      <c r="AE657" s="2">
        <v>0.0</v>
      </c>
      <c r="AF657" s="2" t="s">
        <v>1186</v>
      </c>
      <c r="AG657" s="2" t="s">
        <v>1186</v>
      </c>
      <c r="AH657" s="2">
        <v>0.0</v>
      </c>
    </row>
    <row r="658" ht="15.75" customHeight="1">
      <c r="B658" s="12"/>
      <c r="C658" s="13"/>
      <c r="D658" s="14"/>
      <c r="E658" s="15"/>
      <c r="G658" s="15"/>
      <c r="O658" s="15"/>
      <c r="Q658" s="17"/>
      <c r="S658" s="17"/>
      <c r="T658" s="17"/>
      <c r="U658" s="14"/>
      <c r="V658" s="14" t="s">
        <v>1186</v>
      </c>
      <c r="W658" s="2" t="s">
        <v>1186</v>
      </c>
      <c r="X658" s="2" t="s">
        <v>1186</v>
      </c>
      <c r="Y658" s="13"/>
      <c r="Z658" s="14">
        <v>0.0</v>
      </c>
      <c r="AA658" s="14">
        <v>0.0</v>
      </c>
      <c r="AB658" s="14">
        <v>0.0</v>
      </c>
      <c r="AC658" s="14">
        <v>0.0</v>
      </c>
      <c r="AD658" s="2">
        <v>0.0</v>
      </c>
      <c r="AE658" s="2">
        <v>0.0</v>
      </c>
      <c r="AF658" s="2" t="s">
        <v>1186</v>
      </c>
      <c r="AG658" s="2" t="s">
        <v>1186</v>
      </c>
      <c r="AH658" s="2">
        <v>0.0</v>
      </c>
    </row>
    <row r="659" ht="15.75" customHeight="1">
      <c r="B659" s="12"/>
      <c r="C659" s="13"/>
      <c r="D659" s="14"/>
      <c r="E659" s="15"/>
      <c r="G659" s="15"/>
      <c r="O659" s="15"/>
      <c r="Q659" s="17"/>
      <c r="S659" s="17"/>
      <c r="T659" s="17"/>
      <c r="U659" s="14"/>
      <c r="V659" s="14" t="s">
        <v>1186</v>
      </c>
      <c r="W659" s="2" t="s">
        <v>1186</v>
      </c>
      <c r="X659" s="2" t="s">
        <v>1186</v>
      </c>
      <c r="Y659" s="13"/>
      <c r="Z659" s="14">
        <v>0.0</v>
      </c>
      <c r="AA659" s="14">
        <v>0.0</v>
      </c>
      <c r="AB659" s="14">
        <v>0.0</v>
      </c>
      <c r="AC659" s="14">
        <v>0.0</v>
      </c>
      <c r="AD659" s="2">
        <v>0.0</v>
      </c>
      <c r="AE659" s="2">
        <v>0.0</v>
      </c>
      <c r="AF659" s="2" t="s">
        <v>1186</v>
      </c>
      <c r="AG659" s="2" t="s">
        <v>1186</v>
      </c>
      <c r="AH659" s="2">
        <v>0.0</v>
      </c>
    </row>
    <row r="660" ht="15.75" customHeight="1">
      <c r="B660" s="12"/>
      <c r="C660" s="13"/>
      <c r="D660" s="14"/>
      <c r="E660" s="15"/>
      <c r="G660" s="15"/>
      <c r="O660" s="15"/>
      <c r="Q660" s="17"/>
      <c r="S660" s="17"/>
      <c r="T660" s="17"/>
      <c r="U660" s="14"/>
      <c r="V660" s="14" t="s">
        <v>1186</v>
      </c>
      <c r="W660" s="2" t="s">
        <v>1186</v>
      </c>
      <c r="X660" s="2" t="s">
        <v>1186</v>
      </c>
      <c r="Y660" s="13"/>
      <c r="Z660" s="14">
        <v>0.0</v>
      </c>
      <c r="AA660" s="14">
        <v>0.0</v>
      </c>
      <c r="AB660" s="14">
        <v>0.0</v>
      </c>
      <c r="AC660" s="14">
        <v>0.0</v>
      </c>
      <c r="AD660" s="2">
        <v>0.0</v>
      </c>
      <c r="AE660" s="2">
        <v>0.0</v>
      </c>
      <c r="AF660" s="2" t="s">
        <v>1186</v>
      </c>
      <c r="AG660" s="2" t="s">
        <v>1186</v>
      </c>
      <c r="AH660" s="2">
        <v>0.0</v>
      </c>
    </row>
    <row r="661" ht="15.75" customHeight="1">
      <c r="B661" s="12"/>
      <c r="C661" s="13"/>
      <c r="D661" s="14"/>
      <c r="E661" s="15"/>
      <c r="G661" s="15"/>
      <c r="O661" s="15"/>
      <c r="Q661" s="17"/>
      <c r="S661" s="17"/>
      <c r="T661" s="17"/>
      <c r="U661" s="14"/>
      <c r="V661" s="14" t="s">
        <v>1186</v>
      </c>
      <c r="W661" s="2" t="s">
        <v>1186</v>
      </c>
      <c r="X661" s="2" t="s">
        <v>1186</v>
      </c>
      <c r="Y661" s="13"/>
      <c r="Z661" s="14">
        <v>0.0</v>
      </c>
      <c r="AA661" s="14">
        <v>0.0</v>
      </c>
      <c r="AB661" s="14">
        <v>0.0</v>
      </c>
      <c r="AC661" s="14">
        <v>0.0</v>
      </c>
      <c r="AD661" s="2">
        <v>0.0</v>
      </c>
      <c r="AE661" s="2">
        <v>0.0</v>
      </c>
      <c r="AF661" s="2" t="s">
        <v>1186</v>
      </c>
      <c r="AG661" s="2" t="s">
        <v>1186</v>
      </c>
      <c r="AH661" s="2">
        <v>0.0</v>
      </c>
    </row>
    <row r="662" ht="15.75" customHeight="1">
      <c r="B662" s="12"/>
      <c r="C662" s="13"/>
      <c r="D662" s="14"/>
      <c r="E662" s="15"/>
      <c r="G662" s="15"/>
      <c r="O662" s="15"/>
      <c r="Q662" s="17"/>
      <c r="S662" s="17"/>
      <c r="T662" s="17"/>
      <c r="U662" s="14"/>
      <c r="V662" s="14" t="s">
        <v>1186</v>
      </c>
      <c r="W662" s="2" t="s">
        <v>1186</v>
      </c>
      <c r="X662" s="2" t="s">
        <v>1186</v>
      </c>
      <c r="Y662" s="13"/>
      <c r="Z662" s="14">
        <v>0.0</v>
      </c>
      <c r="AA662" s="14">
        <v>0.0</v>
      </c>
      <c r="AB662" s="14">
        <v>0.0</v>
      </c>
      <c r="AC662" s="14">
        <v>0.0</v>
      </c>
      <c r="AD662" s="2">
        <v>0.0</v>
      </c>
      <c r="AE662" s="2">
        <v>0.0</v>
      </c>
      <c r="AF662" s="2" t="s">
        <v>1186</v>
      </c>
      <c r="AG662" s="2" t="s">
        <v>1186</v>
      </c>
      <c r="AH662" s="2">
        <v>0.0</v>
      </c>
    </row>
    <row r="663" ht="15.75" customHeight="1">
      <c r="B663" s="12"/>
      <c r="C663" s="13"/>
      <c r="D663" s="14"/>
      <c r="E663" s="15"/>
      <c r="G663" s="15"/>
      <c r="O663" s="15"/>
      <c r="Q663" s="17"/>
      <c r="S663" s="17"/>
      <c r="T663" s="17"/>
      <c r="U663" s="14"/>
      <c r="V663" s="14" t="s">
        <v>1186</v>
      </c>
      <c r="W663" s="2" t="s">
        <v>1186</v>
      </c>
      <c r="X663" s="2" t="s">
        <v>1186</v>
      </c>
      <c r="Y663" s="13"/>
      <c r="Z663" s="14">
        <v>0.0</v>
      </c>
      <c r="AA663" s="14">
        <v>0.0</v>
      </c>
      <c r="AB663" s="14">
        <v>0.0</v>
      </c>
      <c r="AC663" s="14">
        <v>0.0</v>
      </c>
      <c r="AD663" s="2">
        <v>0.0</v>
      </c>
      <c r="AE663" s="2">
        <v>0.0</v>
      </c>
      <c r="AF663" s="2" t="s">
        <v>1186</v>
      </c>
      <c r="AG663" s="2" t="s">
        <v>1186</v>
      </c>
      <c r="AH663" s="2">
        <v>0.0</v>
      </c>
    </row>
    <row r="664" ht="15.75" customHeight="1">
      <c r="B664" s="12"/>
      <c r="C664" s="13"/>
      <c r="D664" s="14"/>
      <c r="E664" s="15"/>
      <c r="G664" s="15"/>
      <c r="O664" s="15"/>
      <c r="Q664" s="17"/>
      <c r="S664" s="17"/>
      <c r="T664" s="17"/>
      <c r="U664" s="14"/>
      <c r="V664" s="14" t="s">
        <v>1186</v>
      </c>
      <c r="W664" s="2" t="s">
        <v>1186</v>
      </c>
      <c r="X664" s="2" t="s">
        <v>1186</v>
      </c>
      <c r="Y664" s="13"/>
      <c r="Z664" s="14">
        <v>0.0</v>
      </c>
      <c r="AA664" s="14">
        <v>0.0</v>
      </c>
      <c r="AB664" s="14">
        <v>0.0</v>
      </c>
      <c r="AC664" s="14">
        <v>0.0</v>
      </c>
      <c r="AD664" s="2">
        <v>0.0</v>
      </c>
      <c r="AE664" s="2">
        <v>0.0</v>
      </c>
      <c r="AF664" s="2" t="s">
        <v>1186</v>
      </c>
      <c r="AG664" s="2" t="s">
        <v>1186</v>
      </c>
      <c r="AH664" s="2">
        <v>0.0</v>
      </c>
    </row>
    <row r="665" ht="15.75" customHeight="1">
      <c r="B665" s="12"/>
      <c r="C665" s="13"/>
      <c r="D665" s="14"/>
      <c r="E665" s="15"/>
      <c r="G665" s="15"/>
      <c r="O665" s="15"/>
      <c r="Q665" s="17"/>
      <c r="S665" s="17"/>
      <c r="T665" s="17"/>
      <c r="U665" s="14"/>
      <c r="V665" s="14" t="s">
        <v>1186</v>
      </c>
      <c r="W665" s="2" t="s">
        <v>1186</v>
      </c>
      <c r="X665" s="2" t="s">
        <v>1186</v>
      </c>
      <c r="Y665" s="13"/>
      <c r="Z665" s="14">
        <v>0.0</v>
      </c>
      <c r="AA665" s="14">
        <v>0.0</v>
      </c>
      <c r="AB665" s="14">
        <v>0.0</v>
      </c>
      <c r="AC665" s="14">
        <v>0.0</v>
      </c>
      <c r="AD665" s="2">
        <v>0.0</v>
      </c>
      <c r="AE665" s="2">
        <v>0.0</v>
      </c>
      <c r="AF665" s="2" t="s">
        <v>1186</v>
      </c>
      <c r="AG665" s="2" t="s">
        <v>1186</v>
      </c>
      <c r="AH665" s="2">
        <v>0.0</v>
      </c>
    </row>
    <row r="666" ht="15.75" customHeight="1">
      <c r="B666" s="12"/>
      <c r="C666" s="13"/>
      <c r="D666" s="14"/>
      <c r="E666" s="15"/>
      <c r="G666" s="15"/>
      <c r="O666" s="15"/>
      <c r="Q666" s="17"/>
      <c r="S666" s="17"/>
      <c r="T666" s="17"/>
      <c r="U666" s="14"/>
      <c r="V666" s="14" t="s">
        <v>1186</v>
      </c>
      <c r="W666" s="2" t="s">
        <v>1186</v>
      </c>
      <c r="X666" s="2" t="s">
        <v>1186</v>
      </c>
      <c r="Y666" s="13"/>
      <c r="Z666" s="14">
        <v>0.0</v>
      </c>
      <c r="AA666" s="14">
        <v>0.0</v>
      </c>
      <c r="AB666" s="14">
        <v>0.0</v>
      </c>
      <c r="AC666" s="14">
        <v>0.0</v>
      </c>
      <c r="AD666" s="2">
        <v>0.0</v>
      </c>
      <c r="AE666" s="2">
        <v>0.0</v>
      </c>
      <c r="AF666" s="2" t="s">
        <v>1186</v>
      </c>
      <c r="AG666" s="2" t="s">
        <v>1186</v>
      </c>
      <c r="AH666" s="2">
        <v>0.0</v>
      </c>
    </row>
    <row r="667" ht="15.75" customHeight="1">
      <c r="B667" s="12"/>
      <c r="C667" s="13"/>
      <c r="D667" s="14"/>
      <c r="E667" s="15"/>
      <c r="G667" s="15"/>
      <c r="O667" s="15"/>
      <c r="Q667" s="17"/>
      <c r="S667" s="17"/>
      <c r="T667" s="17"/>
      <c r="U667" s="14"/>
      <c r="V667" s="14" t="s">
        <v>1186</v>
      </c>
      <c r="W667" s="2" t="s">
        <v>1186</v>
      </c>
      <c r="X667" s="2" t="s">
        <v>1186</v>
      </c>
      <c r="Y667" s="13"/>
      <c r="Z667" s="14">
        <v>0.0</v>
      </c>
      <c r="AA667" s="14">
        <v>0.0</v>
      </c>
      <c r="AB667" s="14">
        <v>0.0</v>
      </c>
      <c r="AC667" s="14">
        <v>0.0</v>
      </c>
      <c r="AD667" s="2">
        <v>0.0</v>
      </c>
      <c r="AE667" s="2">
        <v>0.0</v>
      </c>
      <c r="AF667" s="2" t="s">
        <v>1186</v>
      </c>
      <c r="AG667" s="2" t="s">
        <v>1186</v>
      </c>
      <c r="AH667" s="2">
        <v>0.0</v>
      </c>
    </row>
    <row r="668" ht="15.75" customHeight="1">
      <c r="B668" s="12"/>
      <c r="C668" s="13"/>
      <c r="D668" s="14"/>
      <c r="E668" s="15"/>
      <c r="G668" s="15"/>
      <c r="O668" s="15"/>
      <c r="Q668" s="17"/>
      <c r="S668" s="17"/>
      <c r="T668" s="17"/>
      <c r="U668" s="14"/>
      <c r="V668" s="14" t="s">
        <v>1186</v>
      </c>
      <c r="W668" s="2" t="s">
        <v>1186</v>
      </c>
      <c r="X668" s="2" t="s">
        <v>1186</v>
      </c>
      <c r="Y668" s="13"/>
      <c r="Z668" s="14">
        <v>0.0</v>
      </c>
      <c r="AA668" s="14">
        <v>0.0</v>
      </c>
      <c r="AB668" s="14">
        <v>0.0</v>
      </c>
      <c r="AC668" s="14">
        <v>0.0</v>
      </c>
      <c r="AD668" s="2">
        <v>0.0</v>
      </c>
      <c r="AE668" s="2">
        <v>0.0</v>
      </c>
      <c r="AF668" s="2" t="s">
        <v>1186</v>
      </c>
      <c r="AG668" s="2" t="s">
        <v>1186</v>
      </c>
      <c r="AH668" s="2">
        <v>0.0</v>
      </c>
    </row>
    <row r="669" ht="15.75" customHeight="1">
      <c r="B669" s="12"/>
      <c r="C669" s="13"/>
      <c r="D669" s="14"/>
      <c r="E669" s="15"/>
      <c r="G669" s="15"/>
      <c r="O669" s="15"/>
      <c r="Q669" s="17"/>
      <c r="S669" s="17"/>
      <c r="T669" s="17"/>
      <c r="U669" s="14"/>
      <c r="V669" s="14" t="s">
        <v>1186</v>
      </c>
      <c r="W669" s="2" t="s">
        <v>1186</v>
      </c>
      <c r="X669" s="2" t="s">
        <v>1186</v>
      </c>
      <c r="Y669" s="13"/>
      <c r="Z669" s="14">
        <v>0.0</v>
      </c>
      <c r="AA669" s="14">
        <v>0.0</v>
      </c>
      <c r="AB669" s="14">
        <v>0.0</v>
      </c>
      <c r="AC669" s="14">
        <v>0.0</v>
      </c>
      <c r="AD669" s="2">
        <v>0.0</v>
      </c>
      <c r="AE669" s="2">
        <v>0.0</v>
      </c>
      <c r="AF669" s="2" t="s">
        <v>1186</v>
      </c>
      <c r="AG669" s="2" t="s">
        <v>1186</v>
      </c>
      <c r="AH669" s="2">
        <v>0.0</v>
      </c>
    </row>
    <row r="670" ht="15.75" customHeight="1">
      <c r="B670" s="12"/>
      <c r="C670" s="13"/>
      <c r="D670" s="14"/>
      <c r="E670" s="15"/>
      <c r="G670" s="15"/>
      <c r="O670" s="15"/>
      <c r="Q670" s="17"/>
      <c r="S670" s="17"/>
      <c r="T670" s="17"/>
      <c r="U670" s="14"/>
      <c r="V670" s="14" t="s">
        <v>1186</v>
      </c>
      <c r="W670" s="2" t="s">
        <v>1186</v>
      </c>
      <c r="X670" s="2" t="s">
        <v>1186</v>
      </c>
      <c r="Y670" s="13"/>
      <c r="Z670" s="14">
        <v>0.0</v>
      </c>
      <c r="AA670" s="14">
        <v>0.0</v>
      </c>
      <c r="AB670" s="14">
        <v>0.0</v>
      </c>
      <c r="AC670" s="14">
        <v>0.0</v>
      </c>
      <c r="AD670" s="2">
        <v>0.0</v>
      </c>
      <c r="AE670" s="2">
        <v>0.0</v>
      </c>
      <c r="AF670" s="2" t="s">
        <v>1186</v>
      </c>
      <c r="AG670" s="2" t="s">
        <v>1186</v>
      </c>
      <c r="AH670" s="2">
        <v>0.0</v>
      </c>
    </row>
    <row r="671" ht="15.75" customHeight="1">
      <c r="B671" s="12"/>
      <c r="C671" s="13"/>
      <c r="D671" s="14"/>
      <c r="E671" s="15"/>
      <c r="G671" s="15"/>
      <c r="O671" s="15"/>
      <c r="Q671" s="17"/>
      <c r="S671" s="17"/>
      <c r="T671" s="17"/>
      <c r="U671" s="14"/>
      <c r="V671" s="14" t="s">
        <v>1186</v>
      </c>
      <c r="W671" s="2" t="s">
        <v>1186</v>
      </c>
      <c r="X671" s="2" t="s">
        <v>1186</v>
      </c>
      <c r="Y671" s="13"/>
      <c r="Z671" s="14">
        <v>0.0</v>
      </c>
      <c r="AA671" s="14">
        <v>0.0</v>
      </c>
      <c r="AB671" s="14">
        <v>0.0</v>
      </c>
      <c r="AC671" s="14">
        <v>0.0</v>
      </c>
      <c r="AD671" s="2">
        <v>0.0</v>
      </c>
      <c r="AE671" s="2">
        <v>0.0</v>
      </c>
      <c r="AF671" s="2" t="s">
        <v>1186</v>
      </c>
      <c r="AG671" s="2" t="s">
        <v>1186</v>
      </c>
      <c r="AH671" s="2">
        <v>0.0</v>
      </c>
    </row>
    <row r="672" ht="15.75" customHeight="1">
      <c r="B672" s="12"/>
      <c r="C672" s="13"/>
      <c r="D672" s="14"/>
      <c r="E672" s="15"/>
      <c r="G672" s="15"/>
      <c r="O672" s="15"/>
      <c r="Q672" s="17"/>
      <c r="S672" s="17"/>
      <c r="T672" s="17"/>
      <c r="U672" s="14"/>
      <c r="V672" s="14" t="s">
        <v>1186</v>
      </c>
      <c r="W672" s="2" t="s">
        <v>1186</v>
      </c>
      <c r="X672" s="2" t="s">
        <v>1186</v>
      </c>
      <c r="Y672" s="13"/>
      <c r="Z672" s="14">
        <v>0.0</v>
      </c>
      <c r="AA672" s="14">
        <v>0.0</v>
      </c>
      <c r="AB672" s="14">
        <v>0.0</v>
      </c>
      <c r="AC672" s="14">
        <v>0.0</v>
      </c>
      <c r="AD672" s="2">
        <v>0.0</v>
      </c>
      <c r="AE672" s="2">
        <v>0.0</v>
      </c>
      <c r="AF672" s="2" t="s">
        <v>1186</v>
      </c>
      <c r="AG672" s="2" t="s">
        <v>1186</v>
      </c>
      <c r="AH672" s="2">
        <v>0.0</v>
      </c>
    </row>
    <row r="673" ht="15.75" customHeight="1">
      <c r="B673" s="12"/>
      <c r="C673" s="13"/>
      <c r="D673" s="14"/>
      <c r="E673" s="15"/>
      <c r="G673" s="15"/>
      <c r="O673" s="15"/>
      <c r="Q673" s="17"/>
      <c r="S673" s="17"/>
      <c r="T673" s="17"/>
      <c r="U673" s="14"/>
      <c r="V673" s="14" t="s">
        <v>1186</v>
      </c>
      <c r="W673" s="2" t="s">
        <v>1186</v>
      </c>
      <c r="X673" s="2" t="s">
        <v>1186</v>
      </c>
      <c r="Y673" s="13"/>
      <c r="Z673" s="14">
        <v>0.0</v>
      </c>
      <c r="AA673" s="14">
        <v>0.0</v>
      </c>
      <c r="AB673" s="14">
        <v>0.0</v>
      </c>
      <c r="AC673" s="14">
        <v>0.0</v>
      </c>
      <c r="AD673" s="2">
        <v>0.0</v>
      </c>
      <c r="AE673" s="2">
        <v>0.0</v>
      </c>
      <c r="AF673" s="2" t="s">
        <v>1186</v>
      </c>
      <c r="AG673" s="2" t="s">
        <v>1186</v>
      </c>
      <c r="AH673" s="2">
        <v>0.0</v>
      </c>
    </row>
    <row r="674" ht="15.75" customHeight="1">
      <c r="B674" s="12"/>
      <c r="C674" s="13"/>
      <c r="D674" s="14"/>
      <c r="E674" s="15"/>
      <c r="G674" s="15"/>
      <c r="O674" s="15"/>
      <c r="Q674" s="17"/>
      <c r="S674" s="17"/>
      <c r="T674" s="17"/>
      <c r="U674" s="14"/>
      <c r="V674" s="14" t="s">
        <v>1186</v>
      </c>
      <c r="W674" s="2" t="s">
        <v>1186</v>
      </c>
      <c r="X674" s="2" t="s">
        <v>1186</v>
      </c>
      <c r="Y674" s="13"/>
      <c r="Z674" s="14">
        <v>0.0</v>
      </c>
      <c r="AA674" s="14">
        <v>0.0</v>
      </c>
      <c r="AB674" s="14">
        <v>0.0</v>
      </c>
      <c r="AC674" s="14">
        <v>0.0</v>
      </c>
      <c r="AD674" s="2">
        <v>0.0</v>
      </c>
      <c r="AE674" s="2">
        <v>0.0</v>
      </c>
      <c r="AF674" s="2" t="s">
        <v>1186</v>
      </c>
      <c r="AG674" s="2" t="s">
        <v>1186</v>
      </c>
      <c r="AH674" s="2">
        <v>0.0</v>
      </c>
    </row>
    <row r="675" ht="15.75" customHeight="1">
      <c r="B675" s="12"/>
      <c r="C675" s="13"/>
      <c r="D675" s="14"/>
      <c r="E675" s="15"/>
      <c r="G675" s="15"/>
      <c r="O675" s="15"/>
      <c r="Q675" s="17"/>
      <c r="S675" s="17"/>
      <c r="T675" s="17"/>
      <c r="U675" s="14"/>
      <c r="V675" s="14" t="s">
        <v>1186</v>
      </c>
      <c r="W675" s="2" t="s">
        <v>1186</v>
      </c>
      <c r="X675" s="2" t="s">
        <v>1186</v>
      </c>
      <c r="Y675" s="13"/>
      <c r="Z675" s="14">
        <v>0.0</v>
      </c>
      <c r="AA675" s="14">
        <v>0.0</v>
      </c>
      <c r="AB675" s="14">
        <v>0.0</v>
      </c>
      <c r="AC675" s="14">
        <v>0.0</v>
      </c>
      <c r="AD675" s="2">
        <v>0.0</v>
      </c>
      <c r="AE675" s="2">
        <v>0.0</v>
      </c>
      <c r="AF675" s="2" t="s">
        <v>1186</v>
      </c>
      <c r="AG675" s="2" t="s">
        <v>1186</v>
      </c>
      <c r="AH675" s="2">
        <v>0.0</v>
      </c>
    </row>
    <row r="676" ht="15.75" customHeight="1">
      <c r="B676" s="12"/>
      <c r="C676" s="13"/>
      <c r="D676" s="14"/>
      <c r="E676" s="15"/>
      <c r="G676" s="15"/>
      <c r="O676" s="15"/>
      <c r="Q676" s="17"/>
      <c r="S676" s="17"/>
      <c r="T676" s="17"/>
      <c r="U676" s="14"/>
      <c r="V676" s="14" t="s">
        <v>1186</v>
      </c>
      <c r="W676" s="2" t="s">
        <v>1186</v>
      </c>
      <c r="X676" s="2" t="s">
        <v>1186</v>
      </c>
      <c r="Y676" s="13"/>
      <c r="Z676" s="14">
        <v>0.0</v>
      </c>
      <c r="AA676" s="14">
        <v>0.0</v>
      </c>
      <c r="AB676" s="14">
        <v>0.0</v>
      </c>
      <c r="AC676" s="14">
        <v>0.0</v>
      </c>
      <c r="AD676" s="2">
        <v>0.0</v>
      </c>
      <c r="AE676" s="2">
        <v>0.0</v>
      </c>
      <c r="AF676" s="2" t="s">
        <v>1186</v>
      </c>
      <c r="AG676" s="2" t="s">
        <v>1186</v>
      </c>
      <c r="AH676" s="2">
        <v>0.0</v>
      </c>
    </row>
    <row r="677" ht="15.75" customHeight="1">
      <c r="B677" s="12"/>
      <c r="C677" s="13"/>
      <c r="D677" s="14"/>
      <c r="E677" s="15"/>
      <c r="G677" s="15"/>
      <c r="O677" s="15"/>
      <c r="Q677" s="17"/>
      <c r="S677" s="17"/>
      <c r="T677" s="17"/>
      <c r="U677" s="14"/>
      <c r="V677" s="14" t="s">
        <v>1186</v>
      </c>
      <c r="W677" s="2" t="s">
        <v>1186</v>
      </c>
      <c r="X677" s="2" t="s">
        <v>1186</v>
      </c>
      <c r="Y677" s="13"/>
      <c r="Z677" s="14">
        <v>0.0</v>
      </c>
      <c r="AA677" s="14">
        <v>0.0</v>
      </c>
      <c r="AB677" s="14">
        <v>0.0</v>
      </c>
      <c r="AC677" s="14">
        <v>0.0</v>
      </c>
      <c r="AD677" s="2">
        <v>0.0</v>
      </c>
      <c r="AE677" s="2">
        <v>0.0</v>
      </c>
      <c r="AF677" s="2" t="s">
        <v>1186</v>
      </c>
      <c r="AG677" s="2" t="s">
        <v>1186</v>
      </c>
      <c r="AH677" s="2">
        <v>0.0</v>
      </c>
    </row>
    <row r="678" ht="15.75" customHeight="1">
      <c r="B678" s="12"/>
      <c r="C678" s="13"/>
      <c r="D678" s="14"/>
      <c r="E678" s="15"/>
      <c r="G678" s="15"/>
      <c r="O678" s="15"/>
      <c r="Q678" s="17"/>
      <c r="S678" s="17"/>
      <c r="T678" s="17"/>
      <c r="U678" s="14"/>
      <c r="V678" s="14" t="s">
        <v>1186</v>
      </c>
      <c r="W678" s="2" t="s">
        <v>1186</v>
      </c>
      <c r="X678" s="2" t="s">
        <v>1186</v>
      </c>
      <c r="Y678" s="13"/>
      <c r="Z678" s="14">
        <v>0.0</v>
      </c>
      <c r="AA678" s="14">
        <v>0.0</v>
      </c>
      <c r="AB678" s="14">
        <v>0.0</v>
      </c>
      <c r="AC678" s="14">
        <v>0.0</v>
      </c>
      <c r="AD678" s="2">
        <v>0.0</v>
      </c>
      <c r="AE678" s="2">
        <v>0.0</v>
      </c>
      <c r="AF678" s="2" t="s">
        <v>1186</v>
      </c>
      <c r="AG678" s="2" t="s">
        <v>1186</v>
      </c>
      <c r="AH678" s="2">
        <v>0.0</v>
      </c>
    </row>
    <row r="679" ht="15.75" customHeight="1">
      <c r="B679" s="12"/>
      <c r="C679" s="13"/>
      <c r="D679" s="14"/>
      <c r="E679" s="15"/>
      <c r="G679" s="15"/>
      <c r="O679" s="15"/>
      <c r="Q679" s="17"/>
      <c r="S679" s="17"/>
      <c r="T679" s="17"/>
      <c r="U679" s="14"/>
      <c r="V679" s="14" t="s">
        <v>1186</v>
      </c>
      <c r="W679" s="2" t="s">
        <v>1186</v>
      </c>
      <c r="X679" s="2" t="s">
        <v>1186</v>
      </c>
      <c r="Y679" s="13"/>
      <c r="Z679" s="14">
        <v>0.0</v>
      </c>
      <c r="AA679" s="14">
        <v>0.0</v>
      </c>
      <c r="AB679" s="14">
        <v>0.0</v>
      </c>
      <c r="AC679" s="14">
        <v>0.0</v>
      </c>
      <c r="AD679" s="2">
        <v>0.0</v>
      </c>
      <c r="AE679" s="2">
        <v>0.0</v>
      </c>
      <c r="AF679" s="2" t="s">
        <v>1186</v>
      </c>
      <c r="AG679" s="2" t="s">
        <v>1186</v>
      </c>
      <c r="AH679" s="2">
        <v>0.0</v>
      </c>
    </row>
    <row r="680" ht="15.75" customHeight="1">
      <c r="B680" s="12"/>
      <c r="C680" s="13"/>
      <c r="D680" s="14"/>
      <c r="E680" s="15"/>
      <c r="G680" s="15"/>
      <c r="O680" s="15"/>
      <c r="Q680" s="17"/>
      <c r="S680" s="17"/>
      <c r="T680" s="17"/>
      <c r="U680" s="14"/>
      <c r="V680" s="14" t="s">
        <v>1186</v>
      </c>
      <c r="W680" s="2" t="s">
        <v>1186</v>
      </c>
      <c r="X680" s="2" t="s">
        <v>1186</v>
      </c>
      <c r="Y680" s="13"/>
      <c r="Z680" s="14">
        <v>0.0</v>
      </c>
      <c r="AA680" s="14">
        <v>0.0</v>
      </c>
      <c r="AB680" s="14">
        <v>0.0</v>
      </c>
      <c r="AC680" s="14">
        <v>0.0</v>
      </c>
      <c r="AD680" s="2">
        <v>0.0</v>
      </c>
      <c r="AE680" s="2">
        <v>0.0</v>
      </c>
      <c r="AF680" s="2" t="s">
        <v>1186</v>
      </c>
      <c r="AG680" s="2" t="s">
        <v>1186</v>
      </c>
      <c r="AH680" s="2">
        <v>0.0</v>
      </c>
    </row>
    <row r="681" ht="15.75" customHeight="1">
      <c r="B681" s="12"/>
      <c r="C681" s="13"/>
      <c r="D681" s="14"/>
      <c r="E681" s="15"/>
      <c r="G681" s="15"/>
      <c r="O681" s="15"/>
      <c r="Q681" s="17"/>
      <c r="S681" s="17"/>
      <c r="T681" s="17"/>
      <c r="U681" s="14"/>
      <c r="V681" s="14" t="s">
        <v>1186</v>
      </c>
      <c r="W681" s="2" t="s">
        <v>1186</v>
      </c>
      <c r="X681" s="2" t="s">
        <v>1186</v>
      </c>
      <c r="Y681" s="13"/>
      <c r="Z681" s="14">
        <v>0.0</v>
      </c>
      <c r="AA681" s="14">
        <v>0.0</v>
      </c>
      <c r="AB681" s="14">
        <v>0.0</v>
      </c>
      <c r="AC681" s="14">
        <v>0.0</v>
      </c>
      <c r="AD681" s="2">
        <v>0.0</v>
      </c>
      <c r="AE681" s="2">
        <v>0.0</v>
      </c>
      <c r="AF681" s="2" t="s">
        <v>1186</v>
      </c>
      <c r="AG681" s="2" t="s">
        <v>1186</v>
      </c>
      <c r="AH681" s="2">
        <v>0.0</v>
      </c>
    </row>
    <row r="682" ht="15.75" customHeight="1">
      <c r="B682" s="12"/>
      <c r="C682" s="13"/>
      <c r="D682" s="14"/>
      <c r="E682" s="15"/>
      <c r="G682" s="15"/>
      <c r="O682" s="15"/>
      <c r="Q682" s="17"/>
      <c r="S682" s="17"/>
      <c r="T682" s="17"/>
      <c r="U682" s="14"/>
      <c r="V682" s="14" t="s">
        <v>1186</v>
      </c>
      <c r="W682" s="2" t="s">
        <v>1186</v>
      </c>
      <c r="X682" s="2" t="s">
        <v>1186</v>
      </c>
      <c r="Y682" s="13"/>
      <c r="Z682" s="14">
        <v>0.0</v>
      </c>
      <c r="AA682" s="14">
        <v>0.0</v>
      </c>
      <c r="AB682" s="14">
        <v>0.0</v>
      </c>
      <c r="AC682" s="14">
        <v>0.0</v>
      </c>
      <c r="AD682" s="2">
        <v>0.0</v>
      </c>
      <c r="AE682" s="2">
        <v>0.0</v>
      </c>
      <c r="AF682" s="2" t="s">
        <v>1186</v>
      </c>
      <c r="AG682" s="2" t="s">
        <v>1186</v>
      </c>
      <c r="AH682" s="2">
        <v>0.0</v>
      </c>
    </row>
    <row r="683" ht="15.75" customHeight="1">
      <c r="B683" s="12"/>
      <c r="C683" s="13"/>
      <c r="D683" s="14"/>
      <c r="E683" s="15"/>
      <c r="G683" s="15"/>
      <c r="O683" s="15"/>
      <c r="Q683" s="17"/>
      <c r="S683" s="17"/>
      <c r="T683" s="17"/>
      <c r="U683" s="14"/>
      <c r="V683" s="14" t="s">
        <v>1186</v>
      </c>
      <c r="W683" s="2" t="s">
        <v>1186</v>
      </c>
      <c r="X683" s="2" t="s">
        <v>1186</v>
      </c>
      <c r="Y683" s="13"/>
      <c r="Z683" s="14">
        <v>0.0</v>
      </c>
      <c r="AA683" s="14">
        <v>0.0</v>
      </c>
      <c r="AB683" s="14">
        <v>0.0</v>
      </c>
      <c r="AC683" s="14">
        <v>0.0</v>
      </c>
      <c r="AD683" s="2">
        <v>0.0</v>
      </c>
      <c r="AE683" s="2">
        <v>0.0</v>
      </c>
      <c r="AF683" s="2" t="s">
        <v>1186</v>
      </c>
      <c r="AG683" s="2" t="s">
        <v>1186</v>
      </c>
      <c r="AH683" s="2">
        <v>0.0</v>
      </c>
    </row>
    <row r="684" ht="15.75" customHeight="1">
      <c r="B684" s="12"/>
      <c r="C684" s="13"/>
      <c r="D684" s="14"/>
      <c r="E684" s="15"/>
      <c r="G684" s="15"/>
      <c r="O684" s="15"/>
      <c r="Q684" s="17"/>
      <c r="S684" s="17"/>
      <c r="T684" s="17"/>
      <c r="U684" s="14"/>
      <c r="V684" s="14" t="s">
        <v>1186</v>
      </c>
      <c r="W684" s="2" t="s">
        <v>1186</v>
      </c>
      <c r="X684" s="2" t="s">
        <v>1186</v>
      </c>
      <c r="Y684" s="13"/>
      <c r="Z684" s="14">
        <v>0.0</v>
      </c>
      <c r="AA684" s="14">
        <v>0.0</v>
      </c>
      <c r="AB684" s="14">
        <v>0.0</v>
      </c>
      <c r="AC684" s="14">
        <v>0.0</v>
      </c>
      <c r="AD684" s="2">
        <v>0.0</v>
      </c>
      <c r="AE684" s="2">
        <v>0.0</v>
      </c>
      <c r="AF684" s="2" t="s">
        <v>1186</v>
      </c>
      <c r="AG684" s="2" t="s">
        <v>1186</v>
      </c>
      <c r="AH684" s="2">
        <v>0.0</v>
      </c>
    </row>
    <row r="685" ht="15.75" customHeight="1">
      <c r="B685" s="12"/>
      <c r="C685" s="13"/>
      <c r="D685" s="14"/>
      <c r="E685" s="15"/>
      <c r="G685" s="15"/>
      <c r="O685" s="15"/>
      <c r="Q685" s="17"/>
      <c r="S685" s="17"/>
      <c r="T685" s="17"/>
      <c r="U685" s="14"/>
      <c r="V685" s="14" t="s">
        <v>1186</v>
      </c>
      <c r="W685" s="2" t="s">
        <v>1186</v>
      </c>
      <c r="X685" s="2" t="s">
        <v>1186</v>
      </c>
      <c r="Y685" s="13"/>
      <c r="Z685" s="14">
        <v>0.0</v>
      </c>
      <c r="AA685" s="14">
        <v>0.0</v>
      </c>
      <c r="AB685" s="14">
        <v>0.0</v>
      </c>
      <c r="AC685" s="14">
        <v>0.0</v>
      </c>
      <c r="AD685" s="2">
        <v>0.0</v>
      </c>
      <c r="AE685" s="2">
        <v>0.0</v>
      </c>
      <c r="AF685" s="2" t="s">
        <v>1186</v>
      </c>
      <c r="AG685" s="2" t="s">
        <v>1186</v>
      </c>
      <c r="AH685" s="2">
        <v>0.0</v>
      </c>
    </row>
    <row r="686" ht="15.75" customHeight="1">
      <c r="B686" s="12"/>
      <c r="C686" s="13"/>
      <c r="D686" s="14"/>
      <c r="E686" s="15"/>
      <c r="G686" s="15"/>
      <c r="O686" s="15"/>
      <c r="Q686" s="17"/>
      <c r="S686" s="17"/>
      <c r="T686" s="17"/>
      <c r="U686" s="14"/>
      <c r="V686" s="14" t="s">
        <v>1186</v>
      </c>
      <c r="W686" s="2" t="s">
        <v>1186</v>
      </c>
      <c r="X686" s="2" t="s">
        <v>1186</v>
      </c>
      <c r="Y686" s="13"/>
      <c r="Z686" s="14">
        <v>0.0</v>
      </c>
      <c r="AA686" s="14">
        <v>0.0</v>
      </c>
      <c r="AB686" s="14">
        <v>0.0</v>
      </c>
      <c r="AC686" s="14">
        <v>0.0</v>
      </c>
      <c r="AD686" s="2">
        <v>0.0</v>
      </c>
      <c r="AE686" s="2">
        <v>0.0</v>
      </c>
      <c r="AF686" s="2" t="s">
        <v>1186</v>
      </c>
      <c r="AG686" s="2" t="s">
        <v>1186</v>
      </c>
      <c r="AH686" s="2">
        <v>0.0</v>
      </c>
    </row>
    <row r="687" ht="15.75" customHeight="1">
      <c r="B687" s="12"/>
      <c r="C687" s="13"/>
      <c r="D687" s="14"/>
      <c r="E687" s="15"/>
      <c r="G687" s="15"/>
      <c r="O687" s="15"/>
      <c r="Q687" s="17"/>
      <c r="S687" s="17"/>
      <c r="T687" s="17"/>
      <c r="U687" s="14"/>
      <c r="V687" s="14" t="s">
        <v>1186</v>
      </c>
      <c r="W687" s="2" t="s">
        <v>1186</v>
      </c>
      <c r="X687" s="2" t="s">
        <v>1186</v>
      </c>
      <c r="Y687" s="13"/>
      <c r="Z687" s="14">
        <v>0.0</v>
      </c>
      <c r="AA687" s="14">
        <v>0.0</v>
      </c>
      <c r="AB687" s="14">
        <v>0.0</v>
      </c>
      <c r="AC687" s="14">
        <v>0.0</v>
      </c>
      <c r="AD687" s="2">
        <v>0.0</v>
      </c>
      <c r="AE687" s="2">
        <v>0.0</v>
      </c>
      <c r="AF687" s="2" t="s">
        <v>1186</v>
      </c>
      <c r="AG687" s="2" t="s">
        <v>1186</v>
      </c>
      <c r="AH687" s="2">
        <v>0.0</v>
      </c>
    </row>
    <row r="688" ht="15.75" customHeight="1">
      <c r="B688" s="12"/>
      <c r="C688" s="13"/>
      <c r="D688" s="14"/>
      <c r="E688" s="15"/>
      <c r="G688" s="15"/>
      <c r="O688" s="15"/>
      <c r="Q688" s="17"/>
      <c r="S688" s="17"/>
      <c r="T688" s="17"/>
      <c r="U688" s="14"/>
      <c r="V688" s="14" t="s">
        <v>1186</v>
      </c>
      <c r="W688" s="2" t="s">
        <v>1186</v>
      </c>
      <c r="X688" s="2" t="s">
        <v>1186</v>
      </c>
      <c r="Y688" s="13"/>
      <c r="Z688" s="14">
        <v>0.0</v>
      </c>
      <c r="AA688" s="14">
        <v>0.0</v>
      </c>
      <c r="AB688" s="14">
        <v>0.0</v>
      </c>
      <c r="AC688" s="14">
        <v>0.0</v>
      </c>
      <c r="AD688" s="2">
        <v>0.0</v>
      </c>
      <c r="AE688" s="2">
        <v>0.0</v>
      </c>
      <c r="AF688" s="2" t="s">
        <v>1186</v>
      </c>
      <c r="AG688" s="2" t="s">
        <v>1186</v>
      </c>
      <c r="AH688" s="2">
        <v>0.0</v>
      </c>
    </row>
    <row r="689" ht="15.75" customHeight="1">
      <c r="B689" s="12"/>
      <c r="C689" s="13"/>
      <c r="D689" s="14"/>
      <c r="E689" s="15"/>
      <c r="G689" s="15"/>
      <c r="O689" s="15"/>
      <c r="Q689" s="17"/>
      <c r="S689" s="17"/>
      <c r="T689" s="17"/>
      <c r="U689" s="14"/>
      <c r="V689" s="14" t="s">
        <v>1186</v>
      </c>
      <c r="W689" s="2" t="s">
        <v>1186</v>
      </c>
      <c r="X689" s="2" t="s">
        <v>1186</v>
      </c>
      <c r="Y689" s="13"/>
      <c r="Z689" s="14">
        <v>0.0</v>
      </c>
      <c r="AA689" s="14">
        <v>0.0</v>
      </c>
      <c r="AB689" s="14">
        <v>0.0</v>
      </c>
      <c r="AC689" s="14">
        <v>0.0</v>
      </c>
      <c r="AD689" s="2">
        <v>0.0</v>
      </c>
      <c r="AE689" s="2">
        <v>0.0</v>
      </c>
      <c r="AF689" s="2" t="s">
        <v>1186</v>
      </c>
      <c r="AG689" s="2" t="s">
        <v>1186</v>
      </c>
      <c r="AH689" s="2">
        <v>0.0</v>
      </c>
    </row>
    <row r="690" ht="15.75" customHeight="1">
      <c r="B690" s="12"/>
      <c r="C690" s="13"/>
      <c r="D690" s="14"/>
      <c r="E690" s="15"/>
      <c r="G690" s="15"/>
      <c r="O690" s="15"/>
      <c r="Q690" s="17"/>
      <c r="S690" s="17"/>
      <c r="T690" s="17"/>
      <c r="U690" s="14"/>
      <c r="V690" s="14" t="s">
        <v>1186</v>
      </c>
      <c r="W690" s="2" t="s">
        <v>1186</v>
      </c>
      <c r="X690" s="2" t="s">
        <v>1186</v>
      </c>
      <c r="Y690" s="13"/>
      <c r="Z690" s="14">
        <v>0.0</v>
      </c>
      <c r="AA690" s="14">
        <v>0.0</v>
      </c>
      <c r="AB690" s="14">
        <v>0.0</v>
      </c>
      <c r="AC690" s="14">
        <v>0.0</v>
      </c>
      <c r="AD690" s="2">
        <v>0.0</v>
      </c>
      <c r="AE690" s="2">
        <v>0.0</v>
      </c>
      <c r="AF690" s="2" t="s">
        <v>1186</v>
      </c>
      <c r="AG690" s="2" t="s">
        <v>1186</v>
      </c>
      <c r="AH690" s="2">
        <v>0.0</v>
      </c>
    </row>
    <row r="691" ht="15.75" customHeight="1">
      <c r="B691" s="12"/>
      <c r="C691" s="13"/>
      <c r="D691" s="14"/>
      <c r="E691" s="15"/>
      <c r="G691" s="15"/>
      <c r="O691" s="15"/>
      <c r="Q691" s="17"/>
      <c r="S691" s="17"/>
      <c r="T691" s="17"/>
      <c r="U691" s="14"/>
      <c r="V691" s="14" t="s">
        <v>1186</v>
      </c>
      <c r="W691" s="2" t="s">
        <v>1186</v>
      </c>
      <c r="X691" s="2" t="s">
        <v>1186</v>
      </c>
      <c r="Y691" s="13"/>
      <c r="Z691" s="14">
        <v>0.0</v>
      </c>
      <c r="AA691" s="14">
        <v>0.0</v>
      </c>
      <c r="AB691" s="14">
        <v>0.0</v>
      </c>
      <c r="AC691" s="14">
        <v>0.0</v>
      </c>
      <c r="AD691" s="2">
        <v>0.0</v>
      </c>
      <c r="AE691" s="2">
        <v>0.0</v>
      </c>
      <c r="AF691" s="2" t="s">
        <v>1186</v>
      </c>
      <c r="AG691" s="2" t="s">
        <v>1186</v>
      </c>
      <c r="AH691" s="2">
        <v>0.0</v>
      </c>
    </row>
    <row r="692" ht="15.75" customHeight="1">
      <c r="B692" s="12"/>
      <c r="C692" s="13"/>
      <c r="D692" s="14"/>
      <c r="E692" s="15"/>
      <c r="G692" s="15"/>
      <c r="O692" s="15"/>
      <c r="Q692" s="17"/>
      <c r="S692" s="17"/>
      <c r="T692" s="17"/>
      <c r="U692" s="14"/>
      <c r="V692" s="14" t="s">
        <v>1186</v>
      </c>
      <c r="W692" s="2" t="s">
        <v>1186</v>
      </c>
      <c r="X692" s="2" t="s">
        <v>1186</v>
      </c>
      <c r="Y692" s="13"/>
      <c r="Z692" s="14">
        <v>0.0</v>
      </c>
      <c r="AA692" s="14">
        <v>0.0</v>
      </c>
      <c r="AB692" s="14">
        <v>0.0</v>
      </c>
      <c r="AC692" s="14">
        <v>0.0</v>
      </c>
      <c r="AD692" s="2">
        <v>0.0</v>
      </c>
      <c r="AE692" s="2">
        <v>0.0</v>
      </c>
      <c r="AF692" s="2" t="s">
        <v>1186</v>
      </c>
      <c r="AG692" s="2" t="s">
        <v>1186</v>
      </c>
      <c r="AH692" s="2">
        <v>0.0</v>
      </c>
    </row>
    <row r="693" ht="15.75" customHeight="1">
      <c r="B693" s="12"/>
      <c r="C693" s="13"/>
      <c r="D693" s="14"/>
      <c r="E693" s="15"/>
      <c r="G693" s="15"/>
      <c r="O693" s="15"/>
      <c r="Q693" s="17"/>
      <c r="S693" s="17"/>
      <c r="T693" s="17"/>
      <c r="U693" s="14"/>
      <c r="V693" s="14" t="s">
        <v>1186</v>
      </c>
      <c r="W693" s="2" t="s">
        <v>1186</v>
      </c>
      <c r="X693" s="2" t="s">
        <v>1186</v>
      </c>
      <c r="Y693" s="13"/>
      <c r="Z693" s="14">
        <v>0.0</v>
      </c>
      <c r="AA693" s="14">
        <v>0.0</v>
      </c>
      <c r="AB693" s="14">
        <v>0.0</v>
      </c>
      <c r="AC693" s="14">
        <v>0.0</v>
      </c>
      <c r="AD693" s="2">
        <v>0.0</v>
      </c>
      <c r="AE693" s="2">
        <v>0.0</v>
      </c>
      <c r="AF693" s="2" t="s">
        <v>1186</v>
      </c>
      <c r="AG693" s="2" t="s">
        <v>1186</v>
      </c>
      <c r="AH693" s="2">
        <v>0.0</v>
      </c>
    </row>
    <row r="694" ht="15.75" customHeight="1">
      <c r="B694" s="12"/>
      <c r="C694" s="13"/>
      <c r="D694" s="14"/>
      <c r="E694" s="15"/>
      <c r="G694" s="15"/>
      <c r="O694" s="15"/>
      <c r="Q694" s="17"/>
      <c r="S694" s="17"/>
      <c r="T694" s="17"/>
      <c r="U694" s="14"/>
      <c r="V694" s="14" t="s">
        <v>1186</v>
      </c>
      <c r="W694" s="2" t="s">
        <v>1186</v>
      </c>
      <c r="X694" s="2" t="s">
        <v>1186</v>
      </c>
      <c r="Y694" s="13"/>
      <c r="Z694" s="14">
        <v>0.0</v>
      </c>
      <c r="AA694" s="14">
        <v>0.0</v>
      </c>
      <c r="AB694" s="14">
        <v>0.0</v>
      </c>
      <c r="AC694" s="14">
        <v>0.0</v>
      </c>
      <c r="AD694" s="2">
        <v>0.0</v>
      </c>
      <c r="AE694" s="2">
        <v>0.0</v>
      </c>
      <c r="AF694" s="2" t="s">
        <v>1186</v>
      </c>
      <c r="AG694" s="2" t="s">
        <v>1186</v>
      </c>
      <c r="AH694" s="2">
        <v>0.0</v>
      </c>
    </row>
    <row r="695" ht="15.75" customHeight="1">
      <c r="B695" s="12"/>
      <c r="C695" s="13"/>
      <c r="D695" s="14"/>
      <c r="E695" s="15"/>
      <c r="G695" s="15"/>
      <c r="O695" s="15"/>
      <c r="Q695" s="17"/>
      <c r="S695" s="17"/>
      <c r="T695" s="17"/>
      <c r="U695" s="14"/>
      <c r="V695" s="14" t="s">
        <v>1186</v>
      </c>
      <c r="W695" s="2" t="s">
        <v>1186</v>
      </c>
      <c r="X695" s="2" t="s">
        <v>1186</v>
      </c>
      <c r="Y695" s="13"/>
      <c r="Z695" s="14">
        <v>0.0</v>
      </c>
      <c r="AA695" s="14">
        <v>0.0</v>
      </c>
      <c r="AB695" s="14">
        <v>0.0</v>
      </c>
      <c r="AC695" s="14">
        <v>0.0</v>
      </c>
      <c r="AD695" s="2">
        <v>0.0</v>
      </c>
      <c r="AE695" s="2">
        <v>0.0</v>
      </c>
      <c r="AF695" s="2" t="s">
        <v>1186</v>
      </c>
      <c r="AG695" s="2" t="s">
        <v>1186</v>
      </c>
      <c r="AH695" s="2">
        <v>0.0</v>
      </c>
    </row>
    <row r="696" ht="15.75" customHeight="1">
      <c r="B696" s="12"/>
      <c r="C696" s="13"/>
      <c r="D696" s="14"/>
      <c r="E696" s="15"/>
      <c r="G696" s="15"/>
      <c r="O696" s="15"/>
      <c r="Q696" s="17"/>
      <c r="S696" s="17"/>
      <c r="T696" s="17"/>
      <c r="U696" s="14"/>
      <c r="V696" s="14" t="s">
        <v>1186</v>
      </c>
      <c r="W696" s="2" t="s">
        <v>1186</v>
      </c>
      <c r="X696" s="2" t="s">
        <v>1186</v>
      </c>
      <c r="Y696" s="13"/>
      <c r="Z696" s="14">
        <v>0.0</v>
      </c>
      <c r="AA696" s="14">
        <v>0.0</v>
      </c>
      <c r="AB696" s="14">
        <v>0.0</v>
      </c>
      <c r="AC696" s="14">
        <v>0.0</v>
      </c>
      <c r="AD696" s="2">
        <v>0.0</v>
      </c>
      <c r="AE696" s="2">
        <v>0.0</v>
      </c>
      <c r="AF696" s="2" t="s">
        <v>1186</v>
      </c>
      <c r="AG696" s="2" t="s">
        <v>1186</v>
      </c>
      <c r="AH696" s="2">
        <v>0.0</v>
      </c>
    </row>
    <row r="697" ht="15.75" customHeight="1">
      <c r="B697" s="12"/>
      <c r="C697" s="13"/>
      <c r="D697" s="14"/>
      <c r="E697" s="15"/>
      <c r="G697" s="15"/>
      <c r="O697" s="15"/>
      <c r="Q697" s="17"/>
      <c r="S697" s="17"/>
      <c r="T697" s="17"/>
      <c r="U697" s="14"/>
      <c r="V697" s="14" t="s">
        <v>1186</v>
      </c>
      <c r="W697" s="2" t="s">
        <v>1186</v>
      </c>
      <c r="X697" s="2" t="s">
        <v>1186</v>
      </c>
      <c r="Y697" s="13"/>
      <c r="Z697" s="14">
        <v>0.0</v>
      </c>
      <c r="AA697" s="14">
        <v>0.0</v>
      </c>
      <c r="AB697" s="14">
        <v>0.0</v>
      </c>
      <c r="AC697" s="14">
        <v>0.0</v>
      </c>
      <c r="AD697" s="2">
        <v>0.0</v>
      </c>
      <c r="AE697" s="2">
        <v>0.0</v>
      </c>
      <c r="AF697" s="2" t="s">
        <v>1186</v>
      </c>
      <c r="AG697" s="2" t="s">
        <v>1186</v>
      </c>
      <c r="AH697" s="2">
        <v>0.0</v>
      </c>
    </row>
    <row r="698" ht="15.75" customHeight="1">
      <c r="B698" s="12"/>
      <c r="C698" s="13"/>
      <c r="D698" s="14"/>
      <c r="E698" s="15"/>
      <c r="G698" s="15"/>
      <c r="O698" s="15"/>
      <c r="Q698" s="17"/>
      <c r="S698" s="17"/>
      <c r="T698" s="17"/>
      <c r="U698" s="14"/>
      <c r="V698" s="14" t="s">
        <v>1186</v>
      </c>
      <c r="W698" s="2" t="s">
        <v>1186</v>
      </c>
      <c r="X698" s="2" t="s">
        <v>1186</v>
      </c>
      <c r="Y698" s="13"/>
      <c r="Z698" s="14">
        <v>0.0</v>
      </c>
      <c r="AA698" s="14">
        <v>0.0</v>
      </c>
      <c r="AB698" s="14">
        <v>0.0</v>
      </c>
      <c r="AC698" s="14">
        <v>0.0</v>
      </c>
      <c r="AD698" s="2">
        <v>0.0</v>
      </c>
      <c r="AE698" s="2">
        <v>0.0</v>
      </c>
      <c r="AF698" s="2" t="s">
        <v>1186</v>
      </c>
      <c r="AG698" s="2" t="s">
        <v>1186</v>
      </c>
      <c r="AH698" s="2">
        <v>0.0</v>
      </c>
    </row>
    <row r="699" ht="15.75" customHeight="1">
      <c r="B699" s="12"/>
      <c r="C699" s="13"/>
      <c r="D699" s="14"/>
      <c r="E699" s="15"/>
      <c r="G699" s="15"/>
      <c r="O699" s="15"/>
      <c r="Q699" s="17"/>
      <c r="S699" s="17"/>
      <c r="T699" s="17"/>
      <c r="U699" s="14"/>
      <c r="V699" s="14" t="s">
        <v>1186</v>
      </c>
      <c r="W699" s="2" t="s">
        <v>1186</v>
      </c>
      <c r="X699" s="2" t="s">
        <v>1186</v>
      </c>
      <c r="Y699" s="13"/>
      <c r="Z699" s="14">
        <v>0.0</v>
      </c>
      <c r="AA699" s="14">
        <v>0.0</v>
      </c>
      <c r="AB699" s="14">
        <v>0.0</v>
      </c>
      <c r="AC699" s="14">
        <v>0.0</v>
      </c>
      <c r="AD699" s="2">
        <v>0.0</v>
      </c>
      <c r="AE699" s="2">
        <v>0.0</v>
      </c>
      <c r="AF699" s="2" t="s">
        <v>1186</v>
      </c>
      <c r="AG699" s="2" t="s">
        <v>1186</v>
      </c>
      <c r="AH699" s="2">
        <v>0.0</v>
      </c>
    </row>
    <row r="700" ht="15.75" customHeight="1">
      <c r="B700" s="12"/>
      <c r="C700" s="13"/>
      <c r="D700" s="14"/>
      <c r="E700" s="15"/>
      <c r="G700" s="15"/>
      <c r="O700" s="15"/>
      <c r="Q700" s="17"/>
      <c r="S700" s="17"/>
      <c r="T700" s="17"/>
      <c r="U700" s="14"/>
      <c r="V700" s="14" t="s">
        <v>1186</v>
      </c>
      <c r="W700" s="2" t="s">
        <v>1186</v>
      </c>
      <c r="X700" s="2" t="s">
        <v>1186</v>
      </c>
      <c r="Y700" s="13"/>
      <c r="Z700" s="14">
        <v>0.0</v>
      </c>
      <c r="AA700" s="14">
        <v>0.0</v>
      </c>
      <c r="AB700" s="14">
        <v>0.0</v>
      </c>
      <c r="AC700" s="14">
        <v>0.0</v>
      </c>
      <c r="AD700" s="2">
        <v>0.0</v>
      </c>
      <c r="AE700" s="2">
        <v>0.0</v>
      </c>
      <c r="AF700" s="2" t="s">
        <v>1186</v>
      </c>
      <c r="AG700" s="2" t="s">
        <v>1186</v>
      </c>
      <c r="AH700" s="2">
        <v>0.0</v>
      </c>
    </row>
    <row r="701" ht="15.75" customHeight="1">
      <c r="B701" s="12"/>
      <c r="C701" s="13"/>
      <c r="D701" s="14"/>
      <c r="E701" s="15"/>
      <c r="G701" s="15"/>
      <c r="O701" s="15"/>
      <c r="Q701" s="17"/>
      <c r="S701" s="17"/>
      <c r="T701" s="17"/>
      <c r="U701" s="14"/>
      <c r="V701" s="14" t="s">
        <v>1186</v>
      </c>
      <c r="W701" s="2" t="s">
        <v>1186</v>
      </c>
      <c r="X701" s="2" t="s">
        <v>1186</v>
      </c>
      <c r="Y701" s="13"/>
      <c r="Z701" s="14">
        <v>0.0</v>
      </c>
      <c r="AA701" s="14">
        <v>0.0</v>
      </c>
      <c r="AB701" s="14">
        <v>0.0</v>
      </c>
      <c r="AC701" s="14">
        <v>0.0</v>
      </c>
      <c r="AD701" s="2">
        <v>0.0</v>
      </c>
      <c r="AE701" s="2">
        <v>0.0</v>
      </c>
      <c r="AF701" s="2" t="s">
        <v>1186</v>
      </c>
      <c r="AG701" s="2" t="s">
        <v>1186</v>
      </c>
      <c r="AH701" s="2">
        <v>0.0</v>
      </c>
    </row>
    <row r="702" ht="15.75" customHeight="1">
      <c r="B702" s="12"/>
      <c r="C702" s="13"/>
      <c r="D702" s="14"/>
      <c r="E702" s="15"/>
      <c r="G702" s="15"/>
      <c r="O702" s="15"/>
      <c r="Q702" s="17"/>
      <c r="S702" s="17"/>
      <c r="T702" s="17"/>
      <c r="U702" s="14"/>
      <c r="V702" s="14" t="s">
        <v>1186</v>
      </c>
      <c r="W702" s="2" t="s">
        <v>1186</v>
      </c>
      <c r="X702" s="2" t="s">
        <v>1186</v>
      </c>
      <c r="Y702" s="13"/>
      <c r="Z702" s="14">
        <v>0.0</v>
      </c>
      <c r="AA702" s="14">
        <v>0.0</v>
      </c>
      <c r="AB702" s="14">
        <v>0.0</v>
      </c>
      <c r="AC702" s="14">
        <v>0.0</v>
      </c>
      <c r="AD702" s="2">
        <v>0.0</v>
      </c>
      <c r="AE702" s="2">
        <v>0.0</v>
      </c>
      <c r="AF702" s="2" t="s">
        <v>1186</v>
      </c>
      <c r="AG702" s="2" t="s">
        <v>1186</v>
      </c>
      <c r="AH702" s="2">
        <v>0.0</v>
      </c>
    </row>
    <row r="703" ht="15.75" customHeight="1">
      <c r="B703" s="12"/>
      <c r="C703" s="13"/>
      <c r="D703" s="14"/>
      <c r="E703" s="15"/>
      <c r="G703" s="15"/>
      <c r="O703" s="15"/>
      <c r="Q703" s="17"/>
      <c r="S703" s="17"/>
      <c r="T703" s="17"/>
      <c r="U703" s="14"/>
      <c r="V703" s="14" t="s">
        <v>1186</v>
      </c>
      <c r="W703" s="2" t="s">
        <v>1186</v>
      </c>
      <c r="X703" s="2" t="s">
        <v>1186</v>
      </c>
      <c r="Y703" s="13"/>
      <c r="Z703" s="14">
        <v>0.0</v>
      </c>
      <c r="AA703" s="14">
        <v>0.0</v>
      </c>
      <c r="AB703" s="14">
        <v>0.0</v>
      </c>
      <c r="AC703" s="14">
        <v>0.0</v>
      </c>
      <c r="AD703" s="2">
        <v>0.0</v>
      </c>
      <c r="AE703" s="2">
        <v>0.0</v>
      </c>
      <c r="AF703" s="2" t="s">
        <v>1186</v>
      </c>
      <c r="AG703" s="2" t="s">
        <v>1186</v>
      </c>
      <c r="AH703" s="2">
        <v>0.0</v>
      </c>
    </row>
    <row r="704" ht="15.75" customHeight="1">
      <c r="B704" s="12"/>
      <c r="C704" s="13"/>
      <c r="D704" s="14"/>
      <c r="E704" s="15"/>
      <c r="G704" s="15"/>
      <c r="O704" s="15"/>
      <c r="Q704" s="17"/>
      <c r="S704" s="17"/>
      <c r="T704" s="17"/>
      <c r="U704" s="14"/>
      <c r="V704" s="14" t="s">
        <v>1186</v>
      </c>
      <c r="W704" s="2" t="s">
        <v>1186</v>
      </c>
      <c r="X704" s="2" t="s">
        <v>1186</v>
      </c>
      <c r="Y704" s="13"/>
      <c r="Z704" s="14">
        <v>0.0</v>
      </c>
      <c r="AA704" s="14">
        <v>0.0</v>
      </c>
      <c r="AB704" s="14">
        <v>0.0</v>
      </c>
      <c r="AC704" s="14">
        <v>0.0</v>
      </c>
      <c r="AD704" s="2">
        <v>0.0</v>
      </c>
      <c r="AE704" s="2">
        <v>0.0</v>
      </c>
      <c r="AF704" s="2" t="s">
        <v>1186</v>
      </c>
      <c r="AG704" s="2" t="s">
        <v>1186</v>
      </c>
      <c r="AH704" s="2">
        <v>0.0</v>
      </c>
    </row>
    <row r="705" ht="15.75" customHeight="1">
      <c r="B705" s="12"/>
      <c r="C705" s="13"/>
      <c r="D705" s="14"/>
      <c r="E705" s="15"/>
      <c r="G705" s="15"/>
      <c r="O705" s="15"/>
      <c r="Q705" s="17"/>
      <c r="S705" s="17"/>
      <c r="T705" s="17"/>
      <c r="U705" s="14"/>
      <c r="V705" s="14" t="s">
        <v>1186</v>
      </c>
      <c r="W705" s="2" t="s">
        <v>1186</v>
      </c>
      <c r="X705" s="2" t="s">
        <v>1186</v>
      </c>
      <c r="Y705" s="13"/>
      <c r="Z705" s="14">
        <v>0.0</v>
      </c>
      <c r="AA705" s="14">
        <v>0.0</v>
      </c>
      <c r="AB705" s="14">
        <v>0.0</v>
      </c>
      <c r="AC705" s="14">
        <v>0.0</v>
      </c>
      <c r="AD705" s="2">
        <v>0.0</v>
      </c>
      <c r="AE705" s="2">
        <v>0.0</v>
      </c>
      <c r="AF705" s="2" t="s">
        <v>1186</v>
      </c>
      <c r="AG705" s="2" t="s">
        <v>1186</v>
      </c>
      <c r="AH705" s="2">
        <v>0.0</v>
      </c>
    </row>
    <row r="706" ht="15.75" customHeight="1">
      <c r="B706" s="12"/>
      <c r="C706" s="13"/>
      <c r="D706" s="14"/>
      <c r="E706" s="15"/>
      <c r="G706" s="15"/>
      <c r="O706" s="15"/>
      <c r="Q706" s="17"/>
      <c r="S706" s="17"/>
      <c r="T706" s="17"/>
      <c r="U706" s="14"/>
      <c r="V706" s="14" t="s">
        <v>1186</v>
      </c>
      <c r="W706" s="2" t="s">
        <v>1186</v>
      </c>
      <c r="X706" s="2" t="s">
        <v>1186</v>
      </c>
      <c r="Y706" s="13"/>
      <c r="Z706" s="14">
        <v>0.0</v>
      </c>
      <c r="AA706" s="14">
        <v>0.0</v>
      </c>
      <c r="AB706" s="14">
        <v>0.0</v>
      </c>
      <c r="AC706" s="14">
        <v>0.0</v>
      </c>
      <c r="AD706" s="2">
        <v>0.0</v>
      </c>
      <c r="AE706" s="2">
        <v>0.0</v>
      </c>
      <c r="AF706" s="2" t="s">
        <v>1186</v>
      </c>
      <c r="AG706" s="2" t="s">
        <v>1186</v>
      </c>
      <c r="AH706" s="2">
        <v>0.0</v>
      </c>
    </row>
    <row r="707" ht="15.75" customHeight="1">
      <c r="B707" s="12"/>
      <c r="C707" s="13"/>
      <c r="D707" s="14"/>
      <c r="E707" s="15"/>
      <c r="G707" s="15"/>
      <c r="O707" s="15"/>
      <c r="Q707" s="17"/>
      <c r="S707" s="17"/>
      <c r="T707" s="17"/>
      <c r="U707" s="14"/>
      <c r="V707" s="14" t="s">
        <v>1186</v>
      </c>
      <c r="W707" s="2" t="s">
        <v>1186</v>
      </c>
      <c r="X707" s="2" t="s">
        <v>1186</v>
      </c>
      <c r="Y707" s="13"/>
      <c r="Z707" s="14">
        <v>0.0</v>
      </c>
      <c r="AA707" s="14">
        <v>0.0</v>
      </c>
      <c r="AB707" s="14">
        <v>0.0</v>
      </c>
      <c r="AC707" s="14">
        <v>0.0</v>
      </c>
      <c r="AD707" s="2">
        <v>0.0</v>
      </c>
      <c r="AE707" s="2">
        <v>0.0</v>
      </c>
      <c r="AF707" s="2" t="s">
        <v>1186</v>
      </c>
      <c r="AG707" s="2" t="s">
        <v>1186</v>
      </c>
      <c r="AH707" s="2">
        <v>0.0</v>
      </c>
    </row>
    <row r="708" ht="15.75" customHeight="1">
      <c r="B708" s="12"/>
      <c r="C708" s="13"/>
      <c r="D708" s="14"/>
      <c r="E708" s="15"/>
      <c r="G708" s="15"/>
      <c r="O708" s="15"/>
      <c r="Q708" s="17"/>
      <c r="S708" s="17"/>
      <c r="T708" s="17"/>
      <c r="U708" s="14"/>
      <c r="V708" s="14" t="s">
        <v>1186</v>
      </c>
      <c r="W708" s="2" t="s">
        <v>1186</v>
      </c>
      <c r="X708" s="2" t="s">
        <v>1186</v>
      </c>
      <c r="Y708" s="13"/>
      <c r="Z708" s="14">
        <v>0.0</v>
      </c>
      <c r="AA708" s="14">
        <v>0.0</v>
      </c>
      <c r="AB708" s="14">
        <v>0.0</v>
      </c>
      <c r="AC708" s="14">
        <v>0.0</v>
      </c>
      <c r="AD708" s="2">
        <v>0.0</v>
      </c>
      <c r="AE708" s="2">
        <v>0.0</v>
      </c>
      <c r="AF708" s="2" t="s">
        <v>1186</v>
      </c>
      <c r="AG708" s="2" t="s">
        <v>1186</v>
      </c>
      <c r="AH708" s="2">
        <v>0.0</v>
      </c>
    </row>
    <row r="709" ht="15.75" customHeight="1">
      <c r="B709" s="12"/>
      <c r="C709" s="13"/>
      <c r="D709" s="14"/>
      <c r="E709" s="15"/>
      <c r="G709" s="15"/>
      <c r="O709" s="15"/>
      <c r="Q709" s="17"/>
      <c r="S709" s="17"/>
      <c r="T709" s="17"/>
      <c r="U709" s="14"/>
      <c r="V709" s="14" t="s">
        <v>1186</v>
      </c>
      <c r="W709" s="2" t="s">
        <v>1186</v>
      </c>
      <c r="X709" s="2" t="s">
        <v>1186</v>
      </c>
      <c r="Y709" s="13"/>
      <c r="Z709" s="14">
        <v>0.0</v>
      </c>
      <c r="AA709" s="14">
        <v>0.0</v>
      </c>
      <c r="AB709" s="14">
        <v>0.0</v>
      </c>
      <c r="AC709" s="14">
        <v>0.0</v>
      </c>
      <c r="AD709" s="2">
        <v>0.0</v>
      </c>
      <c r="AE709" s="2">
        <v>0.0</v>
      </c>
      <c r="AF709" s="2" t="s">
        <v>1186</v>
      </c>
      <c r="AG709" s="2" t="s">
        <v>1186</v>
      </c>
      <c r="AH709" s="2">
        <v>0.0</v>
      </c>
    </row>
    <row r="710" ht="15.75" customHeight="1">
      <c r="B710" s="12"/>
      <c r="C710" s="13"/>
      <c r="D710" s="14"/>
      <c r="E710" s="15"/>
      <c r="G710" s="15"/>
      <c r="O710" s="15"/>
      <c r="Q710" s="17"/>
      <c r="S710" s="17"/>
      <c r="T710" s="17"/>
      <c r="U710" s="14"/>
      <c r="V710" s="14" t="s">
        <v>1186</v>
      </c>
      <c r="W710" s="2" t="s">
        <v>1186</v>
      </c>
      <c r="X710" s="2" t="s">
        <v>1186</v>
      </c>
      <c r="Y710" s="13"/>
      <c r="Z710" s="14">
        <v>0.0</v>
      </c>
      <c r="AA710" s="14">
        <v>0.0</v>
      </c>
      <c r="AB710" s="14">
        <v>0.0</v>
      </c>
      <c r="AC710" s="14">
        <v>0.0</v>
      </c>
      <c r="AD710" s="2">
        <v>0.0</v>
      </c>
      <c r="AE710" s="2">
        <v>0.0</v>
      </c>
      <c r="AF710" s="2" t="s">
        <v>1186</v>
      </c>
      <c r="AG710" s="2" t="s">
        <v>1186</v>
      </c>
      <c r="AH710" s="2">
        <v>0.0</v>
      </c>
    </row>
    <row r="711" ht="15.75" customHeight="1">
      <c r="B711" s="12"/>
      <c r="C711" s="13"/>
      <c r="D711" s="14"/>
      <c r="E711" s="15"/>
      <c r="G711" s="15"/>
      <c r="O711" s="15"/>
      <c r="Q711" s="17"/>
      <c r="S711" s="17"/>
      <c r="T711" s="17"/>
      <c r="U711" s="14"/>
      <c r="V711" s="14" t="s">
        <v>1186</v>
      </c>
      <c r="W711" s="2" t="s">
        <v>1186</v>
      </c>
      <c r="X711" s="2" t="s">
        <v>1186</v>
      </c>
      <c r="Y711" s="13"/>
      <c r="Z711" s="14">
        <v>0.0</v>
      </c>
      <c r="AA711" s="14">
        <v>0.0</v>
      </c>
      <c r="AB711" s="14">
        <v>0.0</v>
      </c>
      <c r="AC711" s="14">
        <v>0.0</v>
      </c>
      <c r="AD711" s="2">
        <v>0.0</v>
      </c>
      <c r="AE711" s="2">
        <v>0.0</v>
      </c>
      <c r="AF711" s="2" t="s">
        <v>1186</v>
      </c>
      <c r="AG711" s="2" t="s">
        <v>1186</v>
      </c>
      <c r="AH711" s="2">
        <v>0.0</v>
      </c>
    </row>
    <row r="712" ht="15.75" customHeight="1">
      <c r="B712" s="12"/>
      <c r="C712" s="13"/>
      <c r="D712" s="14"/>
      <c r="E712" s="15"/>
      <c r="G712" s="15"/>
      <c r="O712" s="15"/>
      <c r="Q712" s="17"/>
      <c r="S712" s="17"/>
      <c r="T712" s="17"/>
      <c r="U712" s="14"/>
      <c r="V712" s="14" t="s">
        <v>1186</v>
      </c>
      <c r="W712" s="2" t="s">
        <v>1186</v>
      </c>
      <c r="X712" s="2" t="s">
        <v>1186</v>
      </c>
      <c r="Y712" s="13"/>
      <c r="Z712" s="14">
        <v>0.0</v>
      </c>
      <c r="AA712" s="14">
        <v>0.0</v>
      </c>
      <c r="AB712" s="14">
        <v>0.0</v>
      </c>
      <c r="AC712" s="14">
        <v>0.0</v>
      </c>
      <c r="AD712" s="2">
        <v>0.0</v>
      </c>
      <c r="AE712" s="2">
        <v>0.0</v>
      </c>
      <c r="AF712" s="2" t="s">
        <v>1186</v>
      </c>
      <c r="AG712" s="2" t="s">
        <v>1186</v>
      </c>
      <c r="AH712" s="2">
        <v>0.0</v>
      </c>
    </row>
    <row r="713" ht="15.75" customHeight="1">
      <c r="B713" s="12"/>
      <c r="C713" s="13"/>
      <c r="D713" s="14"/>
      <c r="E713" s="15"/>
      <c r="G713" s="15"/>
      <c r="O713" s="15"/>
      <c r="Q713" s="17"/>
      <c r="S713" s="17"/>
      <c r="T713" s="17"/>
      <c r="U713" s="14"/>
      <c r="V713" s="14" t="s">
        <v>1186</v>
      </c>
      <c r="W713" s="2" t="s">
        <v>1186</v>
      </c>
      <c r="X713" s="2" t="s">
        <v>1186</v>
      </c>
      <c r="Y713" s="13"/>
      <c r="Z713" s="14">
        <v>0.0</v>
      </c>
      <c r="AA713" s="14">
        <v>0.0</v>
      </c>
      <c r="AB713" s="14">
        <v>0.0</v>
      </c>
      <c r="AC713" s="14">
        <v>0.0</v>
      </c>
      <c r="AD713" s="2">
        <v>0.0</v>
      </c>
      <c r="AE713" s="2">
        <v>0.0</v>
      </c>
      <c r="AF713" s="2" t="s">
        <v>1186</v>
      </c>
      <c r="AG713" s="2" t="s">
        <v>1186</v>
      </c>
      <c r="AH713" s="2">
        <v>0.0</v>
      </c>
    </row>
    <row r="714" ht="15.75" customHeight="1">
      <c r="B714" s="12"/>
      <c r="C714" s="13"/>
      <c r="D714" s="14"/>
      <c r="E714" s="15"/>
      <c r="G714" s="15"/>
      <c r="O714" s="15"/>
      <c r="Q714" s="17"/>
      <c r="S714" s="17"/>
      <c r="T714" s="17"/>
      <c r="U714" s="14"/>
      <c r="V714" s="14" t="s">
        <v>1186</v>
      </c>
      <c r="W714" s="2" t="s">
        <v>1186</v>
      </c>
      <c r="X714" s="2" t="s">
        <v>1186</v>
      </c>
      <c r="Y714" s="13"/>
      <c r="Z714" s="14">
        <v>0.0</v>
      </c>
      <c r="AA714" s="14">
        <v>0.0</v>
      </c>
      <c r="AB714" s="14">
        <v>0.0</v>
      </c>
      <c r="AC714" s="14">
        <v>0.0</v>
      </c>
      <c r="AD714" s="2">
        <v>0.0</v>
      </c>
      <c r="AE714" s="2">
        <v>0.0</v>
      </c>
      <c r="AF714" s="2" t="s">
        <v>1186</v>
      </c>
      <c r="AG714" s="2" t="s">
        <v>1186</v>
      </c>
      <c r="AH714" s="2">
        <v>0.0</v>
      </c>
    </row>
    <row r="715" ht="15.75" customHeight="1">
      <c r="B715" s="12"/>
      <c r="C715" s="13"/>
      <c r="D715" s="14"/>
      <c r="E715" s="15"/>
      <c r="G715" s="15"/>
      <c r="O715" s="15"/>
      <c r="Q715" s="17"/>
      <c r="S715" s="17"/>
      <c r="T715" s="17"/>
      <c r="U715" s="14"/>
      <c r="V715" s="14" t="s">
        <v>1186</v>
      </c>
      <c r="W715" s="2" t="s">
        <v>1186</v>
      </c>
      <c r="X715" s="2" t="s">
        <v>1186</v>
      </c>
      <c r="Y715" s="13"/>
      <c r="Z715" s="14">
        <v>0.0</v>
      </c>
      <c r="AA715" s="14">
        <v>0.0</v>
      </c>
      <c r="AB715" s="14">
        <v>0.0</v>
      </c>
      <c r="AC715" s="14">
        <v>0.0</v>
      </c>
      <c r="AD715" s="2">
        <v>0.0</v>
      </c>
      <c r="AE715" s="2">
        <v>0.0</v>
      </c>
      <c r="AF715" s="2" t="s">
        <v>1186</v>
      </c>
      <c r="AG715" s="2" t="s">
        <v>1186</v>
      </c>
      <c r="AH715" s="2">
        <v>0.0</v>
      </c>
    </row>
    <row r="716" ht="15.75" customHeight="1">
      <c r="B716" s="12"/>
      <c r="C716" s="13"/>
      <c r="D716" s="14"/>
      <c r="E716" s="15"/>
      <c r="G716" s="15"/>
      <c r="O716" s="15"/>
      <c r="Q716" s="17"/>
      <c r="S716" s="17"/>
      <c r="T716" s="17"/>
      <c r="U716" s="14"/>
      <c r="V716" s="14" t="s">
        <v>1186</v>
      </c>
      <c r="W716" s="2" t="s">
        <v>1186</v>
      </c>
      <c r="X716" s="2" t="s">
        <v>1186</v>
      </c>
      <c r="Y716" s="13"/>
      <c r="Z716" s="14">
        <v>0.0</v>
      </c>
      <c r="AA716" s="14">
        <v>0.0</v>
      </c>
      <c r="AB716" s="14">
        <v>0.0</v>
      </c>
      <c r="AC716" s="14">
        <v>0.0</v>
      </c>
      <c r="AD716" s="2">
        <v>0.0</v>
      </c>
      <c r="AE716" s="2">
        <v>0.0</v>
      </c>
      <c r="AF716" s="2" t="s">
        <v>1186</v>
      </c>
      <c r="AG716" s="2" t="s">
        <v>1186</v>
      </c>
      <c r="AH716" s="2">
        <v>0.0</v>
      </c>
    </row>
    <row r="717" ht="15.75" customHeight="1">
      <c r="B717" s="12"/>
      <c r="C717" s="13"/>
      <c r="D717" s="14"/>
      <c r="E717" s="15"/>
      <c r="G717" s="15"/>
      <c r="O717" s="15"/>
      <c r="Q717" s="17"/>
      <c r="S717" s="17"/>
      <c r="T717" s="17"/>
      <c r="U717" s="14"/>
      <c r="V717" s="14" t="s">
        <v>1186</v>
      </c>
      <c r="W717" s="2" t="s">
        <v>1186</v>
      </c>
      <c r="X717" s="2" t="s">
        <v>1186</v>
      </c>
      <c r="Y717" s="13"/>
      <c r="Z717" s="14">
        <v>0.0</v>
      </c>
      <c r="AA717" s="14">
        <v>0.0</v>
      </c>
      <c r="AB717" s="14">
        <v>0.0</v>
      </c>
      <c r="AC717" s="14">
        <v>0.0</v>
      </c>
      <c r="AD717" s="2">
        <v>0.0</v>
      </c>
      <c r="AE717" s="2">
        <v>0.0</v>
      </c>
      <c r="AF717" s="2" t="s">
        <v>1186</v>
      </c>
      <c r="AG717" s="2" t="s">
        <v>1186</v>
      </c>
      <c r="AH717" s="2">
        <v>0.0</v>
      </c>
    </row>
    <row r="718" ht="15.75" customHeight="1">
      <c r="B718" s="12"/>
      <c r="C718" s="13"/>
      <c r="D718" s="14"/>
      <c r="E718" s="15"/>
      <c r="G718" s="15"/>
      <c r="O718" s="15"/>
      <c r="Q718" s="17"/>
      <c r="S718" s="17"/>
      <c r="T718" s="17"/>
      <c r="U718" s="14"/>
      <c r="V718" s="14" t="s">
        <v>1186</v>
      </c>
      <c r="W718" s="2" t="s">
        <v>1186</v>
      </c>
      <c r="X718" s="2" t="s">
        <v>1186</v>
      </c>
      <c r="Y718" s="13"/>
      <c r="Z718" s="14">
        <v>0.0</v>
      </c>
      <c r="AA718" s="14">
        <v>0.0</v>
      </c>
      <c r="AB718" s="14">
        <v>0.0</v>
      </c>
      <c r="AC718" s="14">
        <v>0.0</v>
      </c>
      <c r="AD718" s="2">
        <v>0.0</v>
      </c>
      <c r="AE718" s="2">
        <v>0.0</v>
      </c>
      <c r="AF718" s="2" t="s">
        <v>1186</v>
      </c>
      <c r="AG718" s="2" t="s">
        <v>1186</v>
      </c>
      <c r="AH718" s="2">
        <v>0.0</v>
      </c>
    </row>
    <row r="719" ht="15.75" customHeight="1">
      <c r="B719" s="12"/>
      <c r="C719" s="13"/>
      <c r="D719" s="14"/>
      <c r="E719" s="15"/>
      <c r="G719" s="15"/>
      <c r="O719" s="15"/>
      <c r="Q719" s="17"/>
      <c r="S719" s="17"/>
      <c r="T719" s="17"/>
      <c r="U719" s="14"/>
      <c r="V719" s="14" t="s">
        <v>1186</v>
      </c>
      <c r="W719" s="2" t="s">
        <v>1186</v>
      </c>
      <c r="X719" s="2" t="s">
        <v>1186</v>
      </c>
      <c r="Y719" s="13"/>
      <c r="Z719" s="14">
        <v>0.0</v>
      </c>
      <c r="AA719" s="14">
        <v>0.0</v>
      </c>
      <c r="AB719" s="14">
        <v>0.0</v>
      </c>
      <c r="AC719" s="14">
        <v>0.0</v>
      </c>
      <c r="AD719" s="2">
        <v>0.0</v>
      </c>
      <c r="AE719" s="2">
        <v>0.0</v>
      </c>
      <c r="AF719" s="2" t="s">
        <v>1186</v>
      </c>
      <c r="AG719" s="2" t="s">
        <v>1186</v>
      </c>
      <c r="AH719" s="2">
        <v>0.0</v>
      </c>
    </row>
    <row r="720" ht="15.75" customHeight="1">
      <c r="B720" s="12"/>
      <c r="C720" s="13"/>
      <c r="D720" s="14"/>
      <c r="E720" s="15"/>
      <c r="G720" s="15"/>
      <c r="O720" s="15"/>
      <c r="Q720" s="17"/>
      <c r="S720" s="17"/>
      <c r="T720" s="17"/>
      <c r="U720" s="14"/>
      <c r="V720" s="14" t="s">
        <v>1186</v>
      </c>
      <c r="W720" s="2" t="s">
        <v>1186</v>
      </c>
      <c r="X720" s="2" t="s">
        <v>1186</v>
      </c>
      <c r="Y720" s="13"/>
      <c r="Z720" s="14">
        <v>0.0</v>
      </c>
      <c r="AA720" s="14">
        <v>0.0</v>
      </c>
      <c r="AB720" s="14">
        <v>0.0</v>
      </c>
      <c r="AC720" s="14">
        <v>0.0</v>
      </c>
      <c r="AD720" s="2">
        <v>0.0</v>
      </c>
      <c r="AE720" s="2">
        <v>0.0</v>
      </c>
      <c r="AF720" s="2" t="s">
        <v>1186</v>
      </c>
      <c r="AG720" s="2" t="s">
        <v>1186</v>
      </c>
      <c r="AH720" s="2">
        <v>0.0</v>
      </c>
    </row>
    <row r="721" ht="15.75" customHeight="1">
      <c r="B721" s="12"/>
      <c r="C721" s="13"/>
      <c r="D721" s="14"/>
      <c r="E721" s="15"/>
      <c r="G721" s="15"/>
      <c r="O721" s="15"/>
      <c r="Q721" s="17"/>
      <c r="S721" s="17"/>
      <c r="T721" s="17"/>
      <c r="U721" s="14"/>
      <c r="V721" s="14" t="s">
        <v>1186</v>
      </c>
      <c r="W721" s="2" t="s">
        <v>1186</v>
      </c>
      <c r="X721" s="2" t="s">
        <v>1186</v>
      </c>
      <c r="Y721" s="13"/>
      <c r="Z721" s="14">
        <v>0.0</v>
      </c>
      <c r="AA721" s="14">
        <v>0.0</v>
      </c>
      <c r="AB721" s="14">
        <v>0.0</v>
      </c>
      <c r="AC721" s="14">
        <v>0.0</v>
      </c>
      <c r="AD721" s="2">
        <v>0.0</v>
      </c>
      <c r="AE721" s="2">
        <v>0.0</v>
      </c>
      <c r="AF721" s="2" t="s">
        <v>1186</v>
      </c>
      <c r="AG721" s="2" t="s">
        <v>1186</v>
      </c>
      <c r="AH721" s="2">
        <v>0.0</v>
      </c>
    </row>
    <row r="722" ht="15.75" customHeight="1">
      <c r="B722" s="12"/>
      <c r="C722" s="13"/>
      <c r="D722" s="14"/>
      <c r="E722" s="15"/>
      <c r="G722" s="15"/>
      <c r="O722" s="15"/>
      <c r="Q722" s="17"/>
      <c r="S722" s="17"/>
      <c r="T722" s="17"/>
      <c r="U722" s="14"/>
      <c r="V722" s="14" t="s">
        <v>1186</v>
      </c>
      <c r="W722" s="2" t="s">
        <v>1186</v>
      </c>
      <c r="X722" s="2" t="s">
        <v>1186</v>
      </c>
      <c r="Y722" s="13"/>
      <c r="Z722" s="14">
        <v>0.0</v>
      </c>
      <c r="AA722" s="14">
        <v>0.0</v>
      </c>
      <c r="AB722" s="14">
        <v>0.0</v>
      </c>
      <c r="AC722" s="14">
        <v>0.0</v>
      </c>
      <c r="AD722" s="2">
        <v>0.0</v>
      </c>
      <c r="AE722" s="2">
        <v>0.0</v>
      </c>
      <c r="AF722" s="2" t="s">
        <v>1186</v>
      </c>
      <c r="AG722" s="2" t="s">
        <v>1186</v>
      </c>
      <c r="AH722" s="2">
        <v>0.0</v>
      </c>
    </row>
    <row r="723" ht="15.75" customHeight="1">
      <c r="B723" s="12"/>
      <c r="C723" s="13"/>
      <c r="D723" s="14"/>
      <c r="E723" s="15"/>
      <c r="G723" s="15"/>
      <c r="O723" s="15"/>
      <c r="Q723" s="17"/>
      <c r="S723" s="17"/>
      <c r="T723" s="17"/>
      <c r="U723" s="14"/>
      <c r="V723" s="14" t="s">
        <v>1186</v>
      </c>
      <c r="W723" s="2" t="s">
        <v>1186</v>
      </c>
      <c r="X723" s="2" t="s">
        <v>1186</v>
      </c>
      <c r="Y723" s="13"/>
      <c r="Z723" s="14">
        <v>0.0</v>
      </c>
      <c r="AA723" s="14">
        <v>0.0</v>
      </c>
      <c r="AB723" s="14">
        <v>0.0</v>
      </c>
      <c r="AC723" s="14">
        <v>0.0</v>
      </c>
      <c r="AD723" s="2">
        <v>0.0</v>
      </c>
      <c r="AE723" s="2">
        <v>0.0</v>
      </c>
      <c r="AF723" s="2" t="s">
        <v>1186</v>
      </c>
      <c r="AG723" s="2" t="s">
        <v>1186</v>
      </c>
      <c r="AH723" s="2">
        <v>0.0</v>
      </c>
    </row>
    <row r="724" ht="15.75" customHeight="1">
      <c r="B724" s="12"/>
      <c r="C724" s="13"/>
      <c r="D724" s="14"/>
      <c r="E724" s="15"/>
      <c r="G724" s="15"/>
      <c r="O724" s="15"/>
      <c r="Q724" s="17"/>
      <c r="S724" s="17"/>
      <c r="T724" s="17"/>
      <c r="U724" s="14"/>
      <c r="V724" s="14" t="s">
        <v>1186</v>
      </c>
      <c r="W724" s="2" t="s">
        <v>1186</v>
      </c>
      <c r="X724" s="2" t="s">
        <v>1186</v>
      </c>
      <c r="Y724" s="13"/>
      <c r="Z724" s="14">
        <v>0.0</v>
      </c>
      <c r="AA724" s="14">
        <v>0.0</v>
      </c>
      <c r="AB724" s="14">
        <v>0.0</v>
      </c>
      <c r="AC724" s="14">
        <v>0.0</v>
      </c>
      <c r="AD724" s="2">
        <v>0.0</v>
      </c>
      <c r="AE724" s="2">
        <v>0.0</v>
      </c>
      <c r="AF724" s="2" t="s">
        <v>1186</v>
      </c>
      <c r="AG724" s="2" t="s">
        <v>1186</v>
      </c>
      <c r="AH724" s="2">
        <v>0.0</v>
      </c>
    </row>
    <row r="725" ht="15.75" customHeight="1">
      <c r="B725" s="12"/>
      <c r="C725" s="13"/>
      <c r="D725" s="14"/>
      <c r="E725" s="15"/>
      <c r="G725" s="15"/>
      <c r="O725" s="15"/>
      <c r="Q725" s="17"/>
      <c r="S725" s="17"/>
      <c r="T725" s="17"/>
      <c r="U725" s="14"/>
      <c r="V725" s="14" t="s">
        <v>1186</v>
      </c>
      <c r="W725" s="2" t="s">
        <v>1186</v>
      </c>
      <c r="X725" s="2" t="s">
        <v>1186</v>
      </c>
      <c r="Y725" s="13"/>
      <c r="Z725" s="14">
        <v>0.0</v>
      </c>
      <c r="AA725" s="14">
        <v>0.0</v>
      </c>
      <c r="AB725" s="14">
        <v>0.0</v>
      </c>
      <c r="AC725" s="14">
        <v>0.0</v>
      </c>
      <c r="AD725" s="2">
        <v>0.0</v>
      </c>
      <c r="AE725" s="2">
        <v>0.0</v>
      </c>
      <c r="AF725" s="2" t="s">
        <v>1186</v>
      </c>
      <c r="AG725" s="2" t="s">
        <v>1186</v>
      </c>
      <c r="AH725" s="2">
        <v>0.0</v>
      </c>
    </row>
    <row r="726" ht="15.75" customHeight="1">
      <c r="B726" s="12"/>
      <c r="C726" s="13"/>
      <c r="D726" s="14"/>
      <c r="E726" s="15"/>
      <c r="G726" s="15"/>
      <c r="O726" s="15"/>
      <c r="Q726" s="17"/>
      <c r="S726" s="17"/>
      <c r="T726" s="17"/>
      <c r="U726" s="14"/>
      <c r="V726" s="14" t="s">
        <v>1186</v>
      </c>
      <c r="W726" s="2" t="s">
        <v>1186</v>
      </c>
      <c r="X726" s="2" t="s">
        <v>1186</v>
      </c>
      <c r="Y726" s="13"/>
      <c r="Z726" s="14">
        <v>0.0</v>
      </c>
      <c r="AA726" s="14">
        <v>0.0</v>
      </c>
      <c r="AB726" s="14">
        <v>0.0</v>
      </c>
      <c r="AC726" s="14">
        <v>0.0</v>
      </c>
      <c r="AD726" s="2">
        <v>0.0</v>
      </c>
      <c r="AE726" s="2">
        <v>0.0</v>
      </c>
      <c r="AF726" s="2" t="s">
        <v>1186</v>
      </c>
      <c r="AG726" s="2" t="s">
        <v>1186</v>
      </c>
      <c r="AH726" s="2">
        <v>0.0</v>
      </c>
    </row>
    <row r="727" ht="15.75" customHeight="1">
      <c r="B727" s="12"/>
      <c r="C727" s="13"/>
      <c r="D727" s="14"/>
      <c r="E727" s="15"/>
      <c r="G727" s="15"/>
      <c r="O727" s="15"/>
      <c r="Q727" s="17"/>
      <c r="S727" s="17"/>
      <c r="T727" s="17"/>
      <c r="U727" s="14"/>
      <c r="V727" s="14" t="s">
        <v>1186</v>
      </c>
      <c r="W727" s="2" t="s">
        <v>1186</v>
      </c>
      <c r="X727" s="2" t="s">
        <v>1186</v>
      </c>
      <c r="Y727" s="13"/>
      <c r="Z727" s="14">
        <v>0.0</v>
      </c>
      <c r="AA727" s="14">
        <v>0.0</v>
      </c>
      <c r="AB727" s="14">
        <v>0.0</v>
      </c>
      <c r="AC727" s="14">
        <v>0.0</v>
      </c>
      <c r="AD727" s="2">
        <v>0.0</v>
      </c>
      <c r="AE727" s="2">
        <v>0.0</v>
      </c>
      <c r="AF727" s="2" t="s">
        <v>1186</v>
      </c>
      <c r="AG727" s="2" t="s">
        <v>1186</v>
      </c>
      <c r="AH727" s="2">
        <v>0.0</v>
      </c>
    </row>
    <row r="728" ht="15.75" customHeight="1">
      <c r="B728" s="12"/>
      <c r="C728" s="13"/>
      <c r="D728" s="14"/>
      <c r="E728" s="15"/>
      <c r="G728" s="15"/>
      <c r="O728" s="15"/>
      <c r="Q728" s="17"/>
      <c r="S728" s="17"/>
      <c r="T728" s="17"/>
      <c r="U728" s="14"/>
      <c r="V728" s="14" t="s">
        <v>1186</v>
      </c>
      <c r="W728" s="2" t="s">
        <v>1186</v>
      </c>
      <c r="X728" s="2" t="s">
        <v>1186</v>
      </c>
      <c r="Y728" s="13"/>
      <c r="Z728" s="14">
        <v>0.0</v>
      </c>
      <c r="AA728" s="14">
        <v>0.0</v>
      </c>
      <c r="AB728" s="14">
        <v>0.0</v>
      </c>
      <c r="AC728" s="14">
        <v>0.0</v>
      </c>
      <c r="AD728" s="2">
        <v>0.0</v>
      </c>
      <c r="AE728" s="2">
        <v>0.0</v>
      </c>
      <c r="AF728" s="2" t="s">
        <v>1186</v>
      </c>
      <c r="AG728" s="2" t="s">
        <v>1186</v>
      </c>
      <c r="AH728" s="2">
        <v>0.0</v>
      </c>
    </row>
    <row r="729" ht="15.75" customHeight="1">
      <c r="B729" s="12"/>
      <c r="C729" s="13"/>
      <c r="D729" s="14"/>
      <c r="E729" s="15"/>
      <c r="G729" s="15"/>
      <c r="O729" s="15"/>
      <c r="Q729" s="17"/>
      <c r="S729" s="17"/>
      <c r="T729" s="17"/>
      <c r="U729" s="14"/>
      <c r="V729" s="14" t="s">
        <v>1186</v>
      </c>
      <c r="W729" s="2" t="s">
        <v>1186</v>
      </c>
      <c r="X729" s="2" t="s">
        <v>1186</v>
      </c>
      <c r="Y729" s="13"/>
      <c r="Z729" s="14">
        <v>0.0</v>
      </c>
      <c r="AA729" s="14">
        <v>0.0</v>
      </c>
      <c r="AB729" s="14">
        <v>0.0</v>
      </c>
      <c r="AC729" s="14">
        <v>0.0</v>
      </c>
      <c r="AD729" s="2">
        <v>0.0</v>
      </c>
      <c r="AE729" s="2">
        <v>0.0</v>
      </c>
      <c r="AF729" s="2" t="s">
        <v>1186</v>
      </c>
      <c r="AG729" s="2" t="s">
        <v>1186</v>
      </c>
      <c r="AH729" s="2">
        <v>0.0</v>
      </c>
    </row>
    <row r="730" ht="15.75" customHeight="1">
      <c r="B730" s="12"/>
      <c r="C730" s="13"/>
      <c r="D730" s="14"/>
      <c r="E730" s="15"/>
      <c r="G730" s="15"/>
      <c r="O730" s="15"/>
      <c r="Q730" s="17"/>
      <c r="S730" s="17"/>
      <c r="T730" s="17"/>
      <c r="U730" s="14"/>
      <c r="V730" s="14" t="s">
        <v>1186</v>
      </c>
      <c r="W730" s="2" t="s">
        <v>1186</v>
      </c>
      <c r="X730" s="2" t="s">
        <v>1186</v>
      </c>
      <c r="Y730" s="13"/>
      <c r="Z730" s="14">
        <v>0.0</v>
      </c>
      <c r="AA730" s="14">
        <v>0.0</v>
      </c>
      <c r="AB730" s="14">
        <v>0.0</v>
      </c>
      <c r="AC730" s="14">
        <v>0.0</v>
      </c>
      <c r="AD730" s="2">
        <v>0.0</v>
      </c>
      <c r="AE730" s="2">
        <v>0.0</v>
      </c>
      <c r="AF730" s="2" t="s">
        <v>1186</v>
      </c>
      <c r="AG730" s="2" t="s">
        <v>1186</v>
      </c>
      <c r="AH730" s="2">
        <v>0.0</v>
      </c>
    </row>
    <row r="731" ht="15.75" customHeight="1">
      <c r="B731" s="12"/>
      <c r="C731" s="13"/>
      <c r="D731" s="14"/>
      <c r="E731" s="15"/>
      <c r="G731" s="15"/>
      <c r="O731" s="15"/>
      <c r="Q731" s="17"/>
      <c r="S731" s="17"/>
      <c r="T731" s="17"/>
      <c r="U731" s="14"/>
      <c r="V731" s="14" t="s">
        <v>1186</v>
      </c>
      <c r="W731" s="2" t="s">
        <v>1186</v>
      </c>
      <c r="X731" s="2" t="s">
        <v>1186</v>
      </c>
      <c r="Y731" s="13"/>
      <c r="Z731" s="14">
        <v>0.0</v>
      </c>
      <c r="AA731" s="14">
        <v>0.0</v>
      </c>
      <c r="AB731" s="14">
        <v>0.0</v>
      </c>
      <c r="AC731" s="14">
        <v>0.0</v>
      </c>
      <c r="AD731" s="2">
        <v>0.0</v>
      </c>
      <c r="AE731" s="2">
        <v>0.0</v>
      </c>
      <c r="AF731" s="2" t="s">
        <v>1186</v>
      </c>
      <c r="AG731" s="2" t="s">
        <v>1186</v>
      </c>
      <c r="AH731" s="2">
        <v>0.0</v>
      </c>
    </row>
    <row r="732" ht="15.75" customHeight="1">
      <c r="B732" s="12"/>
      <c r="C732" s="13"/>
      <c r="D732" s="14"/>
      <c r="E732" s="15"/>
      <c r="G732" s="15"/>
      <c r="O732" s="15"/>
      <c r="Q732" s="17"/>
      <c r="S732" s="17"/>
      <c r="T732" s="17"/>
      <c r="U732" s="14"/>
      <c r="V732" s="14" t="s">
        <v>1186</v>
      </c>
      <c r="W732" s="2" t="s">
        <v>1186</v>
      </c>
      <c r="X732" s="2" t="s">
        <v>1186</v>
      </c>
      <c r="Y732" s="13"/>
      <c r="Z732" s="14">
        <v>0.0</v>
      </c>
      <c r="AA732" s="14">
        <v>0.0</v>
      </c>
      <c r="AB732" s="14">
        <v>0.0</v>
      </c>
      <c r="AC732" s="14">
        <v>0.0</v>
      </c>
      <c r="AD732" s="2">
        <v>0.0</v>
      </c>
      <c r="AE732" s="2">
        <v>0.0</v>
      </c>
      <c r="AF732" s="2" t="s">
        <v>1186</v>
      </c>
      <c r="AG732" s="2" t="s">
        <v>1186</v>
      </c>
      <c r="AH732" s="2">
        <v>0.0</v>
      </c>
    </row>
    <row r="733" ht="15.75" customHeight="1">
      <c r="B733" s="12"/>
      <c r="C733" s="13"/>
      <c r="D733" s="14"/>
      <c r="E733" s="15"/>
      <c r="G733" s="15"/>
      <c r="O733" s="15"/>
      <c r="Q733" s="17"/>
      <c r="S733" s="17"/>
      <c r="T733" s="17"/>
      <c r="U733" s="14"/>
      <c r="V733" s="14" t="s">
        <v>1186</v>
      </c>
      <c r="W733" s="2" t="s">
        <v>1186</v>
      </c>
      <c r="X733" s="2" t="s">
        <v>1186</v>
      </c>
      <c r="Y733" s="13"/>
      <c r="Z733" s="14">
        <v>0.0</v>
      </c>
      <c r="AA733" s="14">
        <v>0.0</v>
      </c>
      <c r="AB733" s="14">
        <v>0.0</v>
      </c>
      <c r="AC733" s="14">
        <v>0.0</v>
      </c>
      <c r="AD733" s="2">
        <v>0.0</v>
      </c>
      <c r="AE733" s="2">
        <v>0.0</v>
      </c>
      <c r="AF733" s="2" t="s">
        <v>1186</v>
      </c>
      <c r="AG733" s="2" t="s">
        <v>1186</v>
      </c>
      <c r="AH733" s="2">
        <v>0.0</v>
      </c>
    </row>
    <row r="734" ht="15.75" customHeight="1">
      <c r="B734" s="12"/>
      <c r="C734" s="13"/>
      <c r="D734" s="14"/>
      <c r="E734" s="15"/>
      <c r="G734" s="15"/>
      <c r="O734" s="15"/>
      <c r="Q734" s="17"/>
      <c r="S734" s="17"/>
      <c r="T734" s="17"/>
      <c r="U734" s="14"/>
      <c r="V734" s="14" t="s">
        <v>1186</v>
      </c>
      <c r="W734" s="2" t="s">
        <v>1186</v>
      </c>
      <c r="X734" s="2" t="s">
        <v>1186</v>
      </c>
      <c r="Y734" s="13"/>
      <c r="Z734" s="14">
        <v>0.0</v>
      </c>
      <c r="AA734" s="14">
        <v>0.0</v>
      </c>
      <c r="AB734" s="14">
        <v>0.0</v>
      </c>
      <c r="AC734" s="14">
        <v>0.0</v>
      </c>
      <c r="AD734" s="2">
        <v>0.0</v>
      </c>
      <c r="AE734" s="2">
        <v>0.0</v>
      </c>
      <c r="AF734" s="2" t="s">
        <v>1186</v>
      </c>
      <c r="AG734" s="2" t="s">
        <v>1186</v>
      </c>
      <c r="AH734" s="2">
        <v>0.0</v>
      </c>
    </row>
    <row r="735" ht="15.75" customHeight="1">
      <c r="B735" s="12"/>
      <c r="C735" s="13"/>
      <c r="D735" s="14"/>
      <c r="E735" s="15"/>
      <c r="G735" s="15"/>
      <c r="O735" s="15"/>
      <c r="Q735" s="17"/>
      <c r="S735" s="17"/>
      <c r="T735" s="17"/>
      <c r="U735" s="14"/>
      <c r="V735" s="14" t="s">
        <v>1186</v>
      </c>
      <c r="W735" s="2" t="s">
        <v>1186</v>
      </c>
      <c r="X735" s="2" t="s">
        <v>1186</v>
      </c>
      <c r="Y735" s="13"/>
      <c r="Z735" s="14">
        <v>0.0</v>
      </c>
      <c r="AA735" s="14">
        <v>0.0</v>
      </c>
      <c r="AB735" s="14">
        <v>0.0</v>
      </c>
      <c r="AC735" s="14">
        <v>0.0</v>
      </c>
      <c r="AD735" s="2">
        <v>0.0</v>
      </c>
      <c r="AE735" s="2">
        <v>0.0</v>
      </c>
      <c r="AF735" s="2" t="s">
        <v>1186</v>
      </c>
      <c r="AG735" s="2" t="s">
        <v>1186</v>
      </c>
      <c r="AH735" s="2">
        <v>0.0</v>
      </c>
    </row>
    <row r="736" ht="15.75" customHeight="1">
      <c r="B736" s="12"/>
      <c r="C736" s="13"/>
      <c r="D736" s="14"/>
      <c r="E736" s="15"/>
      <c r="G736" s="15"/>
      <c r="O736" s="15"/>
      <c r="Q736" s="17"/>
      <c r="S736" s="17"/>
      <c r="T736" s="17"/>
      <c r="U736" s="14"/>
      <c r="V736" s="14" t="s">
        <v>1186</v>
      </c>
      <c r="W736" s="2" t="s">
        <v>1186</v>
      </c>
      <c r="X736" s="2" t="s">
        <v>1186</v>
      </c>
      <c r="Y736" s="13"/>
      <c r="Z736" s="14">
        <v>0.0</v>
      </c>
      <c r="AA736" s="14">
        <v>0.0</v>
      </c>
      <c r="AB736" s="14">
        <v>0.0</v>
      </c>
      <c r="AC736" s="14">
        <v>0.0</v>
      </c>
      <c r="AD736" s="2">
        <v>0.0</v>
      </c>
      <c r="AE736" s="2">
        <v>0.0</v>
      </c>
      <c r="AF736" s="2" t="s">
        <v>1186</v>
      </c>
      <c r="AG736" s="2" t="s">
        <v>1186</v>
      </c>
      <c r="AH736" s="2">
        <v>0.0</v>
      </c>
    </row>
    <row r="737" ht="15.75" customHeight="1">
      <c r="B737" s="12"/>
      <c r="C737" s="13"/>
      <c r="D737" s="14"/>
      <c r="E737" s="15"/>
      <c r="G737" s="15"/>
      <c r="O737" s="15"/>
      <c r="Q737" s="17"/>
      <c r="S737" s="17"/>
      <c r="T737" s="17"/>
      <c r="U737" s="14"/>
      <c r="V737" s="14" t="s">
        <v>1186</v>
      </c>
      <c r="W737" s="2" t="s">
        <v>1186</v>
      </c>
      <c r="X737" s="2" t="s">
        <v>1186</v>
      </c>
      <c r="Y737" s="13"/>
      <c r="Z737" s="14">
        <v>0.0</v>
      </c>
      <c r="AA737" s="14">
        <v>0.0</v>
      </c>
      <c r="AB737" s="14">
        <v>0.0</v>
      </c>
      <c r="AC737" s="14">
        <v>0.0</v>
      </c>
      <c r="AD737" s="2">
        <v>0.0</v>
      </c>
      <c r="AE737" s="2">
        <v>0.0</v>
      </c>
      <c r="AF737" s="2" t="s">
        <v>1186</v>
      </c>
      <c r="AG737" s="2" t="s">
        <v>1186</v>
      </c>
      <c r="AH737" s="2">
        <v>0.0</v>
      </c>
    </row>
    <row r="738" ht="15.75" customHeight="1">
      <c r="B738" s="12"/>
      <c r="C738" s="13"/>
      <c r="D738" s="14"/>
      <c r="E738" s="15"/>
      <c r="G738" s="15"/>
      <c r="O738" s="15"/>
      <c r="Q738" s="17"/>
      <c r="S738" s="17"/>
      <c r="T738" s="17"/>
      <c r="U738" s="14"/>
      <c r="V738" s="14" t="s">
        <v>1186</v>
      </c>
      <c r="W738" s="2" t="s">
        <v>1186</v>
      </c>
      <c r="X738" s="2" t="s">
        <v>1186</v>
      </c>
      <c r="Y738" s="13"/>
      <c r="Z738" s="14">
        <v>0.0</v>
      </c>
      <c r="AA738" s="14">
        <v>0.0</v>
      </c>
      <c r="AB738" s="14">
        <v>0.0</v>
      </c>
      <c r="AC738" s="14">
        <v>0.0</v>
      </c>
      <c r="AD738" s="2">
        <v>0.0</v>
      </c>
      <c r="AE738" s="2">
        <v>0.0</v>
      </c>
      <c r="AF738" s="2" t="s">
        <v>1186</v>
      </c>
      <c r="AG738" s="2" t="s">
        <v>1186</v>
      </c>
      <c r="AH738" s="2">
        <v>0.0</v>
      </c>
    </row>
    <row r="739" ht="15.75" customHeight="1">
      <c r="B739" s="12"/>
      <c r="C739" s="13"/>
      <c r="D739" s="14"/>
      <c r="E739" s="15"/>
      <c r="G739" s="15"/>
      <c r="O739" s="15"/>
      <c r="Q739" s="17"/>
      <c r="S739" s="17"/>
      <c r="T739" s="17"/>
      <c r="U739" s="14"/>
      <c r="V739" s="14" t="s">
        <v>1186</v>
      </c>
      <c r="W739" s="2" t="s">
        <v>1186</v>
      </c>
      <c r="X739" s="2" t="s">
        <v>1186</v>
      </c>
      <c r="Y739" s="13"/>
      <c r="Z739" s="14">
        <v>0.0</v>
      </c>
      <c r="AA739" s="14">
        <v>0.0</v>
      </c>
      <c r="AB739" s="14">
        <v>0.0</v>
      </c>
      <c r="AC739" s="14">
        <v>0.0</v>
      </c>
      <c r="AD739" s="2">
        <v>0.0</v>
      </c>
      <c r="AE739" s="2">
        <v>0.0</v>
      </c>
      <c r="AF739" s="2" t="s">
        <v>1186</v>
      </c>
      <c r="AG739" s="2" t="s">
        <v>1186</v>
      </c>
      <c r="AH739" s="2">
        <v>0.0</v>
      </c>
    </row>
    <row r="740" ht="15.75" customHeight="1">
      <c r="B740" s="12"/>
      <c r="C740" s="13"/>
      <c r="D740" s="14"/>
      <c r="E740" s="15"/>
      <c r="G740" s="15"/>
      <c r="O740" s="15"/>
      <c r="Q740" s="17"/>
      <c r="S740" s="17"/>
      <c r="T740" s="17"/>
      <c r="U740" s="14"/>
      <c r="V740" s="14" t="s">
        <v>1186</v>
      </c>
      <c r="W740" s="2" t="s">
        <v>1186</v>
      </c>
      <c r="X740" s="2" t="s">
        <v>1186</v>
      </c>
      <c r="Y740" s="13"/>
      <c r="Z740" s="14">
        <v>0.0</v>
      </c>
      <c r="AA740" s="14">
        <v>0.0</v>
      </c>
      <c r="AB740" s="14">
        <v>0.0</v>
      </c>
      <c r="AC740" s="14">
        <v>0.0</v>
      </c>
      <c r="AD740" s="2">
        <v>0.0</v>
      </c>
      <c r="AE740" s="2">
        <v>0.0</v>
      </c>
      <c r="AF740" s="2" t="s">
        <v>1186</v>
      </c>
      <c r="AG740" s="2" t="s">
        <v>1186</v>
      </c>
      <c r="AH740" s="2">
        <v>0.0</v>
      </c>
    </row>
    <row r="741" ht="15.75" customHeight="1">
      <c r="B741" s="12"/>
      <c r="C741" s="13"/>
      <c r="D741" s="14"/>
      <c r="E741" s="15"/>
      <c r="G741" s="15"/>
      <c r="O741" s="15"/>
      <c r="Q741" s="17"/>
      <c r="S741" s="17"/>
      <c r="T741" s="17"/>
      <c r="U741" s="14"/>
      <c r="V741" s="14" t="s">
        <v>1186</v>
      </c>
      <c r="W741" s="2" t="s">
        <v>1186</v>
      </c>
      <c r="X741" s="2" t="s">
        <v>1186</v>
      </c>
      <c r="Y741" s="13"/>
      <c r="Z741" s="14">
        <v>0.0</v>
      </c>
      <c r="AA741" s="14">
        <v>0.0</v>
      </c>
      <c r="AB741" s="14">
        <v>0.0</v>
      </c>
      <c r="AC741" s="14">
        <v>0.0</v>
      </c>
      <c r="AD741" s="2">
        <v>0.0</v>
      </c>
      <c r="AE741" s="2">
        <v>0.0</v>
      </c>
      <c r="AF741" s="2" t="s">
        <v>1186</v>
      </c>
      <c r="AG741" s="2" t="s">
        <v>1186</v>
      </c>
      <c r="AH741" s="2">
        <v>0.0</v>
      </c>
    </row>
    <row r="742" ht="15.75" customHeight="1">
      <c r="B742" s="12"/>
      <c r="C742" s="13"/>
      <c r="D742" s="14"/>
      <c r="E742" s="15"/>
      <c r="G742" s="15"/>
      <c r="O742" s="15"/>
      <c r="Q742" s="17"/>
      <c r="S742" s="17"/>
      <c r="T742" s="17"/>
      <c r="U742" s="14"/>
      <c r="V742" s="14" t="s">
        <v>1186</v>
      </c>
      <c r="W742" s="2" t="s">
        <v>1186</v>
      </c>
      <c r="X742" s="2" t="s">
        <v>1186</v>
      </c>
      <c r="Y742" s="13"/>
      <c r="Z742" s="14">
        <v>0.0</v>
      </c>
      <c r="AA742" s="14">
        <v>0.0</v>
      </c>
      <c r="AB742" s="14">
        <v>0.0</v>
      </c>
      <c r="AC742" s="14">
        <v>0.0</v>
      </c>
      <c r="AD742" s="2">
        <v>0.0</v>
      </c>
      <c r="AE742" s="2">
        <v>0.0</v>
      </c>
      <c r="AF742" s="2" t="s">
        <v>1186</v>
      </c>
      <c r="AG742" s="2" t="s">
        <v>1186</v>
      </c>
      <c r="AH742" s="2">
        <v>0.0</v>
      </c>
    </row>
    <row r="743" ht="15.75" customHeight="1">
      <c r="B743" s="12"/>
      <c r="C743" s="13"/>
      <c r="D743" s="14"/>
      <c r="E743" s="15"/>
      <c r="G743" s="15"/>
      <c r="O743" s="15"/>
      <c r="Q743" s="17"/>
      <c r="S743" s="17"/>
      <c r="T743" s="17"/>
      <c r="U743" s="14"/>
      <c r="V743" s="14" t="s">
        <v>1186</v>
      </c>
      <c r="W743" s="2" t="s">
        <v>1186</v>
      </c>
      <c r="X743" s="2" t="s">
        <v>1186</v>
      </c>
      <c r="Y743" s="13"/>
      <c r="Z743" s="14">
        <v>0.0</v>
      </c>
      <c r="AA743" s="14">
        <v>0.0</v>
      </c>
      <c r="AB743" s="14">
        <v>0.0</v>
      </c>
      <c r="AC743" s="14">
        <v>0.0</v>
      </c>
      <c r="AD743" s="2">
        <v>0.0</v>
      </c>
      <c r="AE743" s="2">
        <v>0.0</v>
      </c>
      <c r="AF743" s="2" t="s">
        <v>1186</v>
      </c>
      <c r="AG743" s="2" t="s">
        <v>1186</v>
      </c>
      <c r="AH743" s="2">
        <v>0.0</v>
      </c>
    </row>
    <row r="744" ht="15.75" customHeight="1">
      <c r="B744" s="12"/>
      <c r="C744" s="13"/>
      <c r="D744" s="14"/>
      <c r="E744" s="15"/>
      <c r="G744" s="15"/>
      <c r="O744" s="15"/>
      <c r="Q744" s="17"/>
      <c r="S744" s="17"/>
      <c r="T744" s="17"/>
      <c r="U744" s="14"/>
      <c r="V744" s="14" t="s">
        <v>1186</v>
      </c>
      <c r="W744" s="2" t="s">
        <v>1186</v>
      </c>
      <c r="X744" s="2" t="s">
        <v>1186</v>
      </c>
      <c r="Y744" s="13"/>
      <c r="Z744" s="14">
        <v>0.0</v>
      </c>
      <c r="AA744" s="14">
        <v>0.0</v>
      </c>
      <c r="AB744" s="14">
        <v>0.0</v>
      </c>
      <c r="AC744" s="14">
        <v>0.0</v>
      </c>
      <c r="AD744" s="2">
        <v>0.0</v>
      </c>
      <c r="AE744" s="2">
        <v>0.0</v>
      </c>
      <c r="AF744" s="2" t="s">
        <v>1186</v>
      </c>
      <c r="AG744" s="2" t="s">
        <v>1186</v>
      </c>
      <c r="AH744" s="2">
        <v>0.0</v>
      </c>
    </row>
    <row r="745" ht="15.75" customHeight="1">
      <c r="B745" s="12"/>
      <c r="C745" s="13"/>
      <c r="D745" s="14"/>
      <c r="E745" s="15"/>
      <c r="G745" s="15"/>
      <c r="O745" s="15"/>
      <c r="Q745" s="17"/>
      <c r="S745" s="17"/>
      <c r="T745" s="17"/>
      <c r="U745" s="14"/>
      <c r="V745" s="14" t="s">
        <v>1186</v>
      </c>
      <c r="W745" s="2" t="s">
        <v>1186</v>
      </c>
      <c r="X745" s="2" t="s">
        <v>1186</v>
      </c>
      <c r="Y745" s="13"/>
      <c r="Z745" s="14">
        <v>0.0</v>
      </c>
      <c r="AA745" s="14">
        <v>0.0</v>
      </c>
      <c r="AB745" s="14">
        <v>0.0</v>
      </c>
      <c r="AC745" s="14">
        <v>0.0</v>
      </c>
      <c r="AD745" s="2">
        <v>0.0</v>
      </c>
      <c r="AE745" s="2">
        <v>0.0</v>
      </c>
      <c r="AF745" s="2" t="s">
        <v>1186</v>
      </c>
      <c r="AG745" s="2" t="s">
        <v>1186</v>
      </c>
      <c r="AH745" s="2">
        <v>0.0</v>
      </c>
    </row>
    <row r="746" ht="15.75" customHeight="1">
      <c r="B746" s="12"/>
      <c r="C746" s="13"/>
      <c r="D746" s="14"/>
      <c r="E746" s="15"/>
      <c r="G746" s="15"/>
      <c r="O746" s="15"/>
      <c r="Q746" s="17"/>
      <c r="S746" s="17"/>
      <c r="T746" s="17"/>
      <c r="U746" s="14"/>
      <c r="V746" s="14" t="s">
        <v>1186</v>
      </c>
      <c r="W746" s="2" t="s">
        <v>1186</v>
      </c>
      <c r="X746" s="2" t="s">
        <v>1186</v>
      </c>
      <c r="Y746" s="13"/>
      <c r="Z746" s="14">
        <v>0.0</v>
      </c>
      <c r="AA746" s="14">
        <v>0.0</v>
      </c>
      <c r="AB746" s="14">
        <v>0.0</v>
      </c>
      <c r="AC746" s="14">
        <v>0.0</v>
      </c>
      <c r="AD746" s="2">
        <v>0.0</v>
      </c>
      <c r="AE746" s="2">
        <v>0.0</v>
      </c>
      <c r="AF746" s="2" t="s">
        <v>1186</v>
      </c>
      <c r="AG746" s="2" t="s">
        <v>1186</v>
      </c>
      <c r="AH746" s="2">
        <v>0.0</v>
      </c>
    </row>
    <row r="747" ht="15.75" customHeight="1">
      <c r="B747" s="12"/>
      <c r="C747" s="13"/>
      <c r="D747" s="14"/>
      <c r="E747" s="15"/>
      <c r="G747" s="15"/>
      <c r="O747" s="15"/>
      <c r="Q747" s="17"/>
      <c r="S747" s="17"/>
      <c r="T747" s="17"/>
      <c r="U747" s="14"/>
      <c r="V747" s="14" t="s">
        <v>1186</v>
      </c>
      <c r="W747" s="2" t="s">
        <v>1186</v>
      </c>
      <c r="X747" s="2" t="s">
        <v>1186</v>
      </c>
      <c r="Y747" s="13"/>
      <c r="Z747" s="14">
        <v>0.0</v>
      </c>
      <c r="AA747" s="14">
        <v>0.0</v>
      </c>
      <c r="AB747" s="14">
        <v>0.0</v>
      </c>
      <c r="AC747" s="14">
        <v>0.0</v>
      </c>
      <c r="AD747" s="2">
        <v>0.0</v>
      </c>
      <c r="AE747" s="2">
        <v>0.0</v>
      </c>
      <c r="AF747" s="2" t="s">
        <v>1186</v>
      </c>
      <c r="AG747" s="2" t="s">
        <v>1186</v>
      </c>
      <c r="AH747" s="2">
        <v>0.0</v>
      </c>
    </row>
    <row r="748" ht="15.75" customHeight="1">
      <c r="B748" s="12"/>
      <c r="C748" s="13"/>
      <c r="D748" s="14"/>
      <c r="E748" s="15"/>
      <c r="G748" s="15"/>
      <c r="O748" s="15"/>
      <c r="Q748" s="17"/>
      <c r="S748" s="17"/>
      <c r="T748" s="17"/>
      <c r="U748" s="14"/>
      <c r="V748" s="14" t="s">
        <v>1186</v>
      </c>
      <c r="W748" s="2" t="s">
        <v>1186</v>
      </c>
      <c r="X748" s="2" t="s">
        <v>1186</v>
      </c>
      <c r="Y748" s="13"/>
      <c r="Z748" s="14">
        <v>0.0</v>
      </c>
      <c r="AA748" s="14">
        <v>0.0</v>
      </c>
      <c r="AB748" s="14">
        <v>0.0</v>
      </c>
      <c r="AC748" s="14">
        <v>0.0</v>
      </c>
      <c r="AD748" s="2">
        <v>0.0</v>
      </c>
      <c r="AE748" s="2">
        <v>0.0</v>
      </c>
      <c r="AF748" s="2" t="s">
        <v>1186</v>
      </c>
      <c r="AG748" s="2" t="s">
        <v>1186</v>
      </c>
      <c r="AH748" s="2">
        <v>0.0</v>
      </c>
    </row>
    <row r="749" ht="15.75" customHeight="1">
      <c r="B749" s="12"/>
      <c r="C749" s="13"/>
      <c r="D749" s="14"/>
      <c r="E749" s="15"/>
      <c r="G749" s="15"/>
      <c r="O749" s="15"/>
      <c r="Q749" s="17"/>
      <c r="S749" s="17"/>
      <c r="T749" s="17"/>
      <c r="U749" s="14"/>
      <c r="V749" s="14" t="s">
        <v>1186</v>
      </c>
      <c r="W749" s="2" t="s">
        <v>1186</v>
      </c>
      <c r="X749" s="2" t="s">
        <v>1186</v>
      </c>
      <c r="Y749" s="13"/>
      <c r="Z749" s="14">
        <v>0.0</v>
      </c>
      <c r="AA749" s="14">
        <v>0.0</v>
      </c>
      <c r="AB749" s="14">
        <v>0.0</v>
      </c>
      <c r="AC749" s="14">
        <v>0.0</v>
      </c>
      <c r="AD749" s="2">
        <v>0.0</v>
      </c>
      <c r="AE749" s="2">
        <v>0.0</v>
      </c>
      <c r="AF749" s="2" t="s">
        <v>1186</v>
      </c>
      <c r="AG749" s="2" t="s">
        <v>1186</v>
      </c>
      <c r="AH749" s="2">
        <v>0.0</v>
      </c>
    </row>
    <row r="750" ht="15.75" customHeight="1">
      <c r="B750" s="12"/>
      <c r="C750" s="13"/>
      <c r="D750" s="14"/>
      <c r="E750" s="15"/>
      <c r="G750" s="15"/>
      <c r="O750" s="15"/>
      <c r="Q750" s="17"/>
      <c r="S750" s="17"/>
      <c r="T750" s="17"/>
      <c r="U750" s="14"/>
      <c r="V750" s="14" t="s">
        <v>1186</v>
      </c>
      <c r="W750" s="2" t="s">
        <v>1186</v>
      </c>
      <c r="X750" s="2" t="s">
        <v>1186</v>
      </c>
      <c r="Y750" s="13"/>
      <c r="Z750" s="14">
        <v>0.0</v>
      </c>
      <c r="AA750" s="14">
        <v>0.0</v>
      </c>
      <c r="AB750" s="14">
        <v>0.0</v>
      </c>
      <c r="AC750" s="14">
        <v>0.0</v>
      </c>
      <c r="AD750" s="2">
        <v>0.0</v>
      </c>
      <c r="AE750" s="2">
        <v>0.0</v>
      </c>
      <c r="AF750" s="2" t="s">
        <v>1186</v>
      </c>
      <c r="AG750" s="2" t="s">
        <v>1186</v>
      </c>
      <c r="AH750" s="2">
        <v>0.0</v>
      </c>
    </row>
    <row r="751" ht="15.75" customHeight="1">
      <c r="B751" s="12"/>
      <c r="C751" s="13"/>
      <c r="D751" s="14"/>
      <c r="E751" s="15"/>
      <c r="G751" s="15"/>
      <c r="O751" s="15"/>
      <c r="Q751" s="17"/>
      <c r="S751" s="17"/>
      <c r="T751" s="17"/>
      <c r="U751" s="14"/>
      <c r="V751" s="14" t="s">
        <v>1186</v>
      </c>
      <c r="W751" s="2" t="s">
        <v>1186</v>
      </c>
      <c r="X751" s="2" t="s">
        <v>1186</v>
      </c>
      <c r="Y751" s="13"/>
      <c r="Z751" s="14">
        <v>0.0</v>
      </c>
      <c r="AA751" s="14">
        <v>0.0</v>
      </c>
      <c r="AB751" s="14">
        <v>0.0</v>
      </c>
      <c r="AC751" s="14">
        <v>0.0</v>
      </c>
      <c r="AD751" s="2">
        <v>0.0</v>
      </c>
      <c r="AE751" s="2">
        <v>0.0</v>
      </c>
      <c r="AF751" s="2" t="s">
        <v>1186</v>
      </c>
      <c r="AG751" s="2" t="s">
        <v>1186</v>
      </c>
      <c r="AH751" s="2">
        <v>0.0</v>
      </c>
    </row>
    <row r="752" ht="15.75" customHeight="1">
      <c r="B752" s="12"/>
      <c r="C752" s="13"/>
      <c r="D752" s="14"/>
      <c r="E752" s="15"/>
      <c r="G752" s="15"/>
      <c r="O752" s="15"/>
      <c r="Q752" s="17"/>
      <c r="S752" s="17"/>
      <c r="T752" s="17"/>
      <c r="U752" s="14"/>
      <c r="V752" s="14" t="s">
        <v>1186</v>
      </c>
      <c r="W752" s="2" t="s">
        <v>1186</v>
      </c>
      <c r="X752" s="2" t="s">
        <v>1186</v>
      </c>
      <c r="Y752" s="13"/>
      <c r="Z752" s="14">
        <v>0.0</v>
      </c>
      <c r="AA752" s="14">
        <v>0.0</v>
      </c>
      <c r="AB752" s="14">
        <v>0.0</v>
      </c>
      <c r="AC752" s="14">
        <v>0.0</v>
      </c>
      <c r="AD752" s="2">
        <v>0.0</v>
      </c>
      <c r="AE752" s="2">
        <v>0.0</v>
      </c>
      <c r="AF752" s="2" t="s">
        <v>1186</v>
      </c>
      <c r="AG752" s="2" t="s">
        <v>1186</v>
      </c>
      <c r="AH752" s="2">
        <v>0.0</v>
      </c>
    </row>
    <row r="753" ht="15.75" customHeight="1">
      <c r="B753" s="12"/>
      <c r="C753" s="13"/>
      <c r="D753" s="14"/>
      <c r="E753" s="15"/>
      <c r="G753" s="15"/>
      <c r="O753" s="15"/>
      <c r="Q753" s="17"/>
      <c r="S753" s="17"/>
      <c r="T753" s="17"/>
      <c r="U753" s="14"/>
      <c r="V753" s="14" t="s">
        <v>1186</v>
      </c>
      <c r="W753" s="2" t="s">
        <v>1186</v>
      </c>
      <c r="X753" s="2" t="s">
        <v>1186</v>
      </c>
      <c r="Y753" s="13"/>
      <c r="Z753" s="14">
        <v>0.0</v>
      </c>
      <c r="AA753" s="14">
        <v>0.0</v>
      </c>
      <c r="AB753" s="14">
        <v>0.0</v>
      </c>
      <c r="AC753" s="14">
        <v>0.0</v>
      </c>
      <c r="AD753" s="2">
        <v>0.0</v>
      </c>
      <c r="AE753" s="2">
        <v>0.0</v>
      </c>
      <c r="AF753" s="2" t="s">
        <v>1186</v>
      </c>
      <c r="AG753" s="2" t="s">
        <v>1186</v>
      </c>
      <c r="AH753" s="2">
        <v>0.0</v>
      </c>
    </row>
    <row r="754" ht="15.75" customHeight="1">
      <c r="B754" s="12"/>
      <c r="C754" s="13"/>
      <c r="D754" s="14"/>
      <c r="E754" s="15"/>
      <c r="G754" s="15"/>
      <c r="O754" s="15"/>
      <c r="Q754" s="17"/>
      <c r="S754" s="17"/>
      <c r="T754" s="17"/>
      <c r="U754" s="14"/>
      <c r="V754" s="14" t="s">
        <v>1186</v>
      </c>
      <c r="W754" s="2" t="s">
        <v>1186</v>
      </c>
      <c r="X754" s="2" t="s">
        <v>1186</v>
      </c>
      <c r="Y754" s="13"/>
      <c r="Z754" s="14">
        <v>0.0</v>
      </c>
      <c r="AA754" s="14">
        <v>0.0</v>
      </c>
      <c r="AB754" s="14">
        <v>0.0</v>
      </c>
      <c r="AC754" s="14">
        <v>0.0</v>
      </c>
      <c r="AD754" s="2">
        <v>0.0</v>
      </c>
      <c r="AE754" s="2">
        <v>0.0</v>
      </c>
      <c r="AF754" s="2" t="s">
        <v>1186</v>
      </c>
      <c r="AG754" s="2" t="s">
        <v>1186</v>
      </c>
      <c r="AH754" s="2">
        <v>0.0</v>
      </c>
    </row>
    <row r="755" ht="15.75" customHeight="1">
      <c r="B755" s="12"/>
      <c r="C755" s="13"/>
      <c r="D755" s="14"/>
      <c r="E755" s="15"/>
      <c r="G755" s="15"/>
      <c r="O755" s="15"/>
      <c r="Q755" s="17"/>
      <c r="S755" s="17"/>
      <c r="T755" s="17"/>
      <c r="U755" s="14"/>
      <c r="V755" s="14" t="s">
        <v>1186</v>
      </c>
      <c r="W755" s="2" t="s">
        <v>1186</v>
      </c>
      <c r="X755" s="2" t="s">
        <v>1186</v>
      </c>
      <c r="Y755" s="13"/>
      <c r="Z755" s="14">
        <v>0.0</v>
      </c>
      <c r="AA755" s="14">
        <v>0.0</v>
      </c>
      <c r="AB755" s="14">
        <v>0.0</v>
      </c>
      <c r="AC755" s="14">
        <v>0.0</v>
      </c>
      <c r="AD755" s="2">
        <v>0.0</v>
      </c>
      <c r="AE755" s="2">
        <v>0.0</v>
      </c>
      <c r="AF755" s="2" t="s">
        <v>1186</v>
      </c>
      <c r="AG755" s="2" t="s">
        <v>1186</v>
      </c>
      <c r="AH755" s="2">
        <v>0.0</v>
      </c>
    </row>
    <row r="756" ht="15.75" customHeight="1">
      <c r="B756" s="12"/>
      <c r="C756" s="13"/>
      <c r="D756" s="14"/>
      <c r="E756" s="15"/>
      <c r="G756" s="15"/>
      <c r="O756" s="15"/>
      <c r="Q756" s="17"/>
      <c r="S756" s="17"/>
      <c r="T756" s="17"/>
      <c r="U756" s="14"/>
      <c r="V756" s="14" t="s">
        <v>1186</v>
      </c>
      <c r="W756" s="2" t="s">
        <v>1186</v>
      </c>
      <c r="X756" s="2" t="s">
        <v>1186</v>
      </c>
      <c r="Y756" s="13"/>
      <c r="Z756" s="14">
        <v>0.0</v>
      </c>
      <c r="AA756" s="14">
        <v>0.0</v>
      </c>
      <c r="AB756" s="14">
        <v>0.0</v>
      </c>
      <c r="AC756" s="14">
        <v>0.0</v>
      </c>
      <c r="AD756" s="2">
        <v>0.0</v>
      </c>
      <c r="AE756" s="2">
        <v>0.0</v>
      </c>
      <c r="AF756" s="2" t="s">
        <v>1186</v>
      </c>
      <c r="AG756" s="2" t="s">
        <v>1186</v>
      </c>
      <c r="AH756" s="2">
        <v>0.0</v>
      </c>
    </row>
    <row r="757" ht="15.75" customHeight="1">
      <c r="B757" s="12"/>
      <c r="C757" s="13"/>
      <c r="D757" s="14"/>
      <c r="E757" s="15"/>
      <c r="G757" s="15"/>
      <c r="O757" s="15"/>
      <c r="Q757" s="17"/>
      <c r="S757" s="17"/>
      <c r="T757" s="17"/>
      <c r="U757" s="14"/>
      <c r="V757" s="14" t="s">
        <v>1186</v>
      </c>
      <c r="W757" s="2" t="s">
        <v>1186</v>
      </c>
      <c r="X757" s="2" t="s">
        <v>1186</v>
      </c>
      <c r="Y757" s="13"/>
      <c r="Z757" s="14">
        <v>0.0</v>
      </c>
      <c r="AA757" s="14">
        <v>0.0</v>
      </c>
      <c r="AB757" s="14">
        <v>0.0</v>
      </c>
      <c r="AC757" s="14">
        <v>0.0</v>
      </c>
      <c r="AD757" s="2">
        <v>0.0</v>
      </c>
      <c r="AE757" s="2">
        <v>0.0</v>
      </c>
      <c r="AF757" s="2" t="s">
        <v>1186</v>
      </c>
      <c r="AG757" s="2" t="s">
        <v>1186</v>
      </c>
      <c r="AH757" s="2">
        <v>0.0</v>
      </c>
    </row>
    <row r="758" ht="15.75" customHeight="1">
      <c r="B758" s="12"/>
      <c r="C758" s="13"/>
      <c r="D758" s="14"/>
      <c r="E758" s="15"/>
      <c r="G758" s="15"/>
      <c r="O758" s="15"/>
      <c r="Q758" s="17"/>
      <c r="S758" s="17"/>
      <c r="T758" s="17"/>
      <c r="U758" s="14"/>
      <c r="V758" s="14" t="s">
        <v>1186</v>
      </c>
      <c r="W758" s="2" t="s">
        <v>1186</v>
      </c>
      <c r="X758" s="2" t="s">
        <v>1186</v>
      </c>
      <c r="Y758" s="13"/>
      <c r="Z758" s="14">
        <v>0.0</v>
      </c>
      <c r="AA758" s="14">
        <v>0.0</v>
      </c>
      <c r="AB758" s="14">
        <v>0.0</v>
      </c>
      <c r="AC758" s="14">
        <v>0.0</v>
      </c>
      <c r="AD758" s="2">
        <v>0.0</v>
      </c>
      <c r="AE758" s="2">
        <v>0.0</v>
      </c>
      <c r="AF758" s="2" t="s">
        <v>1186</v>
      </c>
      <c r="AG758" s="2" t="s">
        <v>1186</v>
      </c>
      <c r="AH758" s="2">
        <v>0.0</v>
      </c>
    </row>
    <row r="759" ht="15.75" customHeight="1">
      <c r="B759" s="12"/>
      <c r="C759" s="13"/>
      <c r="D759" s="14"/>
      <c r="E759" s="15"/>
      <c r="G759" s="15"/>
      <c r="O759" s="15"/>
      <c r="Q759" s="17"/>
      <c r="S759" s="17"/>
      <c r="T759" s="17"/>
      <c r="U759" s="14"/>
      <c r="V759" s="14" t="s">
        <v>1186</v>
      </c>
      <c r="W759" s="2" t="s">
        <v>1186</v>
      </c>
      <c r="X759" s="2" t="s">
        <v>1186</v>
      </c>
      <c r="Y759" s="13"/>
      <c r="Z759" s="14">
        <v>0.0</v>
      </c>
      <c r="AA759" s="14">
        <v>0.0</v>
      </c>
      <c r="AB759" s="14">
        <v>0.0</v>
      </c>
      <c r="AC759" s="14">
        <v>0.0</v>
      </c>
      <c r="AD759" s="2">
        <v>0.0</v>
      </c>
      <c r="AE759" s="2">
        <v>0.0</v>
      </c>
      <c r="AF759" s="2" t="s">
        <v>1186</v>
      </c>
      <c r="AG759" s="2" t="s">
        <v>1186</v>
      </c>
      <c r="AH759" s="2">
        <v>0.0</v>
      </c>
    </row>
    <row r="760" ht="15.75" customHeight="1">
      <c r="B760" s="12"/>
      <c r="C760" s="13"/>
      <c r="D760" s="14"/>
      <c r="E760" s="15"/>
      <c r="G760" s="15"/>
      <c r="O760" s="15"/>
      <c r="Q760" s="17"/>
      <c r="S760" s="17"/>
      <c r="T760" s="17"/>
      <c r="U760" s="14"/>
      <c r="V760" s="14" t="s">
        <v>1186</v>
      </c>
      <c r="W760" s="2" t="s">
        <v>1186</v>
      </c>
      <c r="X760" s="2" t="s">
        <v>1186</v>
      </c>
      <c r="Y760" s="13"/>
      <c r="Z760" s="14">
        <v>0.0</v>
      </c>
      <c r="AA760" s="14">
        <v>0.0</v>
      </c>
      <c r="AB760" s="14">
        <v>0.0</v>
      </c>
      <c r="AC760" s="14">
        <v>0.0</v>
      </c>
      <c r="AD760" s="2">
        <v>0.0</v>
      </c>
      <c r="AE760" s="2">
        <v>0.0</v>
      </c>
      <c r="AF760" s="2" t="s">
        <v>1186</v>
      </c>
      <c r="AG760" s="2" t="s">
        <v>1186</v>
      </c>
      <c r="AH760" s="2">
        <v>0.0</v>
      </c>
    </row>
    <row r="761" ht="15.75" customHeight="1">
      <c r="B761" s="12"/>
      <c r="C761" s="13"/>
      <c r="D761" s="14"/>
      <c r="E761" s="15"/>
      <c r="G761" s="15"/>
      <c r="O761" s="15"/>
      <c r="Q761" s="17"/>
      <c r="S761" s="17"/>
      <c r="T761" s="17"/>
      <c r="U761" s="14"/>
      <c r="V761" s="14" t="s">
        <v>1186</v>
      </c>
      <c r="W761" s="2" t="s">
        <v>1186</v>
      </c>
      <c r="X761" s="2" t="s">
        <v>1186</v>
      </c>
      <c r="Y761" s="13"/>
      <c r="Z761" s="14">
        <v>0.0</v>
      </c>
      <c r="AA761" s="14">
        <v>0.0</v>
      </c>
      <c r="AB761" s="14">
        <v>0.0</v>
      </c>
      <c r="AC761" s="14">
        <v>0.0</v>
      </c>
      <c r="AD761" s="2">
        <v>0.0</v>
      </c>
      <c r="AE761" s="2">
        <v>0.0</v>
      </c>
      <c r="AF761" s="2" t="s">
        <v>1186</v>
      </c>
      <c r="AG761" s="2" t="s">
        <v>1186</v>
      </c>
      <c r="AH761" s="2">
        <v>0.0</v>
      </c>
    </row>
    <row r="762" ht="15.75" customHeight="1">
      <c r="B762" s="12"/>
      <c r="C762" s="13"/>
      <c r="D762" s="14"/>
      <c r="E762" s="15"/>
      <c r="G762" s="15"/>
      <c r="O762" s="15"/>
      <c r="Q762" s="17"/>
      <c r="S762" s="17"/>
      <c r="T762" s="17"/>
      <c r="U762" s="14"/>
      <c r="V762" s="14" t="s">
        <v>1186</v>
      </c>
      <c r="W762" s="2" t="s">
        <v>1186</v>
      </c>
      <c r="X762" s="2" t="s">
        <v>1186</v>
      </c>
      <c r="Y762" s="13"/>
      <c r="Z762" s="14">
        <v>0.0</v>
      </c>
      <c r="AA762" s="14">
        <v>0.0</v>
      </c>
      <c r="AB762" s="14">
        <v>0.0</v>
      </c>
      <c r="AC762" s="14">
        <v>0.0</v>
      </c>
      <c r="AD762" s="2">
        <v>0.0</v>
      </c>
      <c r="AE762" s="2">
        <v>0.0</v>
      </c>
      <c r="AF762" s="2" t="s">
        <v>1186</v>
      </c>
      <c r="AG762" s="2" t="s">
        <v>1186</v>
      </c>
      <c r="AH762" s="2">
        <v>0.0</v>
      </c>
    </row>
    <row r="763" ht="15.75" customHeight="1">
      <c r="B763" s="12"/>
      <c r="C763" s="13"/>
      <c r="D763" s="14"/>
      <c r="E763" s="15"/>
      <c r="G763" s="15"/>
      <c r="O763" s="15"/>
      <c r="Q763" s="17"/>
      <c r="S763" s="17"/>
      <c r="T763" s="17"/>
      <c r="U763" s="14"/>
      <c r="V763" s="14" t="s">
        <v>1186</v>
      </c>
      <c r="W763" s="2" t="s">
        <v>1186</v>
      </c>
      <c r="X763" s="2" t="s">
        <v>1186</v>
      </c>
      <c r="Y763" s="13"/>
      <c r="Z763" s="14">
        <v>0.0</v>
      </c>
      <c r="AA763" s="14">
        <v>0.0</v>
      </c>
      <c r="AB763" s="14">
        <v>0.0</v>
      </c>
      <c r="AC763" s="14">
        <v>0.0</v>
      </c>
      <c r="AD763" s="2">
        <v>0.0</v>
      </c>
      <c r="AE763" s="2">
        <v>0.0</v>
      </c>
      <c r="AF763" s="2" t="s">
        <v>1186</v>
      </c>
      <c r="AG763" s="2" t="s">
        <v>1186</v>
      </c>
      <c r="AH763" s="2">
        <v>0.0</v>
      </c>
    </row>
    <row r="764" ht="15.75" customHeight="1">
      <c r="B764" s="12"/>
      <c r="C764" s="13"/>
      <c r="D764" s="14"/>
      <c r="E764" s="15"/>
      <c r="G764" s="15"/>
      <c r="O764" s="15"/>
      <c r="Q764" s="17"/>
      <c r="S764" s="17"/>
      <c r="T764" s="17"/>
      <c r="U764" s="14"/>
      <c r="V764" s="14" t="s">
        <v>1186</v>
      </c>
      <c r="W764" s="2" t="s">
        <v>1186</v>
      </c>
      <c r="X764" s="2" t="s">
        <v>1186</v>
      </c>
      <c r="Y764" s="13"/>
      <c r="Z764" s="14">
        <v>0.0</v>
      </c>
      <c r="AA764" s="14">
        <v>0.0</v>
      </c>
      <c r="AB764" s="14">
        <v>0.0</v>
      </c>
      <c r="AC764" s="14">
        <v>0.0</v>
      </c>
      <c r="AD764" s="2">
        <v>0.0</v>
      </c>
      <c r="AE764" s="2">
        <v>0.0</v>
      </c>
      <c r="AF764" s="2" t="s">
        <v>1186</v>
      </c>
      <c r="AG764" s="2" t="s">
        <v>1186</v>
      </c>
      <c r="AH764" s="2">
        <v>0.0</v>
      </c>
    </row>
    <row r="765" ht="15.75" customHeight="1">
      <c r="B765" s="12"/>
      <c r="C765" s="13"/>
      <c r="D765" s="14"/>
      <c r="E765" s="15"/>
      <c r="G765" s="15"/>
      <c r="O765" s="15"/>
      <c r="Q765" s="17"/>
      <c r="S765" s="17"/>
      <c r="T765" s="17"/>
      <c r="U765" s="14"/>
      <c r="V765" s="14" t="s">
        <v>1186</v>
      </c>
      <c r="W765" s="2" t="s">
        <v>1186</v>
      </c>
      <c r="X765" s="2" t="s">
        <v>1186</v>
      </c>
      <c r="Y765" s="13"/>
      <c r="Z765" s="14">
        <v>0.0</v>
      </c>
      <c r="AA765" s="14">
        <v>0.0</v>
      </c>
      <c r="AB765" s="14">
        <v>0.0</v>
      </c>
      <c r="AC765" s="14">
        <v>0.0</v>
      </c>
      <c r="AD765" s="2">
        <v>0.0</v>
      </c>
      <c r="AE765" s="2">
        <v>0.0</v>
      </c>
      <c r="AF765" s="2" t="s">
        <v>1186</v>
      </c>
      <c r="AG765" s="2" t="s">
        <v>1186</v>
      </c>
      <c r="AH765" s="2">
        <v>0.0</v>
      </c>
    </row>
    <row r="766" ht="15.75" customHeight="1">
      <c r="B766" s="12"/>
      <c r="C766" s="13"/>
      <c r="D766" s="14"/>
      <c r="E766" s="15"/>
      <c r="G766" s="15"/>
      <c r="O766" s="15"/>
      <c r="Q766" s="17"/>
      <c r="S766" s="17"/>
      <c r="T766" s="17"/>
      <c r="U766" s="14"/>
      <c r="V766" s="14" t="s">
        <v>1186</v>
      </c>
      <c r="W766" s="2" t="s">
        <v>1186</v>
      </c>
      <c r="X766" s="2" t="s">
        <v>1186</v>
      </c>
      <c r="Y766" s="13"/>
      <c r="Z766" s="14">
        <v>0.0</v>
      </c>
      <c r="AA766" s="14">
        <v>0.0</v>
      </c>
      <c r="AB766" s="14">
        <v>0.0</v>
      </c>
      <c r="AC766" s="14">
        <v>0.0</v>
      </c>
      <c r="AD766" s="2">
        <v>0.0</v>
      </c>
      <c r="AE766" s="2">
        <v>0.0</v>
      </c>
      <c r="AF766" s="2" t="s">
        <v>1186</v>
      </c>
      <c r="AG766" s="2" t="s">
        <v>1186</v>
      </c>
      <c r="AH766" s="2">
        <v>0.0</v>
      </c>
    </row>
    <row r="767" ht="15.75" customHeight="1">
      <c r="B767" s="12"/>
      <c r="C767" s="13"/>
      <c r="D767" s="14"/>
      <c r="E767" s="15"/>
      <c r="G767" s="15"/>
      <c r="O767" s="15"/>
      <c r="Q767" s="17"/>
      <c r="S767" s="17"/>
      <c r="T767" s="17"/>
      <c r="U767" s="14"/>
      <c r="V767" s="14" t="s">
        <v>1186</v>
      </c>
      <c r="W767" s="2" t="s">
        <v>1186</v>
      </c>
      <c r="X767" s="2" t="s">
        <v>1186</v>
      </c>
      <c r="Y767" s="13"/>
      <c r="Z767" s="14">
        <v>0.0</v>
      </c>
      <c r="AA767" s="14">
        <v>0.0</v>
      </c>
      <c r="AB767" s="14">
        <v>0.0</v>
      </c>
      <c r="AC767" s="14">
        <v>0.0</v>
      </c>
      <c r="AD767" s="2">
        <v>0.0</v>
      </c>
      <c r="AE767" s="2">
        <v>0.0</v>
      </c>
      <c r="AF767" s="2" t="s">
        <v>1186</v>
      </c>
      <c r="AG767" s="2" t="s">
        <v>1186</v>
      </c>
      <c r="AH767" s="2">
        <v>0.0</v>
      </c>
    </row>
    <row r="768" ht="15.75" customHeight="1">
      <c r="B768" s="12"/>
      <c r="C768" s="13"/>
      <c r="D768" s="14"/>
      <c r="E768" s="15"/>
      <c r="G768" s="15"/>
      <c r="O768" s="15"/>
      <c r="Q768" s="17"/>
      <c r="S768" s="17"/>
      <c r="T768" s="17"/>
      <c r="U768" s="14"/>
      <c r="V768" s="14" t="s">
        <v>1186</v>
      </c>
      <c r="W768" s="2" t="s">
        <v>1186</v>
      </c>
      <c r="X768" s="2" t="s">
        <v>1186</v>
      </c>
      <c r="Y768" s="13"/>
      <c r="Z768" s="14">
        <v>0.0</v>
      </c>
      <c r="AA768" s="14">
        <v>0.0</v>
      </c>
      <c r="AB768" s="14">
        <v>0.0</v>
      </c>
      <c r="AC768" s="14">
        <v>0.0</v>
      </c>
      <c r="AD768" s="2">
        <v>0.0</v>
      </c>
      <c r="AE768" s="2">
        <v>0.0</v>
      </c>
      <c r="AF768" s="2" t="s">
        <v>1186</v>
      </c>
      <c r="AG768" s="2" t="s">
        <v>1186</v>
      </c>
      <c r="AH768" s="2">
        <v>0.0</v>
      </c>
    </row>
    <row r="769" ht="15.75" customHeight="1">
      <c r="B769" s="12"/>
      <c r="C769" s="13"/>
      <c r="D769" s="14"/>
      <c r="E769" s="15"/>
      <c r="G769" s="15"/>
      <c r="O769" s="15"/>
      <c r="Q769" s="17"/>
      <c r="S769" s="17"/>
      <c r="T769" s="17"/>
      <c r="U769" s="14"/>
      <c r="V769" s="14" t="s">
        <v>1186</v>
      </c>
      <c r="W769" s="2" t="s">
        <v>1186</v>
      </c>
      <c r="X769" s="2" t="s">
        <v>1186</v>
      </c>
      <c r="Y769" s="13"/>
      <c r="Z769" s="14">
        <v>0.0</v>
      </c>
      <c r="AA769" s="14">
        <v>0.0</v>
      </c>
      <c r="AB769" s="14">
        <v>0.0</v>
      </c>
      <c r="AC769" s="14">
        <v>0.0</v>
      </c>
      <c r="AD769" s="2">
        <v>0.0</v>
      </c>
      <c r="AE769" s="2">
        <v>0.0</v>
      </c>
      <c r="AF769" s="2" t="s">
        <v>1186</v>
      </c>
      <c r="AG769" s="2" t="s">
        <v>1186</v>
      </c>
      <c r="AH769" s="2">
        <v>0.0</v>
      </c>
    </row>
    <row r="770" ht="15.75" customHeight="1">
      <c r="B770" s="12"/>
      <c r="C770" s="13"/>
      <c r="D770" s="14"/>
      <c r="E770" s="15"/>
      <c r="G770" s="15"/>
      <c r="O770" s="15"/>
      <c r="Q770" s="17"/>
      <c r="S770" s="17"/>
      <c r="T770" s="17"/>
      <c r="U770" s="14"/>
      <c r="V770" s="14" t="s">
        <v>1186</v>
      </c>
      <c r="W770" s="2" t="s">
        <v>1186</v>
      </c>
      <c r="X770" s="2" t="s">
        <v>1186</v>
      </c>
      <c r="Y770" s="13"/>
      <c r="Z770" s="14">
        <v>0.0</v>
      </c>
      <c r="AA770" s="14">
        <v>0.0</v>
      </c>
      <c r="AB770" s="14">
        <v>0.0</v>
      </c>
      <c r="AC770" s="14">
        <v>0.0</v>
      </c>
      <c r="AD770" s="2">
        <v>0.0</v>
      </c>
      <c r="AE770" s="2">
        <v>0.0</v>
      </c>
      <c r="AF770" s="2" t="s">
        <v>1186</v>
      </c>
      <c r="AG770" s="2" t="s">
        <v>1186</v>
      </c>
      <c r="AH770" s="2">
        <v>0.0</v>
      </c>
    </row>
    <row r="771" ht="15.75" customHeight="1">
      <c r="B771" s="12"/>
      <c r="C771" s="13"/>
      <c r="D771" s="14"/>
      <c r="E771" s="15"/>
      <c r="G771" s="15"/>
      <c r="O771" s="15"/>
      <c r="Q771" s="17"/>
      <c r="S771" s="17"/>
      <c r="T771" s="17"/>
      <c r="U771" s="14"/>
      <c r="V771" s="14" t="s">
        <v>1186</v>
      </c>
      <c r="W771" s="2" t="s">
        <v>1186</v>
      </c>
      <c r="X771" s="2" t="s">
        <v>1186</v>
      </c>
      <c r="Y771" s="13"/>
      <c r="Z771" s="14">
        <v>0.0</v>
      </c>
      <c r="AA771" s="14">
        <v>0.0</v>
      </c>
      <c r="AB771" s="14">
        <v>0.0</v>
      </c>
      <c r="AC771" s="14">
        <v>0.0</v>
      </c>
      <c r="AD771" s="2">
        <v>0.0</v>
      </c>
      <c r="AE771" s="2">
        <v>0.0</v>
      </c>
      <c r="AF771" s="2" t="s">
        <v>1186</v>
      </c>
      <c r="AG771" s="2" t="s">
        <v>1186</v>
      </c>
      <c r="AH771" s="2">
        <v>0.0</v>
      </c>
    </row>
    <row r="772" ht="15.75" customHeight="1">
      <c r="B772" s="12"/>
      <c r="C772" s="13"/>
      <c r="D772" s="14"/>
      <c r="E772" s="15"/>
      <c r="G772" s="15"/>
      <c r="O772" s="15"/>
      <c r="Q772" s="17"/>
      <c r="S772" s="17"/>
      <c r="T772" s="17"/>
      <c r="U772" s="14"/>
      <c r="V772" s="14" t="s">
        <v>1186</v>
      </c>
      <c r="W772" s="2" t="s">
        <v>1186</v>
      </c>
      <c r="X772" s="2" t="s">
        <v>1186</v>
      </c>
      <c r="Y772" s="13"/>
      <c r="Z772" s="14">
        <v>0.0</v>
      </c>
      <c r="AA772" s="14">
        <v>0.0</v>
      </c>
      <c r="AB772" s="14">
        <v>0.0</v>
      </c>
      <c r="AC772" s="14">
        <v>0.0</v>
      </c>
      <c r="AD772" s="2">
        <v>0.0</v>
      </c>
      <c r="AE772" s="2">
        <v>0.0</v>
      </c>
      <c r="AF772" s="2" t="s">
        <v>1186</v>
      </c>
      <c r="AG772" s="2" t="s">
        <v>1186</v>
      </c>
      <c r="AH772" s="2">
        <v>0.0</v>
      </c>
    </row>
    <row r="773" ht="15.75" customHeight="1">
      <c r="B773" s="12"/>
      <c r="C773" s="13"/>
      <c r="D773" s="14"/>
      <c r="E773" s="15"/>
      <c r="G773" s="15"/>
      <c r="O773" s="15"/>
      <c r="Q773" s="17"/>
      <c r="S773" s="17"/>
      <c r="T773" s="17"/>
      <c r="U773" s="14"/>
      <c r="V773" s="14" t="s">
        <v>1186</v>
      </c>
      <c r="W773" s="2" t="s">
        <v>1186</v>
      </c>
      <c r="X773" s="2" t="s">
        <v>1186</v>
      </c>
      <c r="Y773" s="13"/>
      <c r="Z773" s="14">
        <v>0.0</v>
      </c>
      <c r="AA773" s="14">
        <v>0.0</v>
      </c>
      <c r="AB773" s="14">
        <v>0.0</v>
      </c>
      <c r="AC773" s="14">
        <v>0.0</v>
      </c>
      <c r="AD773" s="2">
        <v>0.0</v>
      </c>
      <c r="AE773" s="2">
        <v>0.0</v>
      </c>
      <c r="AF773" s="2" t="s">
        <v>1186</v>
      </c>
      <c r="AG773" s="2" t="s">
        <v>1186</v>
      </c>
      <c r="AH773" s="2">
        <v>0.0</v>
      </c>
    </row>
    <row r="774" ht="15.75" customHeight="1">
      <c r="B774" s="12"/>
      <c r="C774" s="13"/>
      <c r="D774" s="14"/>
      <c r="E774" s="15"/>
      <c r="G774" s="15"/>
      <c r="O774" s="15"/>
      <c r="Q774" s="17"/>
      <c r="S774" s="17"/>
      <c r="T774" s="17"/>
      <c r="U774" s="14"/>
      <c r="V774" s="14" t="s">
        <v>1186</v>
      </c>
      <c r="W774" s="2" t="s">
        <v>1186</v>
      </c>
      <c r="X774" s="2" t="s">
        <v>1186</v>
      </c>
      <c r="Y774" s="13"/>
      <c r="Z774" s="14">
        <v>0.0</v>
      </c>
      <c r="AA774" s="14">
        <v>0.0</v>
      </c>
      <c r="AB774" s="14">
        <v>0.0</v>
      </c>
      <c r="AC774" s="14">
        <v>0.0</v>
      </c>
      <c r="AD774" s="2">
        <v>0.0</v>
      </c>
      <c r="AE774" s="2">
        <v>0.0</v>
      </c>
      <c r="AF774" s="2" t="s">
        <v>1186</v>
      </c>
      <c r="AG774" s="2" t="s">
        <v>1186</v>
      </c>
      <c r="AH774" s="2">
        <v>0.0</v>
      </c>
    </row>
    <row r="775" ht="15.75" customHeight="1">
      <c r="B775" s="12"/>
      <c r="C775" s="13"/>
      <c r="D775" s="14"/>
      <c r="E775" s="15"/>
      <c r="G775" s="15"/>
      <c r="O775" s="15"/>
      <c r="Q775" s="17"/>
      <c r="S775" s="17"/>
      <c r="T775" s="17"/>
      <c r="U775" s="14"/>
      <c r="V775" s="14" t="s">
        <v>1186</v>
      </c>
      <c r="W775" s="2" t="s">
        <v>1186</v>
      </c>
      <c r="X775" s="2" t="s">
        <v>1186</v>
      </c>
      <c r="Y775" s="13"/>
      <c r="Z775" s="14">
        <v>0.0</v>
      </c>
      <c r="AA775" s="14">
        <v>0.0</v>
      </c>
      <c r="AB775" s="14">
        <v>0.0</v>
      </c>
      <c r="AC775" s="14">
        <v>0.0</v>
      </c>
      <c r="AD775" s="2">
        <v>0.0</v>
      </c>
      <c r="AE775" s="2">
        <v>0.0</v>
      </c>
      <c r="AF775" s="2" t="s">
        <v>1186</v>
      </c>
      <c r="AG775" s="2" t="s">
        <v>1186</v>
      </c>
      <c r="AH775" s="2">
        <v>0.0</v>
      </c>
    </row>
    <row r="776" ht="15.75" customHeight="1">
      <c r="B776" s="12"/>
      <c r="C776" s="13"/>
      <c r="D776" s="14"/>
      <c r="E776" s="15"/>
      <c r="G776" s="15"/>
      <c r="O776" s="15"/>
      <c r="Q776" s="17"/>
      <c r="S776" s="17"/>
      <c r="T776" s="17"/>
      <c r="U776" s="14"/>
      <c r="V776" s="14" t="s">
        <v>1186</v>
      </c>
      <c r="W776" s="2" t="s">
        <v>1186</v>
      </c>
      <c r="X776" s="2" t="s">
        <v>1186</v>
      </c>
      <c r="Y776" s="13"/>
      <c r="Z776" s="14">
        <v>0.0</v>
      </c>
      <c r="AA776" s="14">
        <v>0.0</v>
      </c>
      <c r="AB776" s="14">
        <v>0.0</v>
      </c>
      <c r="AC776" s="14">
        <v>0.0</v>
      </c>
      <c r="AD776" s="2">
        <v>0.0</v>
      </c>
      <c r="AE776" s="2">
        <v>0.0</v>
      </c>
      <c r="AF776" s="2" t="s">
        <v>1186</v>
      </c>
      <c r="AG776" s="2" t="s">
        <v>1186</v>
      </c>
      <c r="AH776" s="2">
        <v>0.0</v>
      </c>
    </row>
    <row r="777" ht="15.75" customHeight="1">
      <c r="B777" s="12"/>
      <c r="C777" s="13"/>
      <c r="D777" s="14"/>
      <c r="E777" s="15"/>
      <c r="G777" s="15"/>
      <c r="O777" s="15"/>
      <c r="Q777" s="17"/>
      <c r="S777" s="17"/>
      <c r="T777" s="17"/>
      <c r="U777" s="14"/>
      <c r="V777" s="14" t="s">
        <v>1186</v>
      </c>
      <c r="W777" s="2" t="s">
        <v>1186</v>
      </c>
      <c r="X777" s="2" t="s">
        <v>1186</v>
      </c>
      <c r="Y777" s="13"/>
      <c r="Z777" s="14">
        <v>0.0</v>
      </c>
      <c r="AA777" s="14">
        <v>0.0</v>
      </c>
      <c r="AB777" s="14">
        <v>0.0</v>
      </c>
      <c r="AC777" s="14">
        <v>0.0</v>
      </c>
      <c r="AD777" s="2">
        <v>0.0</v>
      </c>
      <c r="AE777" s="2">
        <v>0.0</v>
      </c>
      <c r="AF777" s="2" t="s">
        <v>1186</v>
      </c>
      <c r="AG777" s="2" t="s">
        <v>1186</v>
      </c>
      <c r="AH777" s="2">
        <v>0.0</v>
      </c>
    </row>
    <row r="778" ht="15.75" customHeight="1">
      <c r="B778" s="12"/>
      <c r="C778" s="13"/>
      <c r="D778" s="14"/>
      <c r="E778" s="15"/>
      <c r="G778" s="15"/>
      <c r="O778" s="15"/>
      <c r="Q778" s="17"/>
      <c r="S778" s="17"/>
      <c r="T778" s="17"/>
      <c r="U778" s="14"/>
      <c r="V778" s="14" t="s">
        <v>1186</v>
      </c>
      <c r="W778" s="2" t="s">
        <v>1186</v>
      </c>
      <c r="X778" s="2" t="s">
        <v>1186</v>
      </c>
      <c r="Y778" s="13"/>
      <c r="Z778" s="14">
        <v>0.0</v>
      </c>
      <c r="AA778" s="14">
        <v>0.0</v>
      </c>
      <c r="AB778" s="14">
        <v>0.0</v>
      </c>
      <c r="AC778" s="14">
        <v>0.0</v>
      </c>
      <c r="AD778" s="2">
        <v>0.0</v>
      </c>
      <c r="AE778" s="2">
        <v>0.0</v>
      </c>
      <c r="AF778" s="2" t="s">
        <v>1186</v>
      </c>
      <c r="AG778" s="2" t="s">
        <v>1186</v>
      </c>
      <c r="AH778" s="2">
        <v>0.0</v>
      </c>
    </row>
    <row r="779" ht="15.75" customHeight="1">
      <c r="B779" s="12"/>
      <c r="C779" s="13"/>
      <c r="D779" s="14"/>
      <c r="E779" s="15"/>
      <c r="G779" s="15"/>
      <c r="O779" s="15"/>
      <c r="Q779" s="17"/>
      <c r="S779" s="17"/>
      <c r="T779" s="17"/>
      <c r="U779" s="14"/>
      <c r="V779" s="14" t="s">
        <v>1186</v>
      </c>
      <c r="W779" s="2" t="s">
        <v>1186</v>
      </c>
      <c r="X779" s="2" t="s">
        <v>1186</v>
      </c>
      <c r="Y779" s="13"/>
      <c r="Z779" s="14">
        <v>0.0</v>
      </c>
      <c r="AA779" s="14">
        <v>0.0</v>
      </c>
      <c r="AB779" s="14">
        <v>0.0</v>
      </c>
      <c r="AC779" s="14">
        <v>0.0</v>
      </c>
      <c r="AD779" s="2">
        <v>0.0</v>
      </c>
      <c r="AE779" s="2">
        <v>0.0</v>
      </c>
      <c r="AF779" s="2" t="s">
        <v>1186</v>
      </c>
      <c r="AG779" s="2" t="s">
        <v>1186</v>
      </c>
      <c r="AH779" s="2">
        <v>0.0</v>
      </c>
    </row>
    <row r="780" ht="15.75" customHeight="1">
      <c r="B780" s="12"/>
      <c r="C780" s="13"/>
      <c r="D780" s="14"/>
      <c r="E780" s="15"/>
      <c r="G780" s="15"/>
      <c r="O780" s="15"/>
      <c r="Q780" s="17"/>
      <c r="S780" s="17"/>
      <c r="T780" s="17"/>
      <c r="U780" s="14"/>
      <c r="V780" s="14" t="s">
        <v>1186</v>
      </c>
      <c r="W780" s="2" t="s">
        <v>1186</v>
      </c>
      <c r="X780" s="2" t="s">
        <v>1186</v>
      </c>
      <c r="Y780" s="13"/>
      <c r="Z780" s="14">
        <v>0.0</v>
      </c>
      <c r="AA780" s="14">
        <v>0.0</v>
      </c>
      <c r="AB780" s="14">
        <v>0.0</v>
      </c>
      <c r="AC780" s="14">
        <v>0.0</v>
      </c>
      <c r="AD780" s="2">
        <v>0.0</v>
      </c>
      <c r="AE780" s="2">
        <v>0.0</v>
      </c>
      <c r="AF780" s="2" t="s">
        <v>1186</v>
      </c>
      <c r="AG780" s="2" t="s">
        <v>1186</v>
      </c>
      <c r="AH780" s="2">
        <v>0.0</v>
      </c>
    </row>
    <row r="781" ht="15.75" customHeight="1">
      <c r="B781" s="12"/>
      <c r="C781" s="13"/>
      <c r="D781" s="14"/>
      <c r="E781" s="15"/>
      <c r="G781" s="15"/>
      <c r="O781" s="15"/>
      <c r="Q781" s="17"/>
      <c r="S781" s="17"/>
      <c r="T781" s="17"/>
      <c r="U781" s="14"/>
      <c r="V781" s="14" t="s">
        <v>1186</v>
      </c>
      <c r="W781" s="2" t="s">
        <v>1186</v>
      </c>
      <c r="X781" s="2" t="s">
        <v>1186</v>
      </c>
      <c r="Y781" s="13"/>
      <c r="Z781" s="14">
        <v>0.0</v>
      </c>
      <c r="AA781" s="14">
        <v>0.0</v>
      </c>
      <c r="AB781" s="14">
        <v>0.0</v>
      </c>
      <c r="AC781" s="14">
        <v>0.0</v>
      </c>
      <c r="AD781" s="2">
        <v>0.0</v>
      </c>
      <c r="AE781" s="2">
        <v>0.0</v>
      </c>
      <c r="AF781" s="2" t="s">
        <v>1186</v>
      </c>
      <c r="AG781" s="2" t="s">
        <v>1186</v>
      </c>
      <c r="AH781" s="2">
        <v>0.0</v>
      </c>
    </row>
    <row r="782" ht="15.75" customHeight="1">
      <c r="B782" s="12"/>
      <c r="C782" s="13"/>
      <c r="D782" s="14"/>
      <c r="E782" s="15"/>
      <c r="G782" s="15"/>
      <c r="O782" s="15"/>
      <c r="Q782" s="17"/>
      <c r="S782" s="17"/>
      <c r="T782" s="17"/>
      <c r="U782" s="14"/>
      <c r="V782" s="14" t="s">
        <v>1186</v>
      </c>
      <c r="W782" s="2" t="s">
        <v>1186</v>
      </c>
      <c r="X782" s="2" t="s">
        <v>1186</v>
      </c>
      <c r="Y782" s="13"/>
      <c r="Z782" s="14">
        <v>0.0</v>
      </c>
      <c r="AA782" s="14">
        <v>0.0</v>
      </c>
      <c r="AB782" s="14">
        <v>0.0</v>
      </c>
      <c r="AC782" s="14">
        <v>0.0</v>
      </c>
      <c r="AD782" s="2">
        <v>0.0</v>
      </c>
      <c r="AE782" s="2">
        <v>0.0</v>
      </c>
      <c r="AF782" s="2" t="s">
        <v>1186</v>
      </c>
      <c r="AG782" s="2" t="s">
        <v>1186</v>
      </c>
      <c r="AH782" s="2">
        <v>0.0</v>
      </c>
    </row>
    <row r="783" ht="15.75" customHeight="1">
      <c r="B783" s="12"/>
      <c r="C783" s="13"/>
      <c r="D783" s="14"/>
      <c r="E783" s="15"/>
      <c r="G783" s="15"/>
      <c r="O783" s="15"/>
      <c r="Q783" s="17"/>
      <c r="S783" s="17"/>
      <c r="T783" s="17"/>
      <c r="U783" s="14"/>
      <c r="V783" s="14" t="s">
        <v>1186</v>
      </c>
      <c r="W783" s="2" t="s">
        <v>1186</v>
      </c>
      <c r="X783" s="2" t="s">
        <v>1186</v>
      </c>
      <c r="Y783" s="13"/>
      <c r="Z783" s="14">
        <v>0.0</v>
      </c>
      <c r="AA783" s="14">
        <v>0.0</v>
      </c>
      <c r="AB783" s="14">
        <v>0.0</v>
      </c>
      <c r="AC783" s="14">
        <v>0.0</v>
      </c>
      <c r="AD783" s="2">
        <v>0.0</v>
      </c>
      <c r="AE783" s="2">
        <v>0.0</v>
      </c>
      <c r="AF783" s="2" t="s">
        <v>1186</v>
      </c>
      <c r="AG783" s="2" t="s">
        <v>1186</v>
      </c>
      <c r="AH783" s="2">
        <v>0.0</v>
      </c>
    </row>
    <row r="784" ht="15.75" customHeight="1">
      <c r="B784" s="12"/>
      <c r="C784" s="13"/>
      <c r="D784" s="14"/>
      <c r="E784" s="15"/>
      <c r="G784" s="15"/>
      <c r="O784" s="15"/>
      <c r="Q784" s="17"/>
      <c r="S784" s="17"/>
      <c r="T784" s="17"/>
      <c r="U784" s="14"/>
      <c r="V784" s="14" t="s">
        <v>1186</v>
      </c>
      <c r="W784" s="2" t="s">
        <v>1186</v>
      </c>
      <c r="X784" s="2" t="s">
        <v>1186</v>
      </c>
      <c r="Y784" s="13"/>
      <c r="Z784" s="14">
        <v>0.0</v>
      </c>
      <c r="AA784" s="14">
        <v>0.0</v>
      </c>
      <c r="AB784" s="14">
        <v>0.0</v>
      </c>
      <c r="AC784" s="14">
        <v>0.0</v>
      </c>
      <c r="AD784" s="2">
        <v>0.0</v>
      </c>
      <c r="AE784" s="2">
        <v>0.0</v>
      </c>
      <c r="AF784" s="2" t="s">
        <v>1186</v>
      </c>
      <c r="AG784" s="2" t="s">
        <v>1186</v>
      </c>
      <c r="AH784" s="2">
        <v>0.0</v>
      </c>
    </row>
    <row r="785" ht="15.75" customHeight="1">
      <c r="B785" s="12"/>
      <c r="C785" s="13"/>
      <c r="D785" s="14"/>
      <c r="E785" s="15"/>
      <c r="G785" s="15"/>
      <c r="O785" s="15"/>
      <c r="Q785" s="17"/>
      <c r="S785" s="17"/>
      <c r="T785" s="17"/>
      <c r="U785" s="14"/>
      <c r="V785" s="14" t="s">
        <v>1186</v>
      </c>
      <c r="W785" s="2" t="s">
        <v>1186</v>
      </c>
      <c r="X785" s="2" t="s">
        <v>1186</v>
      </c>
      <c r="Y785" s="13"/>
      <c r="Z785" s="14">
        <v>0.0</v>
      </c>
      <c r="AA785" s="14">
        <v>0.0</v>
      </c>
      <c r="AB785" s="14">
        <v>0.0</v>
      </c>
      <c r="AC785" s="14">
        <v>0.0</v>
      </c>
      <c r="AD785" s="2">
        <v>0.0</v>
      </c>
      <c r="AE785" s="2">
        <v>0.0</v>
      </c>
      <c r="AF785" s="2" t="s">
        <v>1186</v>
      </c>
      <c r="AG785" s="2" t="s">
        <v>1186</v>
      </c>
      <c r="AH785" s="2">
        <v>0.0</v>
      </c>
    </row>
    <row r="786" ht="15.75" customHeight="1">
      <c r="B786" s="12"/>
      <c r="C786" s="13"/>
      <c r="D786" s="14"/>
      <c r="E786" s="15"/>
      <c r="G786" s="15"/>
      <c r="O786" s="15"/>
      <c r="Q786" s="17"/>
      <c r="S786" s="17"/>
      <c r="T786" s="17"/>
      <c r="U786" s="14"/>
      <c r="V786" s="14" t="s">
        <v>1186</v>
      </c>
      <c r="W786" s="2" t="s">
        <v>1186</v>
      </c>
      <c r="X786" s="2" t="s">
        <v>1186</v>
      </c>
      <c r="Y786" s="13"/>
      <c r="Z786" s="14">
        <v>0.0</v>
      </c>
      <c r="AA786" s="14">
        <v>0.0</v>
      </c>
      <c r="AB786" s="14">
        <v>0.0</v>
      </c>
      <c r="AC786" s="14">
        <v>0.0</v>
      </c>
      <c r="AD786" s="2">
        <v>0.0</v>
      </c>
      <c r="AE786" s="2">
        <v>0.0</v>
      </c>
      <c r="AF786" s="2" t="s">
        <v>1186</v>
      </c>
      <c r="AG786" s="2" t="s">
        <v>1186</v>
      </c>
      <c r="AH786" s="2">
        <v>0.0</v>
      </c>
    </row>
    <row r="787" ht="15.75" customHeight="1">
      <c r="B787" s="12"/>
      <c r="C787" s="13"/>
      <c r="D787" s="14"/>
      <c r="E787" s="15"/>
      <c r="G787" s="15"/>
      <c r="O787" s="15"/>
      <c r="Q787" s="17"/>
      <c r="S787" s="17"/>
      <c r="T787" s="17"/>
      <c r="U787" s="14"/>
      <c r="V787" s="14" t="s">
        <v>1186</v>
      </c>
      <c r="W787" s="2" t="s">
        <v>1186</v>
      </c>
      <c r="X787" s="2" t="s">
        <v>1186</v>
      </c>
      <c r="Y787" s="13"/>
      <c r="Z787" s="14">
        <v>0.0</v>
      </c>
      <c r="AA787" s="14">
        <v>0.0</v>
      </c>
      <c r="AB787" s="14">
        <v>0.0</v>
      </c>
      <c r="AC787" s="14">
        <v>0.0</v>
      </c>
      <c r="AD787" s="2">
        <v>0.0</v>
      </c>
      <c r="AE787" s="2">
        <v>0.0</v>
      </c>
      <c r="AF787" s="2" t="s">
        <v>1186</v>
      </c>
      <c r="AG787" s="2" t="s">
        <v>1186</v>
      </c>
      <c r="AH787" s="2">
        <v>0.0</v>
      </c>
    </row>
    <row r="788" ht="15.75" customHeight="1">
      <c r="B788" s="12"/>
      <c r="C788" s="13"/>
      <c r="D788" s="14"/>
      <c r="E788" s="15"/>
      <c r="G788" s="15"/>
      <c r="O788" s="15"/>
      <c r="Q788" s="17"/>
      <c r="S788" s="17"/>
      <c r="T788" s="17"/>
      <c r="U788" s="14"/>
      <c r="V788" s="14" t="s">
        <v>1186</v>
      </c>
      <c r="W788" s="2" t="s">
        <v>1186</v>
      </c>
      <c r="X788" s="2" t="s">
        <v>1186</v>
      </c>
      <c r="Y788" s="13"/>
      <c r="Z788" s="14">
        <v>0.0</v>
      </c>
      <c r="AA788" s="14">
        <v>0.0</v>
      </c>
      <c r="AB788" s="14">
        <v>0.0</v>
      </c>
      <c r="AC788" s="14">
        <v>0.0</v>
      </c>
      <c r="AD788" s="2">
        <v>0.0</v>
      </c>
      <c r="AE788" s="2">
        <v>0.0</v>
      </c>
      <c r="AF788" s="2" t="s">
        <v>1186</v>
      </c>
      <c r="AG788" s="2" t="s">
        <v>1186</v>
      </c>
      <c r="AH788" s="2">
        <v>0.0</v>
      </c>
    </row>
    <row r="789" ht="15.75" customHeight="1">
      <c r="B789" s="12"/>
      <c r="C789" s="13"/>
      <c r="D789" s="14"/>
      <c r="E789" s="15"/>
      <c r="G789" s="15"/>
      <c r="O789" s="15"/>
      <c r="Q789" s="17"/>
      <c r="S789" s="17"/>
      <c r="T789" s="17"/>
      <c r="U789" s="14"/>
      <c r="V789" s="14" t="s">
        <v>1186</v>
      </c>
      <c r="W789" s="2" t="s">
        <v>1186</v>
      </c>
      <c r="X789" s="2" t="s">
        <v>1186</v>
      </c>
      <c r="Y789" s="13"/>
      <c r="Z789" s="14">
        <v>0.0</v>
      </c>
      <c r="AA789" s="14">
        <v>0.0</v>
      </c>
      <c r="AB789" s="14">
        <v>0.0</v>
      </c>
      <c r="AC789" s="14">
        <v>0.0</v>
      </c>
      <c r="AD789" s="2">
        <v>0.0</v>
      </c>
      <c r="AE789" s="2">
        <v>0.0</v>
      </c>
      <c r="AF789" s="2" t="s">
        <v>1186</v>
      </c>
      <c r="AG789" s="2" t="s">
        <v>1186</v>
      </c>
      <c r="AH789" s="2">
        <v>0.0</v>
      </c>
    </row>
    <row r="790" ht="15.75" customHeight="1">
      <c r="B790" s="12"/>
      <c r="C790" s="13"/>
      <c r="D790" s="14"/>
      <c r="E790" s="15"/>
      <c r="G790" s="15"/>
      <c r="O790" s="15"/>
      <c r="Q790" s="17"/>
      <c r="S790" s="17"/>
      <c r="T790" s="17"/>
      <c r="U790" s="14"/>
      <c r="V790" s="14" t="s">
        <v>1186</v>
      </c>
      <c r="W790" s="2" t="s">
        <v>1186</v>
      </c>
      <c r="X790" s="2" t="s">
        <v>1186</v>
      </c>
      <c r="Y790" s="13"/>
      <c r="Z790" s="14">
        <v>0.0</v>
      </c>
      <c r="AA790" s="14">
        <v>0.0</v>
      </c>
      <c r="AB790" s="14">
        <v>0.0</v>
      </c>
      <c r="AC790" s="14">
        <v>0.0</v>
      </c>
      <c r="AD790" s="2">
        <v>0.0</v>
      </c>
      <c r="AE790" s="2">
        <v>0.0</v>
      </c>
      <c r="AF790" s="2" t="s">
        <v>1186</v>
      </c>
      <c r="AG790" s="2" t="s">
        <v>1186</v>
      </c>
      <c r="AH790" s="2">
        <v>0.0</v>
      </c>
    </row>
    <row r="791" ht="15.75" customHeight="1">
      <c r="B791" s="12"/>
      <c r="C791" s="13"/>
      <c r="D791" s="14"/>
      <c r="E791" s="15"/>
      <c r="G791" s="15"/>
      <c r="O791" s="15"/>
      <c r="Q791" s="17"/>
      <c r="S791" s="17"/>
      <c r="T791" s="17"/>
      <c r="U791" s="14"/>
      <c r="V791" s="14" t="s">
        <v>1186</v>
      </c>
      <c r="W791" s="2" t="s">
        <v>1186</v>
      </c>
      <c r="X791" s="2" t="s">
        <v>1186</v>
      </c>
      <c r="Y791" s="13"/>
      <c r="Z791" s="14">
        <v>0.0</v>
      </c>
      <c r="AA791" s="14">
        <v>0.0</v>
      </c>
      <c r="AB791" s="14">
        <v>0.0</v>
      </c>
      <c r="AC791" s="14">
        <v>0.0</v>
      </c>
      <c r="AD791" s="2">
        <v>0.0</v>
      </c>
      <c r="AE791" s="2">
        <v>0.0</v>
      </c>
      <c r="AF791" s="2" t="s">
        <v>1186</v>
      </c>
      <c r="AG791" s="2" t="s">
        <v>1186</v>
      </c>
      <c r="AH791" s="2">
        <v>0.0</v>
      </c>
    </row>
    <row r="792" ht="15.75" customHeight="1">
      <c r="B792" s="12"/>
      <c r="C792" s="13"/>
      <c r="D792" s="14"/>
      <c r="E792" s="15"/>
      <c r="G792" s="15"/>
      <c r="O792" s="15"/>
      <c r="Q792" s="17"/>
      <c r="S792" s="17"/>
      <c r="T792" s="17"/>
      <c r="U792" s="14"/>
      <c r="V792" s="14" t="s">
        <v>1186</v>
      </c>
      <c r="W792" s="2" t="s">
        <v>1186</v>
      </c>
      <c r="X792" s="2" t="s">
        <v>1186</v>
      </c>
      <c r="Y792" s="13"/>
      <c r="Z792" s="14">
        <v>0.0</v>
      </c>
      <c r="AA792" s="14">
        <v>0.0</v>
      </c>
      <c r="AB792" s="14">
        <v>0.0</v>
      </c>
      <c r="AC792" s="14">
        <v>0.0</v>
      </c>
      <c r="AD792" s="2">
        <v>0.0</v>
      </c>
      <c r="AE792" s="2">
        <v>0.0</v>
      </c>
      <c r="AF792" s="2" t="s">
        <v>1186</v>
      </c>
      <c r="AG792" s="2" t="s">
        <v>1186</v>
      </c>
      <c r="AH792" s="2">
        <v>0.0</v>
      </c>
    </row>
    <row r="793" ht="15.75" customHeight="1">
      <c r="B793" s="12"/>
      <c r="C793" s="13"/>
      <c r="D793" s="14"/>
      <c r="E793" s="15"/>
      <c r="G793" s="15"/>
      <c r="O793" s="15"/>
      <c r="Q793" s="17"/>
      <c r="S793" s="17"/>
      <c r="T793" s="17"/>
      <c r="U793" s="14"/>
      <c r="V793" s="14" t="s">
        <v>1186</v>
      </c>
      <c r="W793" s="2" t="s">
        <v>1186</v>
      </c>
      <c r="X793" s="2" t="s">
        <v>1186</v>
      </c>
      <c r="Y793" s="13"/>
      <c r="Z793" s="14">
        <v>0.0</v>
      </c>
      <c r="AA793" s="14">
        <v>0.0</v>
      </c>
      <c r="AB793" s="14">
        <v>0.0</v>
      </c>
      <c r="AC793" s="14">
        <v>0.0</v>
      </c>
      <c r="AD793" s="2">
        <v>0.0</v>
      </c>
      <c r="AE793" s="2">
        <v>0.0</v>
      </c>
      <c r="AF793" s="2" t="s">
        <v>1186</v>
      </c>
      <c r="AG793" s="2" t="s">
        <v>1186</v>
      </c>
      <c r="AH793" s="2">
        <v>0.0</v>
      </c>
    </row>
    <row r="794" ht="15.75" customHeight="1">
      <c r="B794" s="12"/>
      <c r="C794" s="13"/>
      <c r="D794" s="14"/>
      <c r="E794" s="15"/>
      <c r="G794" s="15"/>
      <c r="O794" s="15"/>
      <c r="Q794" s="17"/>
      <c r="S794" s="17"/>
      <c r="T794" s="17"/>
      <c r="U794" s="14"/>
      <c r="V794" s="14" t="s">
        <v>1186</v>
      </c>
      <c r="W794" s="2" t="s">
        <v>1186</v>
      </c>
      <c r="X794" s="2" t="s">
        <v>1186</v>
      </c>
      <c r="Y794" s="13"/>
      <c r="Z794" s="14">
        <v>0.0</v>
      </c>
      <c r="AA794" s="14">
        <v>0.0</v>
      </c>
      <c r="AB794" s="14">
        <v>0.0</v>
      </c>
      <c r="AC794" s="14">
        <v>0.0</v>
      </c>
      <c r="AD794" s="2">
        <v>0.0</v>
      </c>
      <c r="AE794" s="2">
        <v>0.0</v>
      </c>
      <c r="AF794" s="2" t="s">
        <v>1186</v>
      </c>
      <c r="AG794" s="2" t="s">
        <v>1186</v>
      </c>
      <c r="AH794" s="2">
        <v>0.0</v>
      </c>
    </row>
    <row r="795" ht="15.75" customHeight="1">
      <c r="B795" s="12"/>
      <c r="C795" s="13"/>
      <c r="D795" s="14"/>
      <c r="E795" s="15"/>
      <c r="G795" s="15"/>
      <c r="O795" s="15"/>
      <c r="Q795" s="17"/>
      <c r="S795" s="17"/>
      <c r="T795" s="17"/>
      <c r="U795" s="14"/>
      <c r="V795" s="14" t="s">
        <v>1186</v>
      </c>
      <c r="W795" s="2" t="s">
        <v>1186</v>
      </c>
      <c r="X795" s="2" t="s">
        <v>1186</v>
      </c>
      <c r="Y795" s="13"/>
      <c r="Z795" s="14">
        <v>0.0</v>
      </c>
      <c r="AA795" s="14">
        <v>0.0</v>
      </c>
      <c r="AB795" s="14">
        <v>0.0</v>
      </c>
      <c r="AC795" s="14">
        <v>0.0</v>
      </c>
      <c r="AD795" s="2">
        <v>0.0</v>
      </c>
      <c r="AE795" s="2">
        <v>0.0</v>
      </c>
      <c r="AF795" s="2" t="s">
        <v>1186</v>
      </c>
      <c r="AG795" s="2" t="s">
        <v>1186</v>
      </c>
      <c r="AH795" s="2">
        <v>0.0</v>
      </c>
    </row>
    <row r="796" ht="15.75" customHeight="1">
      <c r="B796" s="12"/>
      <c r="C796" s="13"/>
      <c r="D796" s="14"/>
      <c r="E796" s="15"/>
      <c r="G796" s="15"/>
      <c r="O796" s="15"/>
      <c r="Q796" s="17"/>
      <c r="S796" s="17"/>
      <c r="T796" s="17"/>
      <c r="U796" s="14"/>
      <c r="V796" s="14" t="s">
        <v>1186</v>
      </c>
      <c r="W796" s="2" t="s">
        <v>1186</v>
      </c>
      <c r="X796" s="2" t="s">
        <v>1186</v>
      </c>
      <c r="Y796" s="13"/>
      <c r="Z796" s="14">
        <v>0.0</v>
      </c>
      <c r="AA796" s="14">
        <v>0.0</v>
      </c>
      <c r="AB796" s="14">
        <v>0.0</v>
      </c>
      <c r="AC796" s="14">
        <v>0.0</v>
      </c>
      <c r="AD796" s="2">
        <v>0.0</v>
      </c>
      <c r="AE796" s="2">
        <v>0.0</v>
      </c>
      <c r="AF796" s="2" t="s">
        <v>1186</v>
      </c>
      <c r="AG796" s="2" t="s">
        <v>1186</v>
      </c>
      <c r="AH796" s="2">
        <v>0.0</v>
      </c>
    </row>
    <row r="797" ht="15.75" customHeight="1">
      <c r="B797" s="12"/>
      <c r="C797" s="13"/>
      <c r="D797" s="14"/>
      <c r="E797" s="15"/>
      <c r="G797" s="15"/>
      <c r="O797" s="15"/>
      <c r="Q797" s="17"/>
      <c r="S797" s="17"/>
      <c r="T797" s="17"/>
      <c r="U797" s="14"/>
      <c r="V797" s="14" t="s">
        <v>1186</v>
      </c>
      <c r="W797" s="2" t="s">
        <v>1186</v>
      </c>
      <c r="X797" s="2" t="s">
        <v>1186</v>
      </c>
      <c r="Y797" s="13"/>
      <c r="Z797" s="14">
        <v>0.0</v>
      </c>
      <c r="AA797" s="14">
        <v>0.0</v>
      </c>
      <c r="AB797" s="14">
        <v>0.0</v>
      </c>
      <c r="AC797" s="14">
        <v>0.0</v>
      </c>
      <c r="AD797" s="2">
        <v>0.0</v>
      </c>
      <c r="AE797" s="2">
        <v>0.0</v>
      </c>
      <c r="AF797" s="2" t="s">
        <v>1186</v>
      </c>
      <c r="AG797" s="2" t="s">
        <v>1186</v>
      </c>
      <c r="AH797" s="2">
        <v>0.0</v>
      </c>
    </row>
    <row r="798" ht="15.75" customHeight="1">
      <c r="B798" s="12"/>
      <c r="C798" s="13"/>
      <c r="D798" s="14"/>
      <c r="E798" s="15"/>
      <c r="G798" s="15"/>
      <c r="O798" s="15"/>
      <c r="Q798" s="17"/>
      <c r="S798" s="17"/>
      <c r="T798" s="17"/>
      <c r="U798" s="14"/>
      <c r="V798" s="14" t="s">
        <v>1186</v>
      </c>
      <c r="W798" s="2" t="s">
        <v>1186</v>
      </c>
      <c r="X798" s="2" t="s">
        <v>1186</v>
      </c>
      <c r="Y798" s="13"/>
      <c r="Z798" s="14">
        <v>0.0</v>
      </c>
      <c r="AA798" s="14">
        <v>0.0</v>
      </c>
      <c r="AB798" s="14">
        <v>0.0</v>
      </c>
      <c r="AC798" s="14">
        <v>0.0</v>
      </c>
      <c r="AD798" s="2">
        <v>0.0</v>
      </c>
      <c r="AE798" s="2">
        <v>0.0</v>
      </c>
      <c r="AF798" s="2" t="s">
        <v>1186</v>
      </c>
      <c r="AG798" s="2" t="s">
        <v>1186</v>
      </c>
      <c r="AH798" s="2">
        <v>0.0</v>
      </c>
    </row>
    <row r="799" ht="15.75" customHeight="1">
      <c r="B799" s="12"/>
      <c r="C799" s="13"/>
      <c r="D799" s="14"/>
      <c r="E799" s="15"/>
      <c r="G799" s="15"/>
      <c r="O799" s="15"/>
      <c r="Q799" s="17"/>
      <c r="S799" s="17"/>
      <c r="T799" s="17"/>
      <c r="U799" s="14"/>
      <c r="V799" s="14" t="s">
        <v>1186</v>
      </c>
      <c r="W799" s="2" t="s">
        <v>1186</v>
      </c>
      <c r="X799" s="2" t="s">
        <v>1186</v>
      </c>
      <c r="Y799" s="13"/>
      <c r="Z799" s="14">
        <v>0.0</v>
      </c>
      <c r="AA799" s="14">
        <v>0.0</v>
      </c>
      <c r="AB799" s="14">
        <v>0.0</v>
      </c>
      <c r="AC799" s="14">
        <v>0.0</v>
      </c>
      <c r="AD799" s="2">
        <v>0.0</v>
      </c>
      <c r="AE799" s="2">
        <v>0.0</v>
      </c>
      <c r="AF799" s="2" t="s">
        <v>1186</v>
      </c>
      <c r="AG799" s="2" t="s">
        <v>1186</v>
      </c>
      <c r="AH799" s="2">
        <v>0.0</v>
      </c>
    </row>
    <row r="800" ht="15.75" customHeight="1">
      <c r="B800" s="12"/>
      <c r="C800" s="13"/>
      <c r="D800" s="14"/>
      <c r="E800" s="15"/>
      <c r="G800" s="15"/>
      <c r="O800" s="15"/>
      <c r="Q800" s="17"/>
      <c r="S800" s="17"/>
      <c r="T800" s="17"/>
      <c r="U800" s="14"/>
      <c r="V800" s="14" t="s">
        <v>1186</v>
      </c>
      <c r="W800" s="2" t="s">
        <v>1186</v>
      </c>
      <c r="X800" s="2" t="s">
        <v>1186</v>
      </c>
      <c r="Y800" s="13"/>
      <c r="Z800" s="14">
        <v>0.0</v>
      </c>
      <c r="AA800" s="14">
        <v>0.0</v>
      </c>
      <c r="AB800" s="14">
        <v>0.0</v>
      </c>
      <c r="AC800" s="14">
        <v>0.0</v>
      </c>
      <c r="AD800" s="2">
        <v>0.0</v>
      </c>
      <c r="AE800" s="2">
        <v>0.0</v>
      </c>
      <c r="AF800" s="2" t="s">
        <v>1186</v>
      </c>
      <c r="AG800" s="2" t="s">
        <v>1186</v>
      </c>
      <c r="AH800" s="2">
        <v>0.0</v>
      </c>
    </row>
    <row r="801" ht="15.75" customHeight="1">
      <c r="B801" s="12"/>
      <c r="C801" s="13"/>
      <c r="D801" s="14"/>
      <c r="E801" s="15"/>
      <c r="G801" s="15"/>
      <c r="O801" s="15"/>
      <c r="Q801" s="17"/>
      <c r="S801" s="17"/>
      <c r="T801" s="17"/>
      <c r="U801" s="14"/>
      <c r="V801" s="14" t="s">
        <v>1186</v>
      </c>
      <c r="W801" s="2" t="s">
        <v>1186</v>
      </c>
      <c r="X801" s="2" t="s">
        <v>1186</v>
      </c>
      <c r="Y801" s="13"/>
      <c r="Z801" s="14">
        <v>0.0</v>
      </c>
      <c r="AA801" s="14">
        <v>0.0</v>
      </c>
      <c r="AB801" s="14">
        <v>0.0</v>
      </c>
      <c r="AC801" s="14">
        <v>0.0</v>
      </c>
      <c r="AD801" s="2">
        <v>0.0</v>
      </c>
      <c r="AE801" s="2">
        <v>0.0</v>
      </c>
      <c r="AF801" s="2" t="s">
        <v>1186</v>
      </c>
      <c r="AG801" s="2" t="s">
        <v>1186</v>
      </c>
      <c r="AH801" s="2">
        <v>0.0</v>
      </c>
    </row>
  </sheetData>
  <autoFilter ref="$A$1:$AH$801"/>
  <hyperlinks>
    <hyperlink r:id="rId2" ref="M2"/>
    <hyperlink r:id="rId3" ref="M3"/>
    <hyperlink r:id="rId4" ref="M4"/>
    <hyperlink r:id="rId5" ref="M5"/>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M120"/>
    <hyperlink r:id="rId121" ref="M121"/>
    <hyperlink r:id="rId122" ref="M122"/>
    <hyperlink r:id="rId123" ref="M123"/>
    <hyperlink r:id="rId124" ref="M124"/>
    <hyperlink r:id="rId125" ref="M125"/>
    <hyperlink r:id="rId126" ref="M126"/>
    <hyperlink r:id="rId127" ref="M127"/>
    <hyperlink r:id="rId128" ref="M128"/>
    <hyperlink r:id="rId129" ref="M129"/>
    <hyperlink r:id="rId130" ref="M130"/>
    <hyperlink r:id="rId131" ref="M131"/>
    <hyperlink r:id="rId132" ref="M132"/>
    <hyperlink r:id="rId133" ref="M133"/>
    <hyperlink r:id="rId134" ref="M134"/>
    <hyperlink r:id="rId135" ref="M135"/>
    <hyperlink r:id="rId136" ref="M136"/>
    <hyperlink r:id="rId137" ref="M137"/>
    <hyperlink r:id="rId138" ref="M138"/>
    <hyperlink r:id="rId139" ref="M139"/>
    <hyperlink r:id="rId140" ref="M140"/>
    <hyperlink r:id="rId141" ref="M141"/>
    <hyperlink r:id="rId142" ref="M142"/>
    <hyperlink r:id="rId143" ref="M143"/>
    <hyperlink r:id="rId144" ref="M144"/>
    <hyperlink r:id="rId145" ref="M145"/>
    <hyperlink r:id="rId146" ref="M146"/>
    <hyperlink r:id="rId147" ref="M147"/>
    <hyperlink r:id="rId148" ref="M148"/>
    <hyperlink r:id="rId149" ref="M149"/>
    <hyperlink r:id="rId150" ref="M150"/>
    <hyperlink r:id="rId151" ref="M151"/>
    <hyperlink r:id="rId152" ref="M152"/>
    <hyperlink r:id="rId153" ref="M153"/>
    <hyperlink r:id="rId154" ref="M154"/>
    <hyperlink r:id="rId155" ref="M155"/>
    <hyperlink r:id="rId156" ref="M156"/>
    <hyperlink r:id="rId157" ref="M157"/>
    <hyperlink r:id="rId158" ref="M158"/>
    <hyperlink r:id="rId159" ref="M159"/>
    <hyperlink r:id="rId160" ref="M160"/>
    <hyperlink r:id="rId161" ref="M161"/>
    <hyperlink r:id="rId162" ref="M162"/>
    <hyperlink r:id="rId163" ref="M163"/>
    <hyperlink r:id="rId164" ref="M164"/>
    <hyperlink r:id="rId165" ref="M165"/>
    <hyperlink r:id="rId166" ref="M166"/>
    <hyperlink r:id="rId167" ref="M167"/>
    <hyperlink r:id="rId168" ref="M168"/>
    <hyperlink r:id="rId169" ref="M169"/>
    <hyperlink r:id="rId170" ref="M170"/>
    <hyperlink r:id="rId171" ref="M171"/>
    <hyperlink r:id="rId172" ref="M172"/>
    <hyperlink r:id="rId173" ref="M173"/>
    <hyperlink r:id="rId174" ref="M174"/>
    <hyperlink r:id="rId175" ref="M175"/>
    <hyperlink r:id="rId176" ref="M176"/>
    <hyperlink r:id="rId177" ref="M177"/>
    <hyperlink r:id="rId178" ref="M178"/>
    <hyperlink r:id="rId179" ref="M179"/>
    <hyperlink r:id="rId180" ref="M180"/>
    <hyperlink r:id="rId181" ref="M181"/>
    <hyperlink r:id="rId182" ref="M182"/>
    <hyperlink r:id="rId183" ref="M183"/>
    <hyperlink r:id="rId184" ref="M184"/>
    <hyperlink r:id="rId185" ref="M185"/>
    <hyperlink r:id="rId186" ref="M186"/>
    <hyperlink r:id="rId187" ref="M187"/>
    <hyperlink r:id="rId188" ref="M188"/>
    <hyperlink r:id="rId189" ref="M189"/>
    <hyperlink r:id="rId190" ref="M190"/>
    <hyperlink r:id="rId191" ref="M191"/>
    <hyperlink r:id="rId192" ref="M192"/>
    <hyperlink r:id="rId193" ref="M193"/>
    <hyperlink r:id="rId194" ref="M194"/>
    <hyperlink r:id="rId195" ref="M195"/>
    <hyperlink r:id="rId196" ref="M196"/>
    <hyperlink r:id="rId197" ref="M197"/>
    <hyperlink r:id="rId198" ref="M198"/>
    <hyperlink r:id="rId199" ref="M199"/>
    <hyperlink r:id="rId200" ref="M200"/>
    <hyperlink r:id="rId201" ref="M201"/>
    <hyperlink r:id="rId202" ref="M202"/>
    <hyperlink r:id="rId203" ref="M203"/>
    <hyperlink r:id="rId204" ref="M204"/>
    <hyperlink r:id="rId205" ref="M205"/>
    <hyperlink r:id="rId206" ref="M206"/>
    <hyperlink r:id="rId207" ref="M207"/>
    <hyperlink r:id="rId208" ref="M208"/>
    <hyperlink r:id="rId209" ref="M209"/>
    <hyperlink r:id="rId210" ref="M210"/>
    <hyperlink r:id="rId211" ref="M211"/>
    <hyperlink r:id="rId212" ref="M212"/>
    <hyperlink r:id="rId213" ref="M213"/>
    <hyperlink r:id="rId214" ref="M214"/>
    <hyperlink r:id="rId215" ref="M215"/>
    <hyperlink r:id="rId216" ref="M216"/>
    <hyperlink r:id="rId217" ref="M217"/>
    <hyperlink r:id="rId218" ref="M218"/>
    <hyperlink r:id="rId219" ref="M219"/>
    <hyperlink r:id="rId220" ref="M220"/>
    <hyperlink r:id="rId221" ref="M221"/>
    <hyperlink r:id="rId222" ref="M222"/>
    <hyperlink r:id="rId223" ref="M223"/>
    <hyperlink r:id="rId224" ref="M224"/>
    <hyperlink r:id="rId225" ref="M225"/>
    <hyperlink r:id="rId226" ref="M226"/>
    <hyperlink r:id="rId227" ref="M227"/>
    <hyperlink r:id="rId228" ref="M228"/>
    <hyperlink r:id="rId229" ref="M229"/>
    <hyperlink r:id="rId230" ref="M230"/>
    <hyperlink r:id="rId231" ref="M231"/>
    <hyperlink r:id="rId232" ref="M232"/>
    <hyperlink r:id="rId233" ref="M233"/>
    <hyperlink r:id="rId234" ref="M234"/>
    <hyperlink r:id="rId235" ref="M235"/>
    <hyperlink r:id="rId236" ref="M236"/>
    <hyperlink r:id="rId237" ref="M237"/>
    <hyperlink r:id="rId238" ref="M238"/>
    <hyperlink r:id="rId239" ref="M239"/>
    <hyperlink r:id="rId240" ref="M240"/>
    <hyperlink r:id="rId241" ref="M241"/>
    <hyperlink r:id="rId242" ref="M242"/>
    <hyperlink r:id="rId243" ref="M243"/>
    <hyperlink r:id="rId244" ref="M244"/>
    <hyperlink r:id="rId245" ref="M245"/>
    <hyperlink r:id="rId246" ref="M246"/>
    <hyperlink r:id="rId247" ref="M247"/>
    <hyperlink r:id="rId248" ref="M248"/>
    <hyperlink r:id="rId249" ref="M249"/>
    <hyperlink r:id="rId250" ref="M250"/>
    <hyperlink r:id="rId251" ref="M251"/>
    <hyperlink r:id="rId252" ref="M252"/>
    <hyperlink r:id="rId253" ref="M253"/>
    <hyperlink r:id="rId254" ref="M254"/>
    <hyperlink r:id="rId255" ref="M255"/>
    <hyperlink r:id="rId256" ref="M256"/>
    <hyperlink r:id="rId257" ref="M257"/>
    <hyperlink r:id="rId258" ref="M258"/>
    <hyperlink r:id="rId259" ref="M259"/>
    <hyperlink r:id="rId260" ref="M260"/>
    <hyperlink r:id="rId261" ref="M261"/>
    <hyperlink r:id="rId262" ref="M262"/>
    <hyperlink r:id="rId263" ref="M263"/>
    <hyperlink r:id="rId264" ref="M264"/>
    <hyperlink r:id="rId265" ref="M265"/>
    <hyperlink r:id="rId266" ref="M266"/>
    <hyperlink r:id="rId267" ref="M267"/>
    <hyperlink r:id="rId268" ref="M268"/>
    <hyperlink r:id="rId269" ref="M269"/>
    <hyperlink r:id="rId270" ref="M270"/>
    <hyperlink r:id="rId271" ref="M271"/>
    <hyperlink r:id="rId272" ref="M272"/>
    <hyperlink r:id="rId273" ref="M273"/>
    <hyperlink r:id="rId274" ref="M274"/>
    <hyperlink r:id="rId275" ref="M275"/>
    <hyperlink r:id="rId276" ref="M276"/>
    <hyperlink r:id="rId277" ref="M277"/>
    <hyperlink r:id="rId278" ref="M278"/>
    <hyperlink r:id="rId279" ref="M279"/>
    <hyperlink r:id="rId280" ref="M280"/>
    <hyperlink r:id="rId281" ref="M281"/>
    <hyperlink r:id="rId282" ref="M282"/>
    <hyperlink r:id="rId283" ref="M283"/>
    <hyperlink r:id="rId284" ref="M284"/>
    <hyperlink r:id="rId285" ref="M285"/>
    <hyperlink r:id="rId286" ref="M286"/>
    <hyperlink r:id="rId287" ref="M287"/>
    <hyperlink r:id="rId288" ref="M288"/>
    <hyperlink r:id="rId289" ref="M289"/>
    <hyperlink r:id="rId290" ref="M290"/>
    <hyperlink r:id="rId291" ref="M291"/>
    <hyperlink r:id="rId292" ref="M292"/>
    <hyperlink r:id="rId293" ref="M293"/>
    <hyperlink r:id="rId294" ref="M294"/>
    <hyperlink r:id="rId295" ref="M295"/>
    <hyperlink r:id="rId296" ref="M296"/>
    <hyperlink r:id="rId297" ref="M297"/>
    <hyperlink r:id="rId298" ref="M298"/>
    <hyperlink r:id="rId299" ref="M299"/>
    <hyperlink r:id="rId300" ref="M300"/>
    <hyperlink r:id="rId301" ref="M301"/>
  </hyperlinks>
  <drawing r:id="rId302"/>
  <legacyDrawing r:id="rId303"/>
</worksheet>
</file>